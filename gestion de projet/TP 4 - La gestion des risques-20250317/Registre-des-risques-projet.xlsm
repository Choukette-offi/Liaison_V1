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ctrlProps/ctrlProps31.xml" ContentType="application/vnd.ms-excel.controlproperties+xml"/>
  <Override PartName="/xl/ctrlProps/ctrlProps29.xml" ContentType="application/vnd.ms-excel.controlproperties+xml"/>
  <Override PartName="/xl/ctrlProps/ctrlProps30.xml" ContentType="application/vnd.ms-excel.controlproperties+xml"/>
  <Override PartName="/xl/ctrlProps/ctrlProps28.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5.xml" ContentType="application/vnd.ms-excel.controlproperties+xml"/>
  <Override PartName="/xl/ctrlProps/ctrlProps24.xml" ContentType="application/vnd.ms-excel.controlproperties+xml"/>
  <Override PartName="/xl/ctrlProps/ctrlProps23.xml" ContentType="application/vnd.ms-excel.controlproperties+xml"/>
  <Override PartName="/xl/ctrlProps/ctrlProps22.xml" ContentType="application/vnd.ms-excel.controlproperties+xml"/>
  <Override PartName="/xl/ctrlProps/ctrlProps9.xml" ContentType="application/vnd.ms-excel.controlproperties+xml"/>
  <Override PartName="/xl/ctrlProps/ctrlProps59.xml" ContentType="application/vnd.ms-excel.controlproperties+xml"/>
  <Override PartName="/xl/ctrlProps/ctrlProps21.xml" ContentType="application/vnd.ms-excel.controlproperties+xml"/>
  <Override PartName="/xl/ctrlProps/ctrlProps8.xml" ContentType="application/vnd.ms-excel.controlproperties+xml"/>
  <Override PartName="/xl/ctrlProps/ctrlProps58.xml" ContentType="application/vnd.ms-excel.controlproperties+xml"/>
  <Override PartName="/xl/ctrlProps/ctrlProps19.xml" ContentType="application/vnd.ms-excel.controlproperties+xml"/>
  <Override PartName="/xl/ctrlProps/ctrlProps3.xml" ContentType="application/vnd.ms-excel.controlproperties+xml"/>
  <Override PartName="/xl/ctrlProps/ctrlProps53.xml" ContentType="application/vnd.ms-excel.controlproperties+xml"/>
  <Override PartName="/xl/ctrlProps/ctrlProps12.xml" ContentType="application/vnd.ms-excel.controlproperties+xml"/>
  <Override PartName="/xl/ctrlProps/ctrlProps49.xml" ContentType="application/vnd.ms-excel.controlproperties+xml"/>
  <Override PartName="/xl/ctrlProps/ctrlProps4.xml" ContentType="application/vnd.ms-excel.controlproperties+xml"/>
  <Override PartName="/xl/ctrlProps/ctrlProps54.xml" ContentType="application/vnd.ms-excel.controlproperties+xml"/>
  <Override PartName="/xl/ctrlProps/ctrlProps13.xml" ContentType="application/vnd.ms-excel.controlproperties+xml"/>
  <Override PartName="/xl/ctrlProps/ctrlProps5.xml" ContentType="application/vnd.ms-excel.controlproperties+xml"/>
  <Override PartName="/xl/ctrlProps/ctrlProps55.xml" ContentType="application/vnd.ms-excel.controlproperties+xml"/>
  <Override PartName="/xl/ctrlProps/ctrlProps14.xml" ContentType="application/vnd.ms-excel.controlproperties+xml"/>
  <Override PartName="/xl/ctrlProps/ctrlProps6.xml" ContentType="application/vnd.ms-excel.controlproperties+xml"/>
  <Override PartName="/xl/ctrlProps/ctrlProps56.xml" ContentType="application/vnd.ms-excel.controlproperties+xml"/>
  <Override PartName="/xl/ctrlProps/ctrlProps15.xml" ContentType="application/vnd.ms-excel.controlproperties+xml"/>
  <Override PartName="/xl/ctrlProps/ctrlProps37.xml" ContentType="application/vnd.ms-excel.controlproperties+xml"/>
  <Override PartName="/xl/ctrlProps/ctrlProps38.xml" ContentType="application/vnd.ms-excel.controlproperties+xml"/>
  <Override PartName="/xl/ctrlProps/ctrlProps40.xml" ContentType="application/vnd.ms-excel.controlproperties+xml"/>
  <Override PartName="/xl/ctrlProps/ctrlProps41.xml" ContentType="application/vnd.ms-excel.controlproperties+xml"/>
  <Override PartName="/xl/ctrlProps/ctrlProps39.xml" ContentType="application/vnd.ms-excel.controlproperties+xml"/>
  <Override PartName="/xl/ctrlProps/ctrlProps42.xml" ContentType="application/vnd.ms-excel.controlproperties+xml"/>
  <Override PartName="/xl/ctrlProps/ctrlProps43.xml" ContentType="application/vnd.ms-excel.controlproperties+xml"/>
  <Override PartName="/xl/ctrlProps/ctrlProps44.xml" ContentType="application/vnd.ms-excel.controlproperties+xml"/>
  <Override PartName="/xl/ctrlProps/ctrlProps45.xml" ContentType="application/vnd.ms-excel.controlproperties+xml"/>
  <Override PartName="/xl/ctrlProps/ctrlProps46.xml" ContentType="application/vnd.ms-excel.controlproperties+xml"/>
  <Override PartName="/xl/ctrlProps/ctrlProps50.xml" ContentType="application/vnd.ms-excel.controlproperties+xml"/>
  <Override PartName="/xl/ctrlProps/ctrlProps11.xml" ContentType="application/vnd.ms-excel.controlproperties+xml"/>
  <Override PartName="/xl/ctrlProps/ctrlProps48.xml" ContentType="application/vnd.ms-excel.controlproperties+xml"/>
  <Override PartName="/xl/ctrlProps/ctrlProps51.xml" ContentType="application/vnd.ms-excel.controlproperties+xml"/>
  <Override PartName="/xl/ctrlProps/ctrlProps52.xml" ContentType="application/vnd.ms-excel.controlproperties+xml"/>
  <Override PartName="/xl/ctrlProps/ctrlProps36.xml" ContentType="application/vnd.ms-excel.controlproperties+xml"/>
  <Override PartName="/xl/ctrlProps/ctrlProps35.xml" ContentType="application/vnd.ms-excel.controlproperties+xml"/>
  <Override PartName="/xl/ctrlProps/ctrlProps34.xml" ContentType="application/vnd.ms-excel.controlproperties+xml"/>
  <Override PartName="/xl/ctrlProps/ctrlProps33.xml" ContentType="application/vnd.ms-excel.controlproperties+xml"/>
  <Override PartName="/xl/ctrlProps/ctrlProps32.xml" ContentType="application/vnd.ms-excel.controlproperties+xml"/>
  <Override PartName="/xl/ctrlProps/ctrlProps10.xml" ContentType="application/vnd.ms-excel.controlproperties+xml"/>
  <Override PartName="/xl/ctrlProps/ctrlProps47.xml" ContentType="application/vnd.ms-excel.controlproperties+xml"/>
  <Override PartName="/xl/ctrlProps/ctrlProps60.xml" ContentType="application/vnd.ms-excel.controlproperties+xml"/>
  <Override PartName="/xl/ctrlProps/ctrlProps18.xml" ContentType="application/vnd.ms-excel.controlproperties+xml"/>
  <Override PartName="/xl/ctrlProps/ctrlProps17.xml" ContentType="application/vnd.ms-excel.controlproperties+xml"/>
  <Override PartName="/xl/ctrlProps/ctrlProps20.xml" ContentType="application/vnd.ms-excel.controlproperties+xml"/>
  <Override PartName="/xl/ctrlProps/ctrlProps57.xml" ContentType="application/vnd.ms-excel.controlproperties+xml"/>
  <Override PartName="/xl/ctrlProps/ctrlProps7.xml" ContentType="application/vnd.ms-excel.controlproperties+xml"/>
  <Override PartName="/xl/ctrlProps/ctrlProps16.xml" ContentType="application/vnd.ms-excel.controlproperties+xml"/>
  <Override PartName="/xl/drawings/_rels/drawing62.xml.rels" ContentType="application/vnd.openxmlformats-package.relationships+xml"/>
  <Override PartName="/xl/drawings/_rels/drawing61.xml.rels" ContentType="application/vnd.openxmlformats-package.relationship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61.xml" ContentType="application/vnd.openxmlformats-officedocument.drawing+xml"/>
  <Override PartName="/xl/drawings/drawing62.xml" ContentType="application/vnd.openxmlformats-officedocument.drawing+xml"/>
  <Override PartName="/xl/_rels/workbook.xml.rels" ContentType="application/vnd.openxmlformats-package.relationships+xml"/>
  <Override PartName="/xl/media/image13.png" ContentType="image/png"/>
  <Override PartName="/xl/media/image4.png" ContentType="image/png"/>
  <Override PartName="/xl/media/image9.png" ContentType="image/png"/>
  <Override PartName="/xl/media/image18.png" ContentType="image/png"/>
  <Override PartName="/xl/media/image20.png" ContentType="image/png"/>
  <Override PartName="/xl/media/image12.png" ContentType="image/png"/>
  <Override PartName="/xl/media/image3.png" ContentType="image/png"/>
  <Override PartName="/xl/media/image21.png" ContentType="image/png"/>
  <Override PartName="/xl/media/image19.png" ContentType="image/png"/>
  <Override PartName="/xl/media/image5.png" ContentType="image/png"/>
  <Override PartName="/xl/media/image14.png" ContentType="image/png"/>
  <Override PartName="/xl/media/image15.png" ContentType="image/png"/>
  <Override PartName="/xl/media/image6.png" ContentType="image/png"/>
  <Override PartName="/xl/media/image10.png" ContentType="image/png"/>
  <Override PartName="/xl/media/image1.png" ContentType="image/png"/>
  <Override PartName="/xl/media/image16.png" ContentType="image/png"/>
  <Override PartName="/xl/media/image7.png" ContentType="image/png"/>
  <Override PartName="/xl/media/image2.png" ContentType="image/png"/>
  <Override PartName="/xl/media/image11.png" ContentType="image/png"/>
  <Override PartName="/xl/media/image8.png" ContentType="image/png"/>
  <Override PartName="/xl/media/image17.png" ContentType="image/png"/>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Bienvenue" sheetId="1" state="visible" r:id="rId4"/>
    <sheet name="Registre des risques" sheetId="2" state="visible" r:id="rId5"/>
    <sheet name="Dashboard" sheetId="3" state="visible" r:id="rId6"/>
    <sheet name="Paramètres" sheetId="4" state="visible" r:id="rId7"/>
    <sheet name="hiddenData" sheetId="5" state="hidden" r:id="rId8"/>
  </sheets>
  <definedNames>
    <definedName function="false" hidden="false" name="codeEval" vbProcedure="false">Paramètres!$I$17</definedName>
    <definedName function="false" hidden="false" name="codeProb" vbProcedure="false">OFFSET(elementsFreq,0,1)</definedName>
    <definedName function="false" hidden="false" name="elementsFreq" vbProcedure="false">OFFSET(Paramètres!$C$17,1,0,COUNTA(Paramètres!$C$18:$C$27),1)</definedName>
    <definedName function="false" hidden="false" name="criticiteDonnees" vbProcedure="false">OFFSET(Dashboard!$D$4,0,0,COUNTA(Dashboard!$B$4:$B$13),1)</definedName>
    <definedName function="false" hidden="false" name="criticiteLibelles" vbProcedure="false">OFFSET(Dashboard!$B$4,0,0,COUNTA(Dashboard!$B$4:$B$13),1)</definedName>
    <definedName function="false" hidden="false" name="debRep" vbProcedure="false">Paramètres!$D$40</definedName>
    <definedName function="false" hidden="false" name="departEffet" vbProcedure="false">Paramètres!$D$54:$D$64</definedName>
    <definedName function="false" hidden="false" name="departReponse" vbProcedure="false">Paramètres!$D$41:$D$51</definedName>
    <definedName function="false" hidden="false" name="depEtat" vbProcedure="false">Paramètres!$D$53</definedName>
    <definedName function="false" hidden="false" name="donnesLibeleEffet" vbProcedure="false">OFFSET(Dashboard!$G$14,0,1,1,COUNTA(Dashboard!$H$3:$Q$3))</definedName>
    <definedName function="false" hidden="false" name="evalRisque" vbProcedure="false">Paramètres!$I$18:$L$133</definedName>
    <definedName function="false" hidden="false" name="E_8" vbProcedure="false">'Registre des risques'!$E$8</definedName>
    <definedName function="false" hidden="false" name="freq" vbProcedure="false">Paramètres!$C$17</definedName>
    <definedName function="false" hidden="false" name="libelEffets" vbProcedure="false">OFFSET(Dashboard!$G$3,0,1,1,COUNTA(Dashboard!$H$3:$Q$3))</definedName>
    <definedName function="false" hidden="false" name="listEtat" vbProcedure="false">OFFSET(Dashboard!$H$3,0,0,1,COUNTA(Dashboard!$H$3:$Q$3))</definedName>
    <definedName function="false" hidden="false" name="listReponses" vbProcedure="false">OFFSET(Dashboard!$F$4,0,0,COUNTA(Dashboard!$F$4:$F$13),1)</definedName>
    <definedName function="false" hidden="false" name="moyIMPACTS" vbProcedure="false">'Registre des risques'!$M$8</definedName>
    <definedName function="false" hidden="false" name="plageDynamique1" vbProcedure="false">OFFSET(Paramètres!$A$1,6,3+(1-1)*3,COUNTA(OFFSET(Paramètres!$A$1,6,3+(1-1)*3,8,1)),1)</definedName>
    <definedName function="false" hidden="false" name="plageDynamique10" vbProcedure="false">OFFSET(Paramètres!$A$1,6,3+(10 -1)*3,COUNTA(OFFSET(Paramètres!$A$1,6,3+(10 -1)*3,8,1)),1)</definedName>
    <definedName function="false" hidden="false" name="plageDynamique2" vbProcedure="false">OFFSET(Paramètres!$A$1,6,3+(2 -1)*3,COUNTA(OFFSET(Paramètres!$A$1,6,3+(2 -1)*3,8,1)),1)</definedName>
    <definedName function="false" hidden="false" name="plageDynamique3" vbProcedure="false">OFFSET(Paramètres!$A$1,6,3+(3 -1)*3,COUNTA(OFFSET(Paramètres!$A$1,6,3+(3 -1)*3,8,1)),1)</definedName>
    <definedName function="false" hidden="false" name="plageDynamique4" vbProcedure="false">OFFSET(Paramètres!$A$1,6,3+(4 -1)*3,COUNTA(OFFSET(Paramètres!$A$1,6,3+(4 -1)*3,8,1)),1)</definedName>
    <definedName function="false" hidden="false" name="plageDynamique5" vbProcedure="false">OFFSET(Paramètres!$A$1,6,3+(5 -1)*3,COUNTA(OFFSET(Paramètres!$A$1,6,3+(5 -1)*3,8,1)),1)</definedName>
    <definedName function="false" hidden="false" name="plageDynamique6" vbProcedure="false">OFFSET(Paramètres!$A$1,6,3+(6 -1)*3,COUNTA(OFFSET(Paramètres!$A$1,6,3+(6 -1)*3,8,1)),1)</definedName>
    <definedName function="false" hidden="false" name="plageDynamique7" vbProcedure="false">OFFSET(Paramètres!$A$1,6,3+(7 -1)*3,COUNTA(OFFSET(Paramètres!$A$1,6,3+(7 -1)*3,8,1)),1)</definedName>
    <definedName function="false" hidden="false" name="plageDynamique8" vbProcedure="false">OFFSET(Paramètres!$A$1,6,3+(8 -1)*3,COUNTA(OFFSET(Paramètres!$A$1,6,3+(8 -1)*3,8,1)),1)</definedName>
    <definedName function="false" hidden="false" name="plageDynamique9" vbProcedure="false">OFFSET(Paramètres!$A$1,6,3+(9 -1)*3,COUNTA(OFFSET(Paramètres!$A$1,6,3+(9 -1)*3,8,1)),1)</definedName>
    <definedName function="false" hidden="false" name="plageFait" vbProcedure="false">OFFSET(Dashboard!$F$4,0,0,COUNTA(Dashboard!$F$4:$F$13),COUNTA(Dashboard!$F$3:$Q$3))</definedName>
    <definedName function="false" hidden="false" name="plageReponse" vbProcedure="false">Dashboard!$F$4:$F$13</definedName>
    <definedName function="false" hidden="false" name="poids" vbProcedure="false">Paramètres!$C$29</definedName>
    <definedName function="false" hidden="false" name="repRisquesDonnees" vbProcedure="false">OFFSET(Dashboard!$G$4,0,0,COUNTA(Dashboard!$F$4:$F$13),1)</definedName>
    <definedName function="false" hidden="false" name="repRisquesLibelles" vbProcedure="false">OFFSET(Dashboard!$F$4,0,0,COUNTA(Dashboard!$F$4:$F$13),1)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<sst xmlns="http://schemas.openxmlformats.org/spreadsheetml/2006/main" count="221" uniqueCount="132">
  <si>
    <t xml:space="preserve">Projet :</t>
  </si>
  <si>
    <t xml:space="preserve">Date de création </t>
  </si>
  <si>
    <t xml:space="preserve">Date de mise à jour : </t>
  </si>
  <si>
    <t xml:space="preserve">Catographie des risques</t>
  </si>
  <si>
    <t xml:space="preserve">Risques associés</t>
  </si>
  <si>
    <t xml:space="preserve">Critères et leur niveaux d'impact</t>
  </si>
  <si>
    <t xml:space="preserve">Moy des nvx d'impact </t>
  </si>
  <si>
    <t xml:space="preserve">Code Impact</t>
  </si>
  <si>
    <t xml:space="preserve">Fréquence</t>
  </si>
  <si>
    <t xml:space="preserve">Code Fréquence</t>
  </si>
  <si>
    <t xml:space="preserve">EVALUATION DES RISQUES </t>
  </si>
  <si>
    <t xml:space="preserve">PLAN D'ACTION</t>
  </si>
  <si>
    <t xml:space="preserve">ETAT</t>
  </si>
  <si>
    <t xml:space="preserve">Méthode de surveillance</t>
  </si>
  <si>
    <t xml:space="preserve">EFFICACITÉ</t>
  </si>
  <si>
    <t xml:space="preserve">OBSERVATIONS</t>
  </si>
  <si>
    <t xml:space="preserve">Niveau d'impact</t>
  </si>
  <si>
    <t xml:space="preserve">Niveau de criticité</t>
  </si>
  <si>
    <t xml:space="preserve">Note</t>
  </si>
  <si>
    <t xml:space="preserve">Degré de maîtrise</t>
  </si>
  <si>
    <t xml:space="preserve">Risque Net</t>
  </si>
  <si>
    <t xml:space="preserve">Risque net</t>
  </si>
  <si>
    <t xml:space="preserve">Traitement de risque</t>
  </si>
  <si>
    <t xml:space="preserve">Réponse au risque</t>
  </si>
  <si>
    <t xml:space="preserve">Quoi</t>
  </si>
  <si>
    <t xml:space="preserve">Qui</t>
  </si>
  <si>
    <t xml:space="preserve">Quand</t>
  </si>
  <si>
    <t xml:space="preserve">Efficace</t>
  </si>
  <si>
    <t xml:space="preserve">Pas efficace</t>
  </si>
  <si>
    <t xml:space="preserve">Problème de paiement en ligne, site de e-commerce défaillant soucis de conceptions</t>
  </si>
  <si>
    <t xml:space="preserve">Impact sur l’image à moyen terme </t>
  </si>
  <si>
    <t xml:space="preserve">&gt; 30% du Résultat courant</t>
  </si>
  <si>
    <t xml:space="preserve">retrait de l'autorisation </t>
  </si>
  <si>
    <t xml:space="preserve">Clients </t>
  </si>
  <si>
    <t xml:space="preserve">Très frèquente</t>
  </si>
  <si>
    <t xml:space="preserve">Des Dispositifs existent
Les contrôles sont réalisés et formalisés</t>
  </si>
  <si>
    <t xml:space="preserve">Accepter</t>
  </si>
  <si>
    <t xml:space="preserve">Mise en œuvre des actions issues de l'analyse des enjeux et surveillance des enjeux internes et externes</t>
  </si>
  <si>
    <t xml:space="preserve">DG</t>
  </si>
  <si>
    <t xml:space="preserve">Fait</t>
  </si>
  <si>
    <t xml:space="preserve">Revue de direction</t>
  </si>
  <si>
    <t xml:space="preserve">Conflits en interne entre salariés</t>
  </si>
  <si>
    <t xml:space="preserve">Pas d'impact</t>
  </si>
  <si>
    <t xml:space="preserve">Salaries </t>
  </si>
  <si>
    <t xml:space="preserve">Moyenne</t>
  </si>
  <si>
    <t xml:space="preserve">S'assurer que les objectifs sont définis de façon cohérente avec la stratégie de BATISEN</t>
  </si>
  <si>
    <t xml:space="preserve">Immédiat</t>
  </si>
  <si>
    <t xml:space="preserve">En cours</t>
  </si>
  <si>
    <t xml:space="preserve">Suivi du tableau de cohérence des objectifs aux axes stratégiques</t>
  </si>
  <si>
    <t xml:space="preserve">Augmentation des prix fournisseurs</t>
  </si>
  <si>
    <t xml:space="preserve">Impact sur l’image à long terme </t>
  </si>
  <si>
    <t xml:space="preserve">Compris entre 5% et 10% du Résultat courant</t>
  </si>
  <si>
    <t xml:space="preserve">Condamnation civile</t>
  </si>
  <si>
    <t xml:space="preserve">Salaries, Clients et Actionnaires </t>
  </si>
  <si>
    <t xml:space="preserve">Faible</t>
  </si>
  <si>
    <t xml:space="preserve">Suivre de façon régulière les processus à travers les revues de processus, les remontées de NC et les relevés d'indicateurs de performance </t>
  </si>
  <si>
    <t xml:space="preserve">DG/RQSE</t>
  </si>
  <si>
    <t xml:space="preserve">Mensuel</t>
  </si>
  <si>
    <t xml:space="preserve">Non fait</t>
  </si>
  <si>
    <t xml:space="preserve">revue de processus &amp; audit interne</t>
  </si>
  <si>
    <t xml:space="preserve">Résultats non atteints		</t>
  </si>
  <si>
    <t xml:space="preserve">Compris entre 10% et 30% du Résultat courant</t>
  </si>
  <si>
    <t xml:space="preserve">A transférer</t>
  </si>
  <si>
    <t xml:space="preserve">Mise en place et suivi des indicateurs de performance via un tableau de bord mensuel afin de détecter de façon proactive les pertes de maîtrise et de les corriger très tôt</t>
  </si>
  <si>
    <t xml:space="preserve">Suivi des indicateurs performance</t>
  </si>
  <si>
    <t xml:space="preserve">	
Capitaux insuffisants 					
</t>
  </si>
  <si>
    <t xml:space="preserve">établir de nouveaux partenariats bancaires et/ou consolider les existants</t>
  </si>
  <si>
    <t xml:space="preserve">DG/DFC</t>
  </si>
  <si>
    <t xml:space="preserve">Nouveaux partenariats signés
Disponibilité de capitaux </t>
  </si>
  <si>
    <t xml:space="preserve">Etat</t>
  </si>
  <si>
    <t xml:space="preserve">Criticité des risques</t>
  </si>
  <si>
    <t xml:space="preserve">Nombre</t>
  </si>
  <si>
    <t xml:space="preserve">Non significatif</t>
  </si>
  <si>
    <t xml:space="preserve">Modéré</t>
  </si>
  <si>
    <t xml:space="preserve">A atténuer</t>
  </si>
  <si>
    <t xml:space="preserve">Elevé</t>
  </si>
  <si>
    <t xml:space="preserve">A éliminer</t>
  </si>
  <si>
    <t xml:space="preserve">Critique</t>
  </si>
  <si>
    <t xml:space="preserve">Total</t>
  </si>
  <si>
    <t xml:space="preserve"> </t>
  </si>
  <si>
    <t xml:space="preserve">Image de marque</t>
  </si>
  <si>
    <t xml:space="preserve">Aspect financier</t>
  </si>
  <si>
    <t xml:space="preserve">Aspect réglementaire</t>
  </si>
  <si>
    <t xml:space="preserve">Tiers</t>
  </si>
  <si>
    <t xml:space="preserve">Critère d’appréciation</t>
  </si>
  <si>
    <t xml:space="preserve">Faible impact sur l’image</t>
  </si>
  <si>
    <t xml:space="preserve"> &lt; à 5% du Résultat courant</t>
  </si>
  <si>
    <t xml:space="preserve">Sanction administrative</t>
  </si>
  <si>
    <t xml:space="preserve">Impact sur l’image à court terme </t>
  </si>
  <si>
    <t xml:space="preserve">Actionnaires </t>
  </si>
  <si>
    <t xml:space="preserve">Condamnation pénale</t>
  </si>
  <si>
    <t xml:space="preserve">Code de la fréquence</t>
  </si>
  <si>
    <t xml:space="preserve">Description</t>
  </si>
  <si>
    <t xml:space="preserve">Code</t>
  </si>
  <si>
    <t xml:space="preserve">Criticité  (Impact*Fréquence)</t>
  </si>
  <si>
    <t xml:space="preserve">Criticité</t>
  </si>
  <si>
    <t xml:space="preserve">A</t>
  </si>
  <si>
    <t xml:space="preserve">1 fois tous les 5-10ans</t>
  </si>
  <si>
    <t xml:space="preserve">AA</t>
  </si>
  <si>
    <t xml:space="preserve">B</t>
  </si>
  <si>
    <t xml:space="preserve">1 fois par an</t>
  </si>
  <si>
    <t xml:space="preserve">AB</t>
  </si>
  <si>
    <t xml:space="preserve">Frèquente</t>
  </si>
  <si>
    <t xml:space="preserve">C</t>
  </si>
  <si>
    <t xml:space="preserve">1 fois par mois</t>
  </si>
  <si>
    <t xml:space="preserve">AC</t>
  </si>
  <si>
    <t xml:space="preserve">D</t>
  </si>
  <si>
    <t xml:space="preserve">1 par semaine</t>
  </si>
  <si>
    <t xml:space="preserve">AD</t>
  </si>
  <si>
    <t xml:space="preserve">BA</t>
  </si>
  <si>
    <t xml:space="preserve">BB</t>
  </si>
  <si>
    <t xml:space="preserve">BC</t>
  </si>
  <si>
    <t xml:space="preserve">BD</t>
  </si>
  <si>
    <t xml:space="preserve">CA</t>
  </si>
  <si>
    <t xml:space="preserve">CB</t>
  </si>
  <si>
    <t xml:space="preserve">CC</t>
  </si>
  <si>
    <t xml:space="preserve">Poids &gt;</t>
  </si>
  <si>
    <t xml:space="preserve">Catégorie impact</t>
  </si>
  <si>
    <t xml:space="preserve">Code impact</t>
  </si>
  <si>
    <t xml:space="preserve">CD</t>
  </si>
  <si>
    <t xml:space="preserve">Faible ou Insignifiant</t>
  </si>
  <si>
    <t xml:space="preserve">DA</t>
  </si>
  <si>
    <t xml:space="preserve"> Significatif ou relativement grave </t>
  </si>
  <si>
    <t xml:space="preserve">DB</t>
  </si>
  <si>
    <t xml:space="preserve">Critique ou vraiment grave</t>
  </si>
  <si>
    <t xml:space="preserve">DC</t>
  </si>
  <si>
    <t xml:space="preserve">Stratégique ou inadmissible</t>
  </si>
  <si>
    <t xml:space="preserve">DD</t>
  </si>
  <si>
    <t xml:space="preserve">Impact niveau 1</t>
  </si>
  <si>
    <t xml:space="preserve">Impact niveau 2</t>
  </si>
  <si>
    <t xml:space="preserve">Impact niveau 3</t>
  </si>
  <si>
    <t xml:space="preserve">Impact niveau 4</t>
  </si>
</sst>
</file>

<file path=xl/styles.xml><?xml version="1.0" encoding="utf-8"?>
<styleSheet xmlns="http://schemas.openxmlformats.org/spreadsheetml/2006/main">
  <numFmts count="7">
    <numFmt numFmtId="164" formatCode="General"/>
    <numFmt numFmtId="165" formatCode="dd/mm/yyyy"/>
    <numFmt numFmtId="166" formatCode="General"/>
    <numFmt numFmtId="167" formatCode="0.00"/>
    <numFmt numFmtId="168" formatCode="dd\-mmm\-yy"/>
    <numFmt numFmtId="169" formatCode="0.00E+00"/>
    <numFmt numFmtId="170" formatCode="mmm\-yy"/>
  </numFmts>
  <fonts count="51">
    <font>
      <sz val="11"/>
      <color theme="1"/>
      <name val="Calibri"/>
      <family val="2"/>
      <charset val="1"/>
    </font>
    <font>
      <sz val="10"/>
      <name val="Arial"/>
      <family val="0"/>
    </font>
    <font>
      <sz val="10"/>
      <name val="Arial"/>
      <family val="0"/>
    </font>
    <font>
      <sz val="10"/>
      <name val="Arial"/>
      <family val="0"/>
    </font>
    <font>
      <sz val="10"/>
      <name val="Arial"/>
      <family val="2"/>
      <charset val="1"/>
    </font>
    <font>
      <sz val="11"/>
      <color theme="1"/>
      <name val="Candara"/>
      <family val="2"/>
      <charset val="1"/>
    </font>
    <font>
      <b val="true"/>
      <sz val="11"/>
      <color theme="1"/>
      <name val="Candara"/>
      <family val="2"/>
      <charset val="1"/>
    </font>
    <font>
      <sz val="11"/>
      <color rgb="FFFF0000"/>
      <name val="Candara"/>
      <family val="2"/>
      <charset val="1"/>
    </font>
    <font>
      <b val="true"/>
      <sz val="16"/>
      <color theme="1"/>
      <name val="Candara"/>
      <family val="2"/>
    </font>
    <font>
      <sz val="11"/>
      <color theme="1"/>
      <name val="Candara"/>
      <family val="2"/>
    </font>
    <font>
      <b val="true"/>
      <sz val="12"/>
      <color theme="1"/>
      <name val="Candara"/>
      <family val="2"/>
    </font>
    <font>
      <b val="true"/>
      <sz val="11"/>
      <color theme="1"/>
      <name val="Candara"/>
      <family val="2"/>
    </font>
    <font>
      <u val="single"/>
      <sz val="11"/>
      <color theme="1"/>
      <name val="Candara"/>
      <family val="2"/>
    </font>
    <font>
      <i val="true"/>
      <sz val="11"/>
      <color theme="1"/>
      <name val="Candara"/>
      <family val="2"/>
    </font>
    <font>
      <sz val="12"/>
      <color theme="1"/>
      <name val="Candara"/>
      <family val="2"/>
    </font>
    <font>
      <u val="single"/>
      <sz val="12"/>
      <color theme="1"/>
      <name val="Candara"/>
      <family val="2"/>
    </font>
    <font>
      <u val="single"/>
      <sz val="11"/>
      <color rgb="FF00B0F0"/>
      <name val="Calibri"/>
      <family val="0"/>
    </font>
    <font>
      <b val="true"/>
      <sz val="20"/>
      <color theme="1"/>
      <name val="Candara"/>
      <family val="2"/>
    </font>
    <font>
      <b val="true"/>
      <sz val="12"/>
      <color theme="1"/>
      <name val="Candara"/>
      <family val="2"/>
      <charset val="1"/>
    </font>
    <font>
      <b val="true"/>
      <i val="true"/>
      <sz val="11"/>
      <color theme="1"/>
      <name val="Candara"/>
      <family val="2"/>
      <charset val="1"/>
    </font>
    <font>
      <u val="single"/>
      <sz val="11"/>
      <color theme="10"/>
      <name val="Calibri"/>
      <family val="2"/>
      <charset val="1"/>
    </font>
    <font>
      <b val="true"/>
      <sz val="11"/>
      <name val="Candara"/>
      <family val="2"/>
      <charset val="1"/>
    </font>
    <font>
      <sz val="12"/>
      <name val=""/>
      <family val="1"/>
      <charset val="1"/>
    </font>
    <font>
      <sz val="18"/>
      <color theme="1"/>
      <name val="Candara"/>
      <family val="2"/>
      <charset val="1"/>
    </font>
    <font>
      <sz val="11"/>
      <color rgb="FF000000"/>
      <name val="Candara"/>
      <family val="2"/>
      <charset val="1"/>
    </font>
    <font>
      <sz val="11"/>
      <name val="Candara"/>
      <family val="2"/>
      <charset val="1"/>
    </font>
    <font>
      <sz val="11"/>
      <color theme="0"/>
      <name val="Candara"/>
      <family val="2"/>
      <charset val="1"/>
    </font>
    <font>
      <sz val="14"/>
      <color theme="0"/>
      <name val="Calibri"/>
      <family val="0"/>
    </font>
    <font>
      <sz val="20"/>
      <color theme="0"/>
      <name val="Calibri"/>
      <family val="0"/>
    </font>
    <font>
      <b val="true"/>
      <sz val="24"/>
      <color theme="1"/>
      <name val="Candara"/>
      <family val="2"/>
    </font>
    <font>
      <sz val="18"/>
      <color rgb="FF000000"/>
      <name val="Wingdings 2"/>
      <family val="0"/>
      <charset val="1"/>
    </font>
    <font>
      <b val="true"/>
      <sz val="11"/>
      <color theme="0"/>
      <name val="Candara"/>
      <family val="2"/>
      <charset val="1"/>
    </font>
    <font>
      <b val="true"/>
      <sz val="11"/>
      <color rgb="FFFF0000"/>
      <name val="Candara"/>
      <family val="2"/>
      <charset val="1"/>
    </font>
    <font>
      <b val="true"/>
      <i val="true"/>
      <sz val="12"/>
      <color theme="1"/>
      <name val="Candara"/>
      <family val="2"/>
      <charset val="1"/>
    </font>
    <font>
      <b val="true"/>
      <sz val="18"/>
      <color rgb="FF000000"/>
      <name val="Calibri"/>
      <family val="2"/>
    </font>
    <font>
      <sz val="10"/>
      <color rgb="FF000000"/>
      <name val="Calibri"/>
      <family val="2"/>
    </font>
    <font>
      <sz val="36"/>
      <color rgb="FF002060"/>
      <name val="Times New Roman"/>
      <family val="1"/>
    </font>
    <font>
      <sz val="18"/>
      <color theme="1"/>
      <name val="Times New Roman"/>
      <family val="1"/>
    </font>
    <font>
      <sz val="12"/>
      <color theme="1"/>
      <name val="Calibri"/>
      <family val="2"/>
      <charset val="1"/>
    </font>
    <font>
      <b val="true"/>
      <sz val="12"/>
      <color rgb="FF00B0F0"/>
      <name val="Calibri"/>
      <family val="2"/>
      <charset val="1"/>
    </font>
    <font>
      <b val="true"/>
      <sz val="11"/>
      <color theme="0"/>
      <name val="Calibri"/>
      <family val="2"/>
      <charset val="1"/>
    </font>
    <font>
      <sz val="11"/>
      <color rgb="FFFF0000"/>
      <name val="Calibri"/>
      <family val="2"/>
      <charset val="1"/>
    </font>
    <font>
      <b val="true"/>
      <sz val="11"/>
      <color rgb="FF00B0F0"/>
      <name val="Calibri"/>
      <family val="2"/>
      <charset val="1"/>
    </font>
    <font>
      <b val="true"/>
      <sz val="11"/>
      <name val="Calibri"/>
      <family val="2"/>
      <charset val="1"/>
    </font>
    <font>
      <sz val="11"/>
      <name val="Calibri"/>
      <family val="2"/>
      <charset val="1"/>
    </font>
    <font>
      <b val="true"/>
      <sz val="11"/>
      <color rgb="FFFF0000"/>
      <name val="Calibri"/>
      <family val="2"/>
      <charset val="1"/>
    </font>
    <font>
      <sz val="20"/>
      <color rgb="FF00B0F0"/>
      <name val="Calibri"/>
      <family val="0"/>
    </font>
    <font>
      <sz val="18"/>
      <color rgb="FF00B0F0"/>
      <name val="Calibri"/>
      <family val="0"/>
    </font>
    <font>
      <u val="single"/>
      <sz val="12"/>
      <color rgb="FF00B0F0"/>
      <name val="Calibri"/>
      <family val="0"/>
    </font>
    <font>
      <sz val="16"/>
      <color rgb="FF00B0F0"/>
      <name val="Calibri"/>
      <family val="0"/>
    </font>
    <font>
      <u val="single"/>
      <sz val="12"/>
      <color rgb="FFC00000"/>
      <name val="Calibri"/>
      <family val="0"/>
    </font>
  </fonts>
  <fills count="9">
    <fill>
      <patternFill patternType="none"/>
    </fill>
    <fill>
      <patternFill patternType="gray125"/>
    </fill>
    <fill>
      <patternFill patternType="solid">
        <fgColor theme="0"/>
        <bgColor rgb="FFFBFBFB"/>
      </patternFill>
    </fill>
    <fill>
      <patternFill patternType="solid">
        <fgColor rgb="FF62BD8A"/>
        <bgColor rgb="FF9BBB59"/>
      </patternFill>
    </fill>
    <fill>
      <patternFill patternType="solid">
        <fgColor rgb="FFF37B9D"/>
        <bgColor rgb="FFFF99CC"/>
      </patternFill>
    </fill>
    <fill>
      <patternFill patternType="solid">
        <fgColor theme="4" tint="0.7999"/>
        <bgColor rgb="FFD9D9D9"/>
      </patternFill>
    </fill>
    <fill>
      <patternFill patternType="solid">
        <fgColor theme="0" tint="-0.25"/>
        <bgColor rgb="FFFAFAFA"/>
      </patternFill>
    </fill>
    <fill>
      <patternFill patternType="solid">
        <fgColor rgb="FFC5C5C5"/>
        <bgColor rgb="FFD9D9D9"/>
      </patternFill>
    </fill>
    <fill>
      <patternFill patternType="solid">
        <fgColor rgb="FF002060"/>
        <bgColor rgb="FF17375E"/>
      </patternFill>
    </fill>
  </fills>
  <borders count="19">
    <border diagonalUp="false" diagonalDown="false">
      <left/>
      <right/>
      <top/>
      <bottom/>
      <diagonal/>
    </border>
    <border diagonalUp="false" diagonalDown="false">
      <left style="thin"/>
      <right style="thin"/>
      <top style="thin"/>
      <bottom style="thin"/>
      <diagonal/>
    </border>
    <border diagonalUp="false" diagonalDown="false">
      <left style="double"/>
      <right/>
      <top/>
      <bottom/>
      <diagonal/>
    </border>
    <border diagonalUp="false" diagonalDown="false">
      <left style="thin"/>
      <right style="thin"/>
      <top style="thin"/>
      <bottom/>
      <diagonal/>
    </border>
    <border diagonalUp="false" diagonalDown="false">
      <left style="double"/>
      <right style="thin"/>
      <top style="double"/>
      <bottom style="thin"/>
      <diagonal/>
    </border>
    <border diagonalUp="false" diagonalDown="false">
      <left style="thin"/>
      <right style="thin"/>
      <top style="double"/>
      <bottom style="thin"/>
      <diagonal/>
    </border>
    <border diagonalUp="false" diagonalDown="false">
      <left style="thin"/>
      <right/>
      <top style="double"/>
      <bottom style="thin"/>
      <diagonal/>
    </border>
    <border diagonalUp="false" diagonalDown="false">
      <left style="thin"/>
      <right style="double"/>
      <top style="double"/>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style="double"/>
      <right style="thin"/>
      <top style="thin"/>
      <bottom style="thin"/>
      <diagonal/>
    </border>
    <border diagonalUp="false" diagonalDown="false">
      <left style="thin"/>
      <right style="double"/>
      <top style="thin"/>
      <bottom style="thin"/>
      <diagonal/>
    </border>
    <border diagonalUp="false" diagonalDown="false">
      <left style="hair"/>
      <right/>
      <top style="hair"/>
      <bottom style="hair"/>
      <diagonal/>
    </border>
    <border diagonalUp="false" diagonalDown="false">
      <left style="hair"/>
      <right style="hair"/>
      <top style="hair"/>
      <bottom style="hair"/>
      <diagonal/>
    </border>
    <border diagonalUp="false" diagonalDown="false">
      <left style="hair"/>
      <right/>
      <top style="hair"/>
      <bottom/>
      <diagonal/>
    </border>
    <border diagonalUp="false" diagonalDown="false">
      <left/>
      <right style="hair"/>
      <top style="hair"/>
      <bottom/>
      <diagonal/>
    </border>
    <border diagonalUp="false" diagonalDown="false">
      <left/>
      <right/>
      <top style="hair"/>
      <bottom/>
      <diagonal/>
    </border>
    <border diagonalUp="false" diagonalDown="false">
      <left style="hair"/>
      <right style="hair"/>
      <top style="hair"/>
      <bottom/>
      <diagonal/>
    </border>
    <border diagonalUp="false" diagonalDown="false">
      <left style="hair"/>
      <right/>
      <top/>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2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cellStyleXfs>
  <cellXfs count="104">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6" fillId="0" borderId="1" xfId="0" applyFont="true" applyBorder="true" applyAlignment="true" applyProtection="false">
      <alignment horizontal="left" vertical="bottom" textRotation="0" wrapText="false" indent="0" shrinkToFit="false"/>
      <protection locked="true" hidden="false"/>
    </xf>
    <xf numFmtId="165" fontId="5" fillId="0" borderId="1" xfId="0" applyFont="true" applyBorder="true" applyAlignment="true" applyProtection="true">
      <alignment horizontal="center" vertical="bottom" textRotation="0" wrapText="false" indent="0" shrinkToFit="false"/>
      <protection locked="fals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true">
      <alignment horizontal="general" vertical="bottom" textRotation="0" wrapText="false" indent="0" shrinkToFit="false"/>
      <protection locked="false" hidden="false"/>
    </xf>
    <xf numFmtId="164" fontId="5" fillId="2" borderId="2" xfId="0" applyFont="true" applyBorder="true" applyAlignment="false" applyProtection="true">
      <alignment horizontal="general" vertical="bottom" textRotation="0" wrapText="false" indent="0" shrinkToFit="false"/>
      <protection locked="false" hidden="false"/>
    </xf>
    <xf numFmtId="164" fontId="18" fillId="3" borderId="1" xfId="0" applyFont="true" applyBorder="true" applyAlignment="true" applyProtection="true">
      <alignment horizontal="center" vertical="center" textRotation="0" wrapText="true" indent="0" shrinkToFit="false"/>
      <protection locked="false" hidden="false"/>
    </xf>
    <xf numFmtId="164" fontId="5" fillId="2" borderId="0" xfId="0" applyFont="true" applyBorder="false" applyAlignment="true" applyProtection="true">
      <alignment horizontal="general" vertical="bottom" textRotation="0" wrapText="true" indent="0" shrinkToFit="false"/>
      <protection locked="false" hidden="false"/>
    </xf>
    <xf numFmtId="164" fontId="19" fillId="2" borderId="0" xfId="0" applyFont="true" applyBorder="true" applyAlignment="true" applyProtection="true">
      <alignment horizontal="center" vertical="bottom" textRotation="0" wrapText="true" indent="0" shrinkToFit="false"/>
      <protection locked="false" hidden="false"/>
    </xf>
    <xf numFmtId="164" fontId="18" fillId="3" borderId="3" xfId="0" applyFont="true" applyBorder="true" applyAlignment="true" applyProtection="true">
      <alignment horizontal="left" vertical="center" textRotation="0" wrapText="true" indent="4" shrinkToFit="false"/>
      <protection locked="false" hidden="false"/>
    </xf>
    <xf numFmtId="164" fontId="6" fillId="2" borderId="0" xfId="0" applyFont="true" applyBorder="false" applyAlignment="false" applyProtection="true">
      <alignment horizontal="general" vertical="bottom" textRotation="0" wrapText="false" indent="0" shrinkToFit="false"/>
      <protection locked="false" hidden="false"/>
    </xf>
    <xf numFmtId="164" fontId="6" fillId="2" borderId="2" xfId="0" applyFont="true" applyBorder="true" applyAlignment="false" applyProtection="true">
      <alignment horizontal="general" vertical="bottom" textRotation="0" wrapText="false" indent="0" shrinkToFit="false"/>
      <protection locked="false" hidden="false"/>
    </xf>
    <xf numFmtId="164" fontId="6" fillId="3" borderId="4" xfId="0" applyFont="true" applyBorder="true" applyAlignment="true" applyProtection="true">
      <alignment horizontal="center" vertical="center" textRotation="0" wrapText="true" indent="0" shrinkToFit="false"/>
      <protection locked="false" hidden="false"/>
    </xf>
    <xf numFmtId="164" fontId="6" fillId="3" borderId="5" xfId="0" applyFont="true" applyBorder="true" applyAlignment="true" applyProtection="true">
      <alignment horizontal="center" vertical="center" textRotation="0" wrapText="true" indent="0" shrinkToFit="false"/>
      <protection locked="false" hidden="false"/>
    </xf>
    <xf numFmtId="164" fontId="20" fillId="3" borderId="6" xfId="20" applyFont="true" applyBorder="true" applyAlignment="true" applyProtection="true">
      <alignment horizontal="center" vertical="center" textRotation="0" wrapText="true" indent="0" shrinkToFit="false"/>
      <protection locked="false" hidden="false"/>
    </xf>
    <xf numFmtId="164" fontId="20" fillId="3" borderId="5" xfId="20" applyFont="true" applyBorder="true" applyAlignment="true" applyProtection="true">
      <alignment horizontal="center" vertical="center" textRotation="0" wrapText="true" indent="0" shrinkToFit="false"/>
      <protection locked="false" hidden="false"/>
    </xf>
    <xf numFmtId="164" fontId="6" fillId="3" borderId="7" xfId="0" applyFont="true" applyBorder="true" applyAlignment="true" applyProtection="true">
      <alignment horizontal="center" vertical="center" textRotation="0" wrapText="true" indent="0" shrinkToFit="false"/>
      <protection locked="false" hidden="false"/>
    </xf>
    <xf numFmtId="164" fontId="20" fillId="3" borderId="8" xfId="20" applyFont="true" applyBorder="true" applyAlignment="true" applyProtection="true">
      <alignment horizontal="general" vertical="center" textRotation="0" wrapText="true" indent="0" shrinkToFit="false"/>
      <protection locked="false" hidden="false"/>
    </xf>
    <xf numFmtId="164" fontId="20" fillId="3" borderId="9" xfId="20" applyFont="true" applyBorder="true" applyAlignment="true" applyProtection="true">
      <alignment horizontal="general" vertical="center" textRotation="0" wrapText="true" indent="0" shrinkToFit="false"/>
      <protection locked="false" hidden="false"/>
    </xf>
    <xf numFmtId="164" fontId="6" fillId="2" borderId="0" xfId="0" applyFont="true" applyBorder="false" applyAlignment="true" applyProtection="true">
      <alignment horizontal="general" vertical="center" textRotation="0" wrapText="false" indent="0" shrinkToFit="false"/>
      <protection locked="false" hidden="false"/>
    </xf>
    <xf numFmtId="164" fontId="6" fillId="2" borderId="2" xfId="0" applyFont="true" applyBorder="true" applyAlignment="true" applyProtection="true">
      <alignment horizontal="general" vertical="center" textRotation="0" wrapText="false" indent="0" shrinkToFit="false"/>
      <protection locked="false" hidden="false"/>
    </xf>
    <xf numFmtId="166" fontId="6" fillId="4" borderId="1" xfId="0" applyFont="true" applyBorder="true" applyAlignment="true" applyProtection="true">
      <alignment horizontal="center" vertical="center" textRotation="0" wrapText="true" indent="0" shrinkToFit="false"/>
      <protection locked="false" hidden="false"/>
    </xf>
    <xf numFmtId="164" fontId="6" fillId="3" borderId="1" xfId="0" applyFont="true" applyBorder="true" applyAlignment="true" applyProtection="true">
      <alignment horizontal="center" vertical="center" textRotation="0" wrapText="true" indent="0" shrinkToFit="false"/>
      <protection locked="false" hidden="false"/>
    </xf>
    <xf numFmtId="164" fontId="6" fillId="5" borderId="1" xfId="0" applyFont="true" applyBorder="true" applyAlignment="true" applyProtection="true">
      <alignment horizontal="center" vertical="center" textRotation="0" wrapText="true" indent="0" shrinkToFit="false"/>
      <protection locked="false" hidden="false"/>
    </xf>
    <xf numFmtId="164" fontId="21" fillId="3" borderId="10" xfId="0" applyFont="true" applyBorder="true" applyAlignment="true" applyProtection="true">
      <alignment horizontal="center" vertical="center" textRotation="0" wrapText="true" indent="0" shrinkToFit="false"/>
      <protection locked="false" hidden="false"/>
    </xf>
    <xf numFmtId="164" fontId="22" fillId="2" borderId="1" xfId="0" applyFont="true" applyBorder="true" applyAlignment="true" applyProtection="true">
      <alignment horizontal="center" vertical="center" textRotation="0" wrapText="true" indent="0" shrinkToFit="false"/>
      <protection locked="false" hidden="false"/>
    </xf>
    <xf numFmtId="164" fontId="5" fillId="2" borderId="1" xfId="0" applyFont="true" applyBorder="true" applyAlignment="true" applyProtection="true">
      <alignment horizontal="center" vertical="center" textRotation="0" wrapText="true" indent="0" shrinkToFit="false"/>
      <protection locked="false" hidden="false"/>
    </xf>
    <xf numFmtId="166" fontId="23" fillId="6" borderId="1" xfId="0" applyFont="true" applyBorder="true" applyAlignment="true" applyProtection="false">
      <alignment horizontal="center" vertical="center" textRotation="0" wrapText="true" indent="0" shrinkToFit="false"/>
      <protection locked="true" hidden="false"/>
    </xf>
    <xf numFmtId="167" fontId="23" fillId="6" borderId="1" xfId="0" applyFont="true" applyBorder="true" applyAlignment="true" applyProtection="false">
      <alignment horizontal="center" vertical="center" textRotation="0" wrapText="true" indent="0" shrinkToFit="false"/>
      <protection locked="true" hidden="false"/>
    </xf>
    <xf numFmtId="164" fontId="5" fillId="0" borderId="1" xfId="0" applyFont="true" applyBorder="true" applyAlignment="true" applyProtection="true">
      <alignment horizontal="center" vertical="center" textRotation="0" wrapText="true" indent="0" shrinkToFit="false"/>
      <protection locked="false" hidden="false"/>
    </xf>
    <xf numFmtId="164" fontId="5" fillId="6" borderId="1" xfId="0" applyFont="true" applyBorder="true" applyAlignment="true" applyProtection="false">
      <alignment horizontal="center" vertical="center" textRotation="0" wrapText="true" indent="0" shrinkToFit="false"/>
      <protection locked="true" hidden="false"/>
    </xf>
    <xf numFmtId="164" fontId="24" fillId="2" borderId="1" xfId="0" applyFont="true" applyBorder="true" applyAlignment="true" applyProtection="true">
      <alignment horizontal="center" vertical="center" textRotation="0" wrapText="true" indent="0" shrinkToFit="false"/>
      <protection locked="false" hidden="false"/>
    </xf>
    <xf numFmtId="168" fontId="24" fillId="2" borderId="1" xfId="0" applyFont="true" applyBorder="true" applyAlignment="true" applyProtection="true">
      <alignment horizontal="center" vertical="center" textRotation="0" wrapText="true" indent="0" shrinkToFit="false"/>
      <protection locked="false" hidden="false"/>
    </xf>
    <xf numFmtId="169" fontId="5" fillId="2" borderId="1" xfId="0" applyFont="true" applyBorder="true" applyAlignment="true" applyProtection="true">
      <alignment horizontal="center" vertical="center" textRotation="0" wrapText="true" indent="0" shrinkToFit="false"/>
      <protection locked="false" hidden="false"/>
    </xf>
    <xf numFmtId="164" fontId="5" fillId="2" borderId="1" xfId="0" applyFont="true" applyBorder="true" applyAlignment="true" applyProtection="false">
      <alignment horizontal="center" vertical="center" textRotation="0" wrapText="true" indent="0" shrinkToFit="false"/>
      <protection locked="true" hidden="false"/>
    </xf>
    <xf numFmtId="164" fontId="5" fillId="7" borderId="1" xfId="0" applyFont="true" applyBorder="true" applyAlignment="true" applyProtection="false">
      <alignment horizontal="center" vertical="center" textRotation="0" wrapText="true" indent="0" shrinkToFit="false"/>
      <protection locked="true" hidden="false"/>
    </xf>
    <xf numFmtId="164" fontId="5" fillId="2" borderId="11" xfId="0" applyFont="true" applyBorder="true" applyAlignment="true" applyProtection="true">
      <alignment horizontal="center" vertical="center" textRotation="0" wrapText="true" indent="0" shrinkToFit="false"/>
      <protection locked="false" hidden="false"/>
    </xf>
    <xf numFmtId="164" fontId="25" fillId="2" borderId="1" xfId="0" applyFont="true" applyBorder="true" applyAlignment="true" applyProtection="true">
      <alignment horizontal="center" vertical="center" textRotation="0" wrapText="true" indent="0" shrinkToFit="false"/>
      <protection locked="false" hidden="false"/>
    </xf>
    <xf numFmtId="164" fontId="25" fillId="0" borderId="1" xfId="0" applyFont="true" applyBorder="true" applyAlignment="true" applyProtection="true">
      <alignment horizontal="center" vertical="center" textRotation="0" wrapText="true" indent="0" shrinkToFit="false"/>
      <protection locked="false" hidden="false"/>
    </xf>
    <xf numFmtId="170" fontId="24" fillId="2" borderId="1" xfId="0" applyFont="true" applyBorder="true" applyAlignment="true" applyProtection="true">
      <alignment horizontal="center" vertical="center" textRotation="0" wrapText="true" indent="0" shrinkToFit="false"/>
      <protection locked="false" hidden="false"/>
    </xf>
    <xf numFmtId="164" fontId="5" fillId="0" borderId="0" xfId="0" applyFont="true" applyBorder="false" applyAlignment="false" applyProtection="true">
      <alignment horizontal="general" vertical="bottom" textRotation="0" wrapText="false" indent="0" shrinkToFit="false"/>
      <protection locked="false" hidden="false"/>
    </xf>
    <xf numFmtId="164" fontId="5" fillId="0" borderId="2" xfId="0" applyFont="true" applyBorder="true" applyAlignment="false" applyProtection="true">
      <alignment horizontal="general" vertical="bottom" textRotation="0" wrapText="false" indent="0" shrinkToFit="false"/>
      <protection locked="false" hidden="false"/>
    </xf>
    <xf numFmtId="164" fontId="24" fillId="0" borderId="1" xfId="0" applyFont="true" applyBorder="true" applyAlignment="true" applyProtection="true">
      <alignment horizontal="center" vertical="center" textRotation="0" wrapText="true" indent="0" shrinkToFit="false"/>
      <protection locked="false" hidden="false"/>
    </xf>
    <xf numFmtId="170" fontId="24" fillId="0" borderId="1" xfId="0" applyFont="true" applyBorder="true" applyAlignment="true" applyProtection="true">
      <alignment horizontal="center" vertical="center" textRotation="0" wrapText="true" indent="0" shrinkToFit="false"/>
      <protection locked="false" hidden="false"/>
    </xf>
    <xf numFmtId="164" fontId="5" fillId="0" borderId="11" xfId="0" applyFont="true" applyBorder="true" applyAlignment="true" applyProtection="true">
      <alignment horizontal="center" vertical="center" textRotation="0" wrapText="true" indent="0" shrinkToFit="false"/>
      <protection locked="false" hidden="false"/>
    </xf>
    <xf numFmtId="164" fontId="26" fillId="2" borderId="0" xfId="0" applyFont="true" applyBorder="false" applyAlignment="false" applyProtection="true">
      <alignment horizontal="general" vertical="bottom" textRotation="0" wrapText="false" indent="0" shrinkToFit="false"/>
      <protection locked="false" hidden="false"/>
    </xf>
    <xf numFmtId="164" fontId="5" fillId="2" borderId="0" xfId="0" applyFont="true" applyBorder="false" applyAlignment="true" applyProtection="true">
      <alignment horizontal="center" vertical="bottom" textRotation="0" wrapText="false" indent="0" shrinkToFit="false"/>
      <protection locked="false" hidden="false"/>
    </xf>
    <xf numFmtId="164" fontId="5" fillId="0" borderId="0" xfId="0" applyFont="true" applyBorder="false" applyAlignment="true" applyProtection="true">
      <alignment horizontal="center" vertical="bottom" textRotation="0" wrapText="false" indent="0" shrinkToFit="false"/>
      <protection locked="false" hidden="false"/>
    </xf>
    <xf numFmtId="164" fontId="7" fillId="2" borderId="0" xfId="0" applyFont="true" applyBorder="false" applyAlignment="false" applyProtection="true">
      <alignment horizontal="general" vertical="bottom" textRotation="0" wrapText="false" indent="0" shrinkToFit="false"/>
      <protection locked="false" hidden="false"/>
    </xf>
    <xf numFmtId="164" fontId="31" fillId="0" borderId="0" xfId="0" applyFont="true" applyBorder="false" applyAlignment="true" applyProtection="true">
      <alignment horizontal="general" vertical="center" textRotation="0" wrapText="false" indent="0" shrinkToFit="false"/>
      <protection locked="false" hidden="false"/>
    </xf>
    <xf numFmtId="164" fontId="31" fillId="0" borderId="0" xfId="0" applyFont="true" applyBorder="true" applyAlignment="true" applyProtection="true">
      <alignment horizontal="center" vertical="center" textRotation="0" wrapText="true" indent="0" shrinkToFit="false"/>
      <protection locked="false" hidden="false"/>
    </xf>
    <xf numFmtId="164" fontId="31" fillId="0" borderId="0" xfId="0" applyFont="true" applyBorder="false" applyAlignment="true" applyProtection="true">
      <alignment horizontal="center" vertical="bottom" textRotation="0" wrapText="false" indent="0" shrinkToFit="false"/>
      <protection locked="false" hidden="false"/>
    </xf>
    <xf numFmtId="164" fontId="31" fillId="0" borderId="0" xfId="0" applyFont="true" applyBorder="false" applyAlignment="true" applyProtection="true">
      <alignment horizontal="center" vertical="center" textRotation="0" wrapText="false" indent="0" shrinkToFit="false"/>
      <protection locked="false" hidden="false"/>
    </xf>
    <xf numFmtId="164" fontId="6" fillId="0" borderId="0" xfId="0" applyFont="true" applyBorder="true" applyAlignment="true" applyProtection="false">
      <alignment horizontal="center" vertical="bottom" textRotation="0" wrapText="false" indent="0" shrinkToFit="false"/>
      <protection locked="true" hidden="false"/>
    </xf>
    <xf numFmtId="166" fontId="21" fillId="0" borderId="0" xfId="0" applyFont="true" applyBorder="false" applyAlignment="true" applyProtection="false">
      <alignment horizontal="center" vertical="bottom" textRotation="0" wrapText="false" indent="0" shrinkToFit="false"/>
      <protection locked="true" hidden="false"/>
    </xf>
    <xf numFmtId="164" fontId="6" fillId="0" borderId="1" xfId="0" applyFont="true" applyBorder="true" applyAlignment="true" applyProtection="false">
      <alignment horizontal="right" vertical="center" textRotation="0" wrapText="true" indent="0" shrinkToFit="false"/>
      <protection locked="true" hidden="false"/>
    </xf>
    <xf numFmtId="166" fontId="6" fillId="0" borderId="0" xfId="0" applyFont="true" applyBorder="false" applyAlignment="true" applyProtection="true">
      <alignment horizontal="center" vertical="bottom" textRotation="0" wrapText="false" indent="0" shrinkToFit="false"/>
      <protection locked="true" hidden="true"/>
    </xf>
    <xf numFmtId="166" fontId="6" fillId="2" borderId="0" xfId="0" applyFont="true" applyBorder="false" applyAlignment="true" applyProtection="true">
      <alignment horizontal="center" vertical="bottom" textRotation="0" wrapText="false" indent="0" shrinkToFit="false"/>
      <protection locked="true" hidden="true"/>
    </xf>
    <xf numFmtId="164" fontId="18" fillId="2" borderId="0"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true">
      <alignment horizontal="right" vertical="bottom" textRotation="0" wrapText="false" indent="0" shrinkToFit="false"/>
      <protection locked="false" hidden="false"/>
    </xf>
    <xf numFmtId="166" fontId="18" fillId="2" borderId="0" xfId="0" applyFont="true" applyBorder="false" applyAlignment="true" applyProtection="true">
      <alignment horizontal="center" vertical="bottom" textRotation="0" wrapText="false" indent="0" shrinkToFit="false"/>
      <protection locked="true" hidden="true"/>
    </xf>
    <xf numFmtId="164" fontId="6" fillId="2" borderId="0" xfId="0" applyFont="true" applyBorder="true" applyAlignment="true" applyProtection="false">
      <alignment horizontal="center" vertical="bottom" textRotation="0" wrapText="false" indent="0" shrinkToFit="false"/>
      <protection locked="true" hidden="false"/>
    </xf>
    <xf numFmtId="166" fontId="32" fillId="2" borderId="0" xfId="0" applyFont="true" applyBorder="false" applyAlignment="true" applyProtection="true">
      <alignment horizontal="center" vertical="bottom" textRotation="0" wrapText="false" indent="0" shrinkToFit="false"/>
      <protection locked="true" hidden="true"/>
    </xf>
    <xf numFmtId="166" fontId="5" fillId="2" borderId="0" xfId="0" applyFont="true" applyBorder="false" applyAlignment="true" applyProtection="false">
      <alignment horizontal="center" vertical="bottom" textRotation="0" wrapText="false" indent="0" shrinkToFit="false"/>
      <protection locked="true" hidden="false"/>
    </xf>
    <xf numFmtId="164" fontId="33" fillId="0" borderId="0" xfId="0" applyFont="true" applyBorder="false" applyAlignment="true" applyProtection="true">
      <alignment horizontal="right" vertical="bottom" textRotation="0" wrapText="false" indent="0" shrinkToFit="false"/>
      <protection locked="false" hidden="false"/>
    </xf>
    <xf numFmtId="164" fontId="6" fillId="0" borderId="0" xfId="0" applyFont="true" applyBorder="false" applyAlignment="true" applyProtection="true">
      <alignment horizontal="center" vertical="bottom" textRotation="0" wrapText="false" indent="0" shrinkToFit="false"/>
      <protection locked="false" hidden="false"/>
    </xf>
    <xf numFmtId="166" fontId="6" fillId="0" borderId="0" xfId="0" applyFont="true" applyBorder="false" applyAlignment="true" applyProtection="false">
      <alignment horizontal="center" vertical="bottom" textRotation="0" wrapText="false" indent="0" shrinkToFit="false"/>
      <protection locked="true" hidden="false"/>
    </xf>
    <xf numFmtId="166" fontId="6" fillId="2" borderId="0" xfId="0" applyFont="true" applyBorder="false" applyAlignment="true" applyProtection="false">
      <alignment horizontal="center" vertical="bottom" textRotation="0" wrapText="false" indent="0" shrinkToFit="false"/>
      <protection locked="true" hidden="false"/>
    </xf>
    <xf numFmtId="164" fontId="0" fillId="2" borderId="0" xfId="0" applyFont="false" applyBorder="false" applyAlignment="false" applyProtection="true">
      <alignment horizontal="general" vertical="bottom" textRotation="0" wrapText="false" indent="0" shrinkToFit="false"/>
      <protection locked="false" hidden="false"/>
    </xf>
    <xf numFmtId="164" fontId="0" fillId="2" borderId="0" xfId="0" applyFont="false" applyBorder="false" applyAlignment="true" applyProtection="true">
      <alignment horizontal="center" vertical="bottom" textRotation="0" wrapText="false" indent="0" shrinkToFit="false"/>
      <protection locked="false" hidden="false"/>
    </xf>
    <xf numFmtId="164" fontId="38" fillId="2" borderId="0" xfId="0" applyFont="true" applyBorder="false" applyAlignment="true" applyProtection="true">
      <alignment horizontal="left" vertical="center" textRotation="0" wrapText="false" indent="0" shrinkToFit="false"/>
      <protection locked="false" hidden="false"/>
    </xf>
    <xf numFmtId="164" fontId="39" fillId="2" borderId="12" xfId="0" applyFont="true" applyBorder="true" applyAlignment="true" applyProtection="true">
      <alignment horizontal="left" vertical="center" textRotation="0" wrapText="false" indent="0" shrinkToFit="false"/>
      <protection locked="false" hidden="false"/>
    </xf>
    <xf numFmtId="164" fontId="39" fillId="2" borderId="13" xfId="0" applyFont="true" applyBorder="true" applyAlignment="true" applyProtection="true">
      <alignment horizontal="center" vertical="center" textRotation="0" wrapText="false" indent="0" shrinkToFit="false"/>
      <protection locked="false" hidden="false"/>
    </xf>
    <xf numFmtId="164" fontId="40" fillId="8" borderId="0" xfId="0" applyFont="true" applyBorder="fals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4" fontId="0" fillId="2" borderId="0" xfId="0" applyFont="true" applyBorder="false" applyAlignment="true" applyProtection="false">
      <alignment horizontal="general" vertical="center" textRotation="0" wrapText="false" indent="0" shrinkToFit="false"/>
      <protection locked="true" hidden="false"/>
    </xf>
    <xf numFmtId="164" fontId="41" fillId="2" borderId="0" xfId="0" applyFont="true" applyBorder="false" applyAlignment="true" applyProtection="false">
      <alignment horizontal="center" vertical="center" textRotation="0" wrapText="false" indent="0" shrinkToFit="false"/>
      <protection locked="true" hidden="false"/>
    </xf>
    <xf numFmtId="164" fontId="41" fillId="2" borderId="0" xfId="0" applyFont="true" applyBorder="false" applyAlignment="true" applyProtection="false">
      <alignment horizontal="general" vertical="center" textRotation="0" wrapText="false" indent="0" shrinkToFit="false"/>
      <protection locked="true" hidden="false"/>
    </xf>
    <xf numFmtId="164" fontId="41" fillId="2" borderId="0" xfId="0" applyFont="true" applyBorder="false" applyAlignment="true" applyProtection="true">
      <alignment horizontal="center" vertical="bottom" textRotation="0" wrapText="false" indent="0" shrinkToFit="false"/>
      <protection locked="false" hidden="false"/>
    </xf>
    <xf numFmtId="164" fontId="41" fillId="2" borderId="0" xfId="0" applyFont="true" applyBorder="false" applyAlignment="false" applyProtection="true">
      <alignment horizontal="general" vertical="bottom" textRotation="0" wrapText="false" indent="0" shrinkToFit="false"/>
      <protection locked="false" hidden="false"/>
    </xf>
    <xf numFmtId="164" fontId="40" fillId="8" borderId="14" xfId="0" applyFont="true" applyBorder="true" applyAlignment="true" applyProtection="true">
      <alignment horizontal="center" vertical="center" textRotation="0" wrapText="false" indent="0" shrinkToFit="false"/>
      <protection locked="false" hidden="false"/>
    </xf>
    <xf numFmtId="164" fontId="40" fillId="8" borderId="15" xfId="0" applyFont="true" applyBorder="true" applyAlignment="true" applyProtection="true">
      <alignment horizontal="center" vertical="center" textRotation="0" wrapText="false" indent="0" shrinkToFit="false"/>
      <protection locked="false" hidden="false"/>
    </xf>
    <xf numFmtId="164" fontId="40" fillId="8" borderId="14" xfId="0" applyFont="true" applyBorder="true" applyAlignment="true" applyProtection="true">
      <alignment horizontal="general" vertical="center" textRotation="0" wrapText="false" indent="0" shrinkToFit="false"/>
      <protection locked="false" hidden="false"/>
    </xf>
    <xf numFmtId="164" fontId="40" fillId="8" borderId="16" xfId="0" applyFont="true" applyBorder="true" applyAlignment="true" applyProtection="true">
      <alignment horizontal="center" vertical="center" textRotation="0" wrapText="false" indent="0" shrinkToFit="false"/>
      <protection locked="false" hidden="false"/>
    </xf>
    <xf numFmtId="164" fontId="40" fillId="8" borderId="17" xfId="0" applyFont="true" applyBorder="true" applyAlignment="true" applyProtection="true">
      <alignment horizontal="center" vertical="center" textRotation="0" wrapText="false" indent="0" shrinkToFit="false"/>
      <protection locked="false" hidden="false"/>
    </xf>
    <xf numFmtId="164" fontId="40" fillId="8" borderId="18" xfId="0" applyFont="true" applyBorder="true" applyAlignment="true" applyProtection="true">
      <alignment horizontal="center" vertical="center" textRotation="0" wrapText="false" indent="0" shrinkToFit="false"/>
      <protection locked="false" hidden="false"/>
    </xf>
    <xf numFmtId="164" fontId="40" fillId="8" borderId="0" xfId="0" applyFont="true" applyBorder="false" applyAlignment="true" applyProtection="true">
      <alignment horizontal="center" vertical="center" textRotation="0" wrapText="false" indent="0" shrinkToFit="false"/>
      <protection locked="false" hidden="false"/>
    </xf>
    <xf numFmtId="164" fontId="42" fillId="2" borderId="0" xfId="0" applyFont="true" applyBorder="false" applyAlignment="true" applyProtection="true">
      <alignment horizontal="right" vertical="center" textRotation="0" wrapText="false" indent="0" shrinkToFit="false"/>
      <protection locked="false" hidden="false"/>
    </xf>
    <xf numFmtId="164" fontId="43" fillId="2" borderId="0" xfId="0" applyFont="true" applyBorder="false" applyAlignment="true" applyProtection="true">
      <alignment horizontal="center" vertical="center" textRotation="0" wrapText="false" indent="0" shrinkToFit="false"/>
      <protection locked="false" hidden="false"/>
    </xf>
    <xf numFmtId="164" fontId="44" fillId="2" borderId="0" xfId="0" applyFont="true" applyBorder="false" applyAlignment="true" applyProtection="true">
      <alignment horizontal="general" vertical="center" textRotation="0" wrapText="false" indent="0" shrinkToFit="false"/>
      <protection locked="false" hidden="false"/>
    </xf>
    <xf numFmtId="164" fontId="44" fillId="2" borderId="0" xfId="0" applyFont="true" applyBorder="false" applyAlignment="true" applyProtection="true">
      <alignment horizontal="center" vertical="center" textRotation="0" wrapText="false" indent="0" shrinkToFit="false"/>
      <protection locked="false" hidden="false"/>
    </xf>
    <xf numFmtId="164" fontId="0" fillId="2" borderId="0" xfId="0" applyFont="true" applyBorder="false" applyAlignment="true" applyProtection="false">
      <alignment horizontal="center" vertical="center" textRotation="0" wrapText="false" indent="0" shrinkToFit="false"/>
      <protection locked="true" hidden="false"/>
    </xf>
    <xf numFmtId="164" fontId="43" fillId="2" borderId="13" xfId="0" applyFont="true" applyBorder="true" applyAlignment="true" applyProtection="true">
      <alignment horizontal="center" vertical="center" textRotation="0" wrapText="false" indent="0" shrinkToFit="false"/>
      <protection locked="false" hidden="false"/>
    </xf>
    <xf numFmtId="164" fontId="0" fillId="2" borderId="0" xfId="0" applyFont="false" applyBorder="false" applyAlignment="true" applyProtection="true">
      <alignment horizontal="center" vertical="center" textRotation="0" wrapText="false" indent="0" shrinkToFit="false"/>
      <protection locked="false" hidden="false"/>
    </xf>
    <xf numFmtId="164" fontId="45" fillId="2" borderId="0" xfId="0" applyFont="true" applyBorder="false" applyAlignment="true" applyProtection="true">
      <alignment horizontal="right" vertical="center" textRotation="0" wrapText="false" indent="0" shrinkToFit="false"/>
      <protection locked="false" hidden="false"/>
    </xf>
    <xf numFmtId="164" fontId="45" fillId="2" borderId="0" xfId="0" applyFont="true" applyBorder="false" applyAlignment="true" applyProtection="true">
      <alignment horizontal="center" vertical="center" textRotation="0" wrapText="false" indent="0" shrinkToFit="false"/>
      <protection locked="false" hidden="false"/>
    </xf>
    <xf numFmtId="164" fontId="42" fillId="2" borderId="0" xfId="0" applyFont="true" applyBorder="false" applyAlignment="true" applyProtection="true">
      <alignment horizontal="center" vertical="center" textRotation="0" wrapText="false" indent="0" shrinkToFit="false"/>
      <protection locked="false" hidden="false"/>
    </xf>
    <xf numFmtId="164" fontId="41" fillId="2" borderId="0" xfId="0" applyFont="true" applyBorder="false" applyAlignment="true" applyProtection="true">
      <alignment horizontal="center" vertical="center" textRotation="0" wrapText="false" indent="0" shrinkToFit="false"/>
      <protection locked="false" hidden="false"/>
    </xf>
    <xf numFmtId="164" fontId="0" fillId="2" borderId="0" xfId="0" applyFont="true" applyBorder="false" applyAlignment="true" applyProtection="true">
      <alignment horizontal="center" vertical="bottom" textRotation="0" wrapText="false" indent="0" shrinkToFit="false"/>
      <protection locked="false" hidden="false"/>
    </xf>
    <xf numFmtId="164" fontId="0" fillId="0" borderId="0" xfId="0" applyFont="true" applyBorder="false" applyAlignment="true" applyProtection="true">
      <alignment horizontal="center" vertical="bottom" textRotation="0" wrapText="false" indent="0" shrinkToFit="false"/>
      <protection locked="false" hidden="false"/>
    </xf>
    <xf numFmtId="164" fontId="42" fillId="2" borderId="13" xfId="0" applyFont="true" applyBorder="true" applyAlignment="true" applyProtection="true">
      <alignment horizontal="general" vertical="center" textRotation="0" wrapText="false" indent="0" shrinkToFit="false"/>
      <protection locked="false" hidden="false"/>
    </xf>
    <xf numFmtId="164" fontId="42" fillId="2" borderId="13" xfId="0" applyFont="true" applyBorder="true" applyAlignment="true" applyProtection="true">
      <alignment horizontal="center" vertical="center" textRotation="0" wrapText="false" indent="0" shrinkToFit="false"/>
      <protection locked="fals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unknown*" xfId="20" builtinId="8"/>
  </cellStyles>
  <dxfs count="45">
    <dxf>
      <fill>
        <patternFill>
          <bgColor rgb="FFFFC000"/>
        </patternFill>
      </fill>
    </dxf>
    <dxf>
      <fill>
        <patternFill>
          <bgColor rgb="FFFF0000"/>
        </patternFill>
      </fill>
    </dxf>
    <dxf>
      <fill>
        <patternFill>
          <bgColor rgb="FFFFFF00"/>
        </patternFill>
      </fill>
    </dxf>
    <dxf>
      <fill>
        <patternFill>
          <bgColor rgb="FF00B050"/>
        </patternFill>
      </fill>
    </dxf>
    <dxf>
      <font>
        <color rgb="FFFFFFFF"/>
      </font>
      <fill>
        <patternFill>
          <bgColor rgb="FFFF0000"/>
        </patternFill>
      </fill>
    </dxf>
    <dxf>
      <fill>
        <patternFill>
          <bgColor rgb="FFFFC000"/>
        </patternFill>
      </fill>
    </dxf>
    <dxf>
      <fill>
        <patternFill>
          <bgColor rgb="FFFFFF00"/>
        </patternFill>
      </fill>
    </dxf>
    <dxf>
      <font>
        <color rgb="FFFFFFFF"/>
      </font>
      <fill>
        <patternFill>
          <bgColor rgb="FF00B050"/>
        </patternFill>
      </fill>
    </dxf>
    <dxf>
      <font>
        <color rgb="00FFFFFF"/>
      </font>
      <fill>
        <patternFill/>
      </fill>
      <border diagonalUp="false" diagonalDown="false">
        <left style="thin"/>
        <right style="thin"/>
        <top style="thin"/>
        <bottom style="thin"/>
        <diagonal/>
      </border>
    </dxf>
    <dxf>
      <font>
        <color rgb="FFFF0000"/>
      </font>
      <fill>
        <patternFill>
          <bgColor rgb="FFA7C0DE"/>
        </patternFill>
      </fill>
    </dxf>
    <dxf>
      <font>
        <color rgb="FFFFFFFF"/>
      </font>
      <fill>
        <patternFill>
          <bgColor rgb="FF002060"/>
        </patternFill>
      </fill>
    </dxf>
    <dxf>
      <fill>
        <patternFill>
          <bgColor theme="6" tint="0.3999"/>
        </patternFill>
      </fill>
    </dxf>
    <dxf>
      <fill>
        <patternFill>
          <bgColor theme="4" tint="0.3999"/>
        </patternFill>
      </fill>
    </dxf>
    <dxf>
      <fill>
        <patternFill>
          <bgColor theme="5" tint="0.3999"/>
        </patternFill>
      </fill>
    </dxf>
    <dxf>
      <font>
        <color rgb="FFFFFFFF"/>
      </font>
      <fill>
        <patternFill>
          <bgColor rgb="FF00B0F0"/>
        </patternFill>
      </fill>
    </dxf>
    <dxf>
      <font>
        <color rgb="FFFFFFFF"/>
      </font>
      <fill>
        <patternFill>
          <bgColor rgb="FFFF0000"/>
        </patternFill>
      </fill>
    </dxf>
    <dxf>
      <fill>
        <patternFill>
          <bgColor rgb="FFFFFF00"/>
        </patternFill>
      </fill>
    </dxf>
    <dxf>
      <font>
        <color rgb="FFFFFFFF"/>
      </font>
      <fill>
        <patternFill>
          <bgColor rgb="FF00B050"/>
        </patternFill>
      </fill>
    </dxf>
    <dxf>
      <fill>
        <patternFill>
          <bgColor rgb="FFFFC000"/>
        </patternFill>
      </fill>
    </dxf>
    <dxf>
      <fill>
        <patternFill>
          <bgColor rgb="FFFF0000"/>
        </patternFill>
      </fill>
    </dxf>
    <dxf>
      <fill>
        <patternFill>
          <bgColor rgb="FFFFFF00"/>
        </patternFill>
      </fill>
    </dxf>
    <dxf>
      <fill>
        <patternFill>
          <bgColor rgb="FF00B050"/>
        </patternFill>
      </fill>
    </dxf>
    <dxf>
      <border diagonalUp="false" diagonalDown="false">
        <left style="thin">
          <color theme="3" tint="-0.25"/>
        </left>
        <right style="thin">
          <color theme="3" tint="-0.25"/>
        </right>
        <top style="thin">
          <color theme="3" tint="-0.25"/>
        </top>
        <bottom style="thin">
          <color theme="3" tint="-0.25"/>
        </bottom>
        <diagonal/>
      </border>
    </dxf>
    <dxf>
      <border diagonalUp="false" diagonalDown="false">
        <left style="thin">
          <color rgb="FF002060"/>
        </left>
        <right style="thin">
          <color rgb="FF002060"/>
        </right>
        <top style="thin">
          <color rgb="FF002060"/>
        </top>
        <bottom style="thin">
          <color rgb="FF002060"/>
        </bottom>
        <diagonal/>
      </border>
    </dxf>
    <dxf>
      <fill>
        <patternFill>
          <bgColor rgb="FF62BD8A"/>
        </patternFill>
      </fill>
      <border diagonalUp="false" diagonalDown="false">
        <left/>
        <right/>
        <top style="thin"/>
        <bottom style="thin"/>
        <diagonal/>
      </border>
    </dxf>
    <dxf>
      <border diagonalUp="false" diagonalDown="false">
        <left style="thin">
          <color rgb="FF002060"/>
        </left>
        <right style="thin">
          <color rgb="FF002060"/>
        </right>
        <top style="thin">
          <color rgb="FF002060"/>
        </top>
        <bottom style="thin">
          <color rgb="FF002060"/>
        </bottom>
        <diagonal/>
      </border>
    </dxf>
    <dxf>
      <font>
        <color rgb="FFFFFFFF"/>
      </font>
      <numFmt numFmtId="164" formatCode="General"/>
    </dxf>
    <dxf>
      <fill>
        <patternFill>
          <bgColor theme="6" tint="0.7999"/>
        </patternFill>
      </fill>
      <border diagonalUp="false" diagonalDown="false">
        <left/>
        <right/>
        <top style="thin"/>
        <bottom style="thin"/>
        <diagonal/>
      </border>
    </dxf>
    <dxf>
      <fill>
        <patternFill>
          <bgColor theme="6" tint="0.7999"/>
        </patternFill>
      </fill>
      <border diagonalUp="false" diagonalDown="false">
        <left/>
        <right/>
        <top style="thin"/>
        <bottom style="thin"/>
        <diagonal/>
      </border>
    </dxf>
    <dxf>
      <fill>
        <patternFill>
          <bgColor theme="6" tint="0.7999"/>
        </patternFill>
      </fill>
      <border diagonalUp="false" diagonalDown="false">
        <left/>
        <right/>
        <top style="thin"/>
        <bottom style="thin"/>
        <diagonal/>
      </border>
    </dxf>
    <dxf>
      <font>
        <color rgb="FFFFFFFF"/>
      </font>
      <fill>
        <patternFill>
          <bgColor rgb="FF62BD8A"/>
        </patternFill>
      </fill>
      <border diagonalUp="false" diagonalDown="false">
        <left/>
        <right/>
        <top style="thin"/>
        <bottom style="thin"/>
        <diagonal/>
      </border>
    </dxf>
    <dxf>
      <border diagonalUp="false" diagonalDown="false">
        <left/>
        <right/>
        <top style="hair"/>
        <bottom style="hair"/>
        <diagonal/>
      </border>
    </dxf>
    <dxf>
      <border diagonalUp="false" diagonalDown="false">
        <left/>
        <right/>
        <top style="hair"/>
        <bottom style="hair"/>
        <diagonal/>
      </border>
    </dxf>
    <dxf>
      <fill>
        <patternFill>
          <bgColor theme="0" tint="-0.35"/>
        </patternFill>
      </fill>
    </dxf>
    <dxf>
      <border diagonalUp="false" diagonalDown="false">
        <left/>
        <right/>
        <top style="hair"/>
        <bottom style="hair"/>
        <diagonal/>
      </border>
    </dxf>
    <dxf>
      <border diagonalUp="false" diagonalDown="false">
        <left/>
        <right/>
        <top style="hair"/>
        <bottom style="hair"/>
        <diagonal/>
      </border>
    </dxf>
    <dxf>
      <border diagonalUp="false" diagonalDown="false">
        <left/>
        <right/>
        <top style="hair"/>
        <bottom style="hair"/>
        <diagonal/>
      </border>
    </dxf>
    <dxf>
      <border diagonalUp="false" diagonalDown="false">
        <left/>
        <right/>
        <top style="hair"/>
        <bottom style="hair"/>
        <diagonal/>
      </border>
    </dxf>
    <dxf>
      <border diagonalUp="false" diagonalDown="false">
        <left/>
        <right/>
        <top style="hair"/>
        <bottom style="hair"/>
        <diagonal/>
      </border>
    </dxf>
    <dxf>
      <border diagonalUp="false" diagonalDown="false">
        <left/>
        <right/>
        <top style="hair"/>
        <bottom style="hair"/>
        <diagonal/>
      </border>
    </dxf>
    <dxf>
      <border diagonalUp="false" diagonalDown="false">
        <left/>
        <right/>
        <top style="hair"/>
        <bottom style="hair"/>
        <diagonal/>
      </border>
    </dxf>
    <dxf>
      <border diagonalUp="false" diagonalDown="false">
        <left style="hair"/>
        <right style="hair"/>
        <top style="hair"/>
        <bottom style="hair"/>
        <diagonal/>
      </border>
    </dxf>
    <dxf>
      <border diagonalUp="false" diagonalDown="false">
        <left style="hair"/>
        <right style="hair"/>
        <top style="hair"/>
        <bottom style="hair"/>
        <diagonal/>
      </border>
    </dxf>
    <dxf>
      <border diagonalUp="false" diagonalDown="false">
        <left style="hair"/>
        <right style="hair"/>
        <top style="hair"/>
        <bottom style="hair"/>
        <diagonal/>
      </border>
    </dxf>
    <dxf>
      <border diagonalUp="false" diagonalDown="false">
        <left/>
        <right/>
        <top style="hair"/>
        <bottom style="hair"/>
        <diagonal/>
      </border>
    </dxf>
  </dxfs>
  <colors>
    <indexedColors>
      <rgbColor rgb="FF000000"/>
      <rgbColor rgb="FFFFFFFF"/>
      <rgbColor rgb="FFFF0000"/>
      <rgbColor rgb="FF00FF00"/>
      <rgbColor rgb="FF0000FF"/>
      <rgbColor rgb="FFFFFF00"/>
      <rgbColor rgb="FFFF00FF"/>
      <rgbColor rgb="FF00FFFF"/>
      <rgbColor rgb="FFC00000"/>
      <rgbColor rgb="FF008000"/>
      <rgbColor rgb="FF002060"/>
      <rgbColor rgb="FF808000"/>
      <rgbColor rgb="FF800080"/>
      <rgbColor rgb="FF008080"/>
      <rgbColor rgb="FFC5C5C5"/>
      <rgbColor rgb="FF808080"/>
      <rgbColor rgb="FF9999FF"/>
      <rgbColor rgb="FF993366"/>
      <rgbColor rgb="FFFAFAFA"/>
      <rgbColor rgb="FFDCE6F2"/>
      <rgbColor rgb="FF660066"/>
      <rgbColor rgb="FFF37B9D"/>
      <rgbColor rgb="FF2E5F99"/>
      <rgbColor rgb="FFD9D9D9"/>
      <rgbColor rgb="FF000080"/>
      <rgbColor rgb="FFFF00FF"/>
      <rgbColor rgb="FFFFFF00"/>
      <rgbColor rgb="FF00FFFF"/>
      <rgbColor rgb="FF800080"/>
      <rgbColor rgb="FF800000"/>
      <rgbColor rgb="FF008080"/>
      <rgbColor rgb="FF0000FF"/>
      <rgbColor rgb="FF00B0F0"/>
      <rgbColor rgb="FFFBFBFB"/>
      <rgbColor rgb="FFEBF1DE"/>
      <rgbColor rgb="FFFFFF99"/>
      <rgbColor rgb="FF99CCFF"/>
      <rgbColor rgb="FFFF99CC"/>
      <rgbColor rgb="FFCC99FF"/>
      <rgbColor rgb="FFFFCC99"/>
      <rgbColor rgb="FF397BCA"/>
      <rgbColor rgb="FF62BD8A"/>
      <rgbColor rgb="FF9BBB59"/>
      <rgbColor rgb="FFFFC000"/>
      <rgbColor rgb="FFFF9900"/>
      <rgbColor rgb="FFFF6600"/>
      <rgbColor rgb="FF666699"/>
      <rgbColor rgb="FF969696"/>
      <rgbColor rgb="FF17375E"/>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Réponse au risque</a:t>
            </a:r>
          </a:p>
        </c:rich>
      </c:tx>
      <c:overlay val="0"/>
      <c:spPr>
        <a:noFill/>
        <a:ln w="0">
          <a:noFill/>
        </a:ln>
      </c:spPr>
    </c:title>
    <c:autoTitleDeleted val="0"/>
    <c:view3D>
      <c:rotX val="75"/>
      <c:rotY val="0"/>
      <c:rAngAx val="0"/>
      <c:perspective val="30"/>
    </c:view3D>
    <c:floor>
      <c:spPr>
        <a:solidFill>
          <a:srgbClr val="d9d9d9"/>
        </a:solidFill>
        <a:ln w="0">
          <a:noFill/>
        </a:ln>
      </c:spPr>
    </c:floor>
    <c:sideWall>
      <c:spPr>
        <a:solidFill>
          <a:srgbClr val="d9d9d9"/>
        </a:solidFill>
        <a:ln w="0">
          <a:noFill/>
        </a:ln>
      </c:spPr>
    </c:sideWall>
    <c:backWall>
      <c:spPr>
        <a:solidFill>
          <a:srgbClr val="d9d9d9"/>
        </a:solidFill>
        <a:ln w="0">
          <a:noFill/>
        </a:ln>
      </c:spPr>
    </c:backWall>
    <c:plotArea>
      <c:pie3DChart>
        <c:varyColors val="1"/>
        <c:ser>
          <c:idx val="0"/>
          <c:order val="0"/>
          <c:tx>
            <c:strRef>
              <c:f>label 0</c:f>
              <c:strCache>
                <c:ptCount val="1"/>
                <c:pt idx="0">
                  <c:v>Réponse au risque</c:v>
                </c:pt>
              </c:strCache>
            </c:strRef>
          </c:tx>
          <c:spPr>
            <a:solidFill>
              <a:srgbClr val="9bbb59"/>
            </a:solidFill>
            <a:ln w="0">
              <a:noFill/>
            </a:ln>
          </c:spPr>
          <c:explosion val="0"/>
          <c:dPt>
            <c:idx val="0"/>
            <c:spPr>
              <a:solidFill>
                <a:srgbClr val="00b050"/>
              </a:solidFill>
              <a:ln w="0">
                <a:noFill/>
              </a:ln>
            </c:spPr>
          </c:dPt>
          <c:dPt>
            <c:idx val="1"/>
            <c:spPr>
              <a:solidFill>
                <a:srgbClr val="ffff00"/>
              </a:solidFill>
              <a:ln w="0">
                <a:noFill/>
              </a:ln>
            </c:spPr>
          </c:dPt>
          <c:dPt>
            <c:idx val="2"/>
            <c:spPr>
              <a:solidFill>
                <a:srgbClr val="ff0000"/>
              </a:solidFill>
              <a:ln w="0">
                <a:noFill/>
              </a:ln>
            </c:spPr>
          </c:dPt>
          <c:dPt>
            <c:idx val="3"/>
            <c:spPr>
              <a:solidFill>
                <a:srgbClr val="e46c0a"/>
              </a:solidFill>
              <a:ln w="0">
                <a:noFill/>
              </a:ln>
            </c:spPr>
          </c:dPt>
          <c:dLbls>
            <c:numFmt formatCode="General" sourceLinked="0"/>
            <c:dLbl>
              <c:idx val="0"/>
              <c:numFmt formatCode="General" sourceLinked="0"/>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dLbl>
            <c:dLbl>
              <c:idx val="1"/>
              <c:numFmt formatCode="General" sourceLinked="0"/>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dLbl>
            <c:dLbl>
              <c:idx val="2"/>
              <c:numFmt formatCode="General" sourceLinked="0"/>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dLbl>
            <c:dLbl>
              <c:idx val="3"/>
              <c:numFmt formatCode="General" sourceLinked="0"/>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dLbl>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showLeaderLines val="0"/>
          </c:dLbls>
          <c:cat>
            <c:strRef>
              <c:f>categories</c:f>
              <c:strCache>
                <c:ptCount val="4"/>
                <c:pt idx="0">
                  <c:v>Accepter</c:v>
                </c:pt>
                <c:pt idx="1">
                  <c:v>A atténuer</c:v>
                </c:pt>
                <c:pt idx="2">
                  <c:v>A éliminer</c:v>
                </c:pt>
                <c:pt idx="3">
                  <c:v>A transférer</c:v>
                </c:pt>
              </c:strCache>
            </c:strRef>
          </c:cat>
          <c:val>
            <c:numRef>
              <c:f>0</c:f>
              <c:numCache>
                <c:formatCode>General</c:formatCode>
                <c:ptCount val="4"/>
                <c:pt idx="0">
                  <c:v>4</c:v>
                </c:pt>
                <c:pt idx="1">
                  <c:v>0</c:v>
                </c:pt>
                <c:pt idx="2">
                  <c:v>0</c:v>
                </c:pt>
                <c:pt idx="3">
                  <c:v>1</c:v>
                </c:pt>
              </c:numCache>
            </c:numRef>
          </c:val>
        </c:ser>
      </c:pie3DChart>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zero"/>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Criticité des risques</a:t>
            </a:r>
          </a:p>
        </c:rich>
      </c:tx>
      <c:overlay val="0"/>
      <c:spPr>
        <a:noFill/>
        <a:ln w="0">
          <a:noFill/>
        </a:ln>
      </c:spPr>
    </c:title>
    <c:autoTitleDeleted val="0"/>
    <c:view3D>
      <c:rotX val="30"/>
      <c:rotY val="0"/>
      <c:rAngAx val="0"/>
      <c:perspective val="30"/>
    </c:view3D>
    <c:floor>
      <c:spPr>
        <a:solidFill>
          <a:srgbClr val="d9d9d9"/>
        </a:solidFill>
        <a:ln w="0">
          <a:noFill/>
        </a:ln>
      </c:spPr>
    </c:floor>
    <c:sideWall>
      <c:spPr>
        <a:solidFill>
          <a:srgbClr val="d9d9d9"/>
        </a:solidFill>
        <a:ln w="0">
          <a:noFill/>
        </a:ln>
      </c:spPr>
    </c:sideWall>
    <c:backWall>
      <c:spPr>
        <a:solidFill>
          <a:srgbClr val="d9d9d9"/>
        </a:solidFill>
        <a:ln w="0">
          <a:noFill/>
        </a:ln>
      </c:spPr>
    </c:backWall>
    <c:plotArea>
      <c:pie3DChart>
        <c:varyColors val="1"/>
        <c:ser>
          <c:idx val="0"/>
          <c:order val="0"/>
          <c:tx>
            <c:strRef>
              <c:f>label 0</c:f>
              <c:strCache>
                <c:ptCount val="1"/>
                <c:pt idx="0">
                  <c:v>Criticité des risques</c:v>
                </c:pt>
              </c:strCache>
            </c:strRef>
          </c:tx>
          <c:spPr>
            <a:gradFill>
              <a:gsLst>
                <a:gs pos="0">
                  <a:srgbClr val="2e5f99"/>
                </a:gs>
                <a:gs pos="80000">
                  <a:srgbClr val="3c7ac7"/>
                </a:gs>
                <a:gs pos="100000">
                  <a:srgbClr val="397bca"/>
                </a:gs>
              </a:gsLst>
              <a:lin ang="16200000"/>
            </a:gradFill>
            <a:ln w="0">
              <a:noFill/>
            </a:ln>
          </c:spPr>
          <c:explosion val="0"/>
          <c:dPt>
            <c:idx val="0"/>
            <c:spPr>
              <a:solidFill>
                <a:srgbClr val="ffff00"/>
              </a:solidFill>
              <a:ln w="0">
                <a:noFill/>
              </a:ln>
            </c:spPr>
          </c:dPt>
          <c:dPt>
            <c:idx val="1"/>
            <c:spPr>
              <a:solidFill>
                <a:srgbClr val="e46c0a"/>
              </a:solidFill>
              <a:ln w="0">
                <a:noFill/>
              </a:ln>
            </c:spPr>
          </c:dPt>
          <c:dPt>
            <c:idx val="2"/>
            <c:spPr>
              <a:solidFill>
                <a:srgbClr val="008000"/>
              </a:solidFill>
              <a:ln w="0">
                <a:noFill/>
              </a:ln>
            </c:spPr>
          </c:dPt>
          <c:dPt>
            <c:idx val="3"/>
            <c:spPr>
              <a:gradFill>
                <a:gsLst>
                  <a:gs pos="0">
                    <a:srgbClr val="5e437f"/>
                  </a:gs>
                  <a:gs pos="80000">
                    <a:srgbClr val="7b57a5"/>
                  </a:gs>
                  <a:gs pos="100000">
                    <a:srgbClr val="7b57a7"/>
                  </a:gs>
                </a:gsLst>
                <a:lin ang="16200000"/>
              </a:gradFill>
              <a:ln w="0">
                <a:noFill/>
              </a:ln>
            </c:spPr>
          </c:dPt>
          <c:dLbls>
            <c:numFmt formatCode="General" sourceLinked="0"/>
            <c:dLbl>
              <c:idx val="0"/>
              <c:numFmt formatCode="General" sourceLinked="0"/>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1"/>
              <c:numFmt formatCode="General" sourceLinked="0"/>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2"/>
              <c:numFmt formatCode="General" sourceLinked="0"/>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dLbl>
              <c:idx val="3"/>
              <c:numFmt formatCode="General" sourceLinked="0"/>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dLbl>
            <c:txPr>
              <a:bodyPr wrap="square"/>
              <a:lstStyle/>
              <a:p>
                <a:pPr>
                  <a:defRPr b="0" sz="1000" spc="-1" strike="noStrike">
                    <a:solidFill>
                      <a:srgbClr val="000000"/>
                    </a:solidFill>
                    <a:latin typeface="Calibri"/>
                  </a:defRPr>
                </a:pPr>
              </a:p>
            </c:txPr>
            <c:dLblPos val="bestFit"/>
            <c:showLegendKey val="0"/>
            <c:showVal val="1"/>
            <c:showCatName val="0"/>
            <c:showSerName val="0"/>
            <c:showPercent val="0"/>
            <c:separator>; </c:separator>
            <c:showLeaderLines val="1"/>
          </c:dLbls>
          <c:cat>
            <c:strRef>
              <c:f>categories</c:f>
              <c:strCache>
                <c:ptCount val="4"/>
                <c:pt idx="0">
                  <c:v>Non significatif</c:v>
                </c:pt>
                <c:pt idx="1">
                  <c:v>Modéré</c:v>
                </c:pt>
                <c:pt idx="2">
                  <c:v>Elevé</c:v>
                </c:pt>
                <c:pt idx="3">
                  <c:v>Critique</c:v>
                </c:pt>
              </c:strCache>
            </c:strRef>
          </c:cat>
          <c:val>
            <c:numRef>
              <c:f>0</c:f>
              <c:numCache>
                <c:formatCode>General</c:formatCode>
                <c:ptCount val="4"/>
                <c:pt idx="0">
                  <c:v>0</c:v>
                </c:pt>
                <c:pt idx="1">
                  <c:v>2</c:v>
                </c:pt>
                <c:pt idx="2">
                  <c:v>2</c:v>
                </c:pt>
                <c:pt idx="3">
                  <c:v>1</c:v>
                </c:pt>
              </c:numCache>
            </c:numRef>
          </c:val>
        </c:ser>
      </c:pie3DChart>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Etat</a:t>
            </a:r>
          </a:p>
        </c:rich>
      </c:tx>
      <c:overlay val="0"/>
      <c:spPr>
        <a:noFill/>
        <a:ln w="0">
          <a:noFill/>
        </a:ln>
      </c:spPr>
    </c:title>
    <c:autoTitleDeleted val="0"/>
    <c:view3D>
      <c:rotX val="75"/>
      <c:rotY val="0"/>
      <c:rAngAx val="0"/>
      <c:perspective val="30"/>
    </c:view3D>
    <c:floor>
      <c:spPr>
        <a:solidFill>
          <a:srgbClr val="d9d9d9"/>
        </a:solidFill>
        <a:ln w="0">
          <a:noFill/>
        </a:ln>
      </c:spPr>
    </c:floor>
    <c:sideWall>
      <c:spPr>
        <a:solidFill>
          <a:srgbClr val="d9d9d9"/>
        </a:solidFill>
        <a:ln w="0">
          <a:noFill/>
        </a:ln>
      </c:spPr>
    </c:sideWall>
    <c:backWall>
      <c:spPr>
        <a:solidFill>
          <a:srgbClr val="d9d9d9"/>
        </a:solidFill>
        <a:ln w="0">
          <a:noFill/>
        </a:ln>
      </c:spPr>
    </c:backWall>
    <c:plotArea>
      <c:pie3DChart>
        <c:varyColors val="1"/>
        <c:ser>
          <c:idx val="0"/>
          <c:order val="0"/>
          <c:tx>
            <c:strRef>
              <c:f>label 0</c:f>
              <c:strCache>
                <c:ptCount val="1"/>
                <c:pt idx="0">
                  <c:v>Etat</c:v>
                </c:pt>
              </c:strCache>
            </c:strRef>
          </c:tx>
          <c:spPr>
            <a:solidFill>
              <a:srgbClr val="9bbb59"/>
            </a:solidFill>
            <a:ln w="0">
              <a:noFill/>
            </a:ln>
          </c:spPr>
          <c:explosion val="0"/>
          <c:dPt>
            <c:idx val="0"/>
            <c:spPr>
              <a:solidFill>
                <a:srgbClr val="00b050"/>
              </a:solidFill>
              <a:ln w="0">
                <a:noFill/>
              </a:ln>
            </c:spPr>
          </c:dPt>
          <c:dPt>
            <c:idx val="1"/>
            <c:spPr>
              <a:solidFill>
                <a:srgbClr val="ffff00"/>
              </a:solidFill>
              <a:ln w="0">
                <a:noFill/>
              </a:ln>
            </c:spPr>
          </c:dPt>
          <c:dPt>
            <c:idx val="2"/>
            <c:spPr>
              <a:solidFill>
                <a:srgbClr val="ff0000"/>
              </a:solidFill>
              <a:ln w="0">
                <a:noFill/>
              </a:ln>
            </c:spPr>
          </c:dPt>
          <c:dLbls>
            <c:numFmt formatCode="General" sourceLinked="0"/>
            <c:dLbl>
              <c:idx val="0"/>
              <c:numFmt formatCode="General" sourceLinked="0"/>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dLbl>
            <c:dLbl>
              <c:idx val="1"/>
              <c:numFmt formatCode="General" sourceLinked="0"/>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dLbl>
            <c:dLbl>
              <c:idx val="2"/>
              <c:numFmt formatCode="General" sourceLinked="0"/>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dLbl>
            <c:txPr>
              <a:bodyPr wrap="square"/>
              <a:lstStyle/>
              <a:p>
                <a:pPr>
                  <a:defRPr b="0" sz="1000" spc="-1" strike="noStrike">
                    <a:solidFill>
                      <a:srgbClr val="000000"/>
                    </a:solidFill>
                    <a:latin typeface="Calibri"/>
                  </a:defRPr>
                </a:pPr>
              </a:p>
            </c:txPr>
            <c:dLblPos val="bestFit"/>
            <c:showLegendKey val="0"/>
            <c:showVal val="1"/>
            <c:showCatName val="1"/>
            <c:showSerName val="0"/>
            <c:showPercent val="0"/>
            <c:separator>; </c:separator>
            <c:showLeaderLines val="0"/>
          </c:dLbls>
          <c:cat>
            <c:strRef>
              <c:f>categories</c:f>
              <c:strCache>
                <c:ptCount val="3"/>
                <c:pt idx="0">
                  <c:v>Fait</c:v>
                </c:pt>
                <c:pt idx="1">
                  <c:v>En cours</c:v>
                </c:pt>
                <c:pt idx="2">
                  <c:v>Non fait</c:v>
                </c:pt>
              </c:strCache>
            </c:strRef>
          </c:cat>
          <c:val>
            <c:numRef>
              <c:f>0</c:f>
              <c:numCache>
                <c:formatCode>General</c:formatCode>
                <c:ptCount val="3"/>
                <c:pt idx="0">
                  <c:v>1</c:v>
                </c:pt>
                <c:pt idx="1">
                  <c:v>1</c:v>
                </c:pt>
                <c:pt idx="2">
                  <c:v>2</c:v>
                </c:pt>
              </c:numCache>
            </c:numRef>
          </c:val>
        </c:ser>
      </c:pie3DChart>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zero"/>
  </c:chart>
  <c:spPr>
    <a:solidFill>
      <a:srgbClr val="ffffff"/>
    </a:solidFill>
    <a:ln w="9360">
      <a:solidFill>
        <a:srgbClr val="d9d9d9"/>
      </a:solidFill>
      <a:round/>
    </a:ln>
  </c:spPr>
</c:chartSpace>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4.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3.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8.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7.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39.xml><?xml version="1.0" encoding="utf-8"?>
<formControlPr xmlns="http://schemas.microsoft.com/office/spreadsheetml/2009/9/main" objectType="Button" lockText="1"/>
</file>

<file path=xl/ctrlProps/ctrlProps40.xml><?xml version="1.0" encoding="utf-8"?>
<formControlPr xmlns="http://schemas.microsoft.com/office/spreadsheetml/2009/9/main" objectType="Button" lockText="1"/>
</file>

<file path=xl/ctrlProps/ctrlProps41.xml><?xml version="1.0" encoding="utf-8"?>
<formControlPr xmlns="http://schemas.microsoft.com/office/spreadsheetml/2009/9/main" objectType="Button" lockText="1"/>
</file>

<file path=xl/ctrlProps/ctrlProps42.xml><?xml version="1.0" encoding="utf-8"?>
<formControlPr xmlns="http://schemas.microsoft.com/office/spreadsheetml/2009/9/main" objectType="Button" lockText="1"/>
</file>

<file path=xl/ctrlProps/ctrlProps43.xml><?xml version="1.0" encoding="utf-8"?>
<formControlPr xmlns="http://schemas.microsoft.com/office/spreadsheetml/2009/9/main" objectType="Button" lockText="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6.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8.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ctrlProps/ctrlProps53.xml><?xml version="1.0" encoding="utf-8"?>
<formControlPr xmlns="http://schemas.microsoft.com/office/spreadsheetml/2009/9/main" objectType="Button" lockText="1"/>
</file>

<file path=xl/ctrlProps/ctrlProps54.xml><?xml version="1.0" encoding="utf-8"?>
<formControlPr xmlns="http://schemas.microsoft.com/office/spreadsheetml/2009/9/main" objectType="Button" lockText="1"/>
</file>

<file path=xl/ctrlProps/ctrlProps55.xml><?xml version="1.0" encoding="utf-8"?>
<formControlPr xmlns="http://schemas.microsoft.com/office/spreadsheetml/2009/9/main" objectType="Button" lockText="1"/>
</file>

<file path=xl/ctrlProps/ctrlProps56.xml><?xml version="1.0" encoding="utf-8"?>
<formControlPr xmlns="http://schemas.microsoft.com/office/spreadsheetml/2009/9/main" objectType="Button" lockText="1"/>
</file>

<file path=xl/ctrlProps/ctrlProps57.xml><?xml version="1.0" encoding="utf-8"?>
<formControlPr xmlns="http://schemas.microsoft.com/office/spreadsheetml/2009/9/main" objectType="Button" lockText="1"/>
</file>

<file path=xl/ctrlProps/ctrlProps58.xml><?xml version="1.0" encoding="utf-8"?>
<formControlPr xmlns="http://schemas.microsoft.com/office/spreadsheetml/2009/9/main" objectType="Button" lockText="1"/>
</file>

<file path=xl/ctrlProps/ctrlProps59.xml><?xml version="1.0" encoding="utf-8"?>
<formControlPr xmlns="http://schemas.microsoft.com/office/spreadsheetml/2009/9/main" objectType="Button" lockText="1"/>
</file>

<file path=xl/ctrlProps/ctrlProps60.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hyperlink" Target="https://learn.microsoft.com/fr-fr/deployoffice/security/internet-macros-blocked" TargetMode="External"/><Relationship Id="rId3" Type="http://schemas.openxmlformats.org/officeDocument/2006/relationships/image" Target="../media/image2.png"/><Relationship Id="rId4" Type="http://schemas.openxmlformats.org/officeDocument/2006/relationships/image" Target="../media/image3.png"/><Relationship Id="rId5" Type="http://schemas.openxmlformats.org/officeDocument/2006/relationships/image" Target="../media/image4.png"/><Relationship Id="rId6" Type="http://schemas.openxmlformats.org/officeDocument/2006/relationships/image" Target="../media/image5.png"/><Relationship Id="rId7" Type="http://schemas.openxmlformats.org/officeDocument/2006/relationships/image" Target="../media/image6.png"/><Relationship Id="rId8" Type="http://schemas.openxmlformats.org/officeDocument/2006/relationships/image" Target="../media/image7.png"/><Relationship Id="rId9" Type="http://schemas.openxmlformats.org/officeDocument/2006/relationships/image" Target="../media/image8.png"/><Relationship Id="rId10" Type="http://schemas.openxmlformats.org/officeDocument/2006/relationships/image" Target="../media/image9.png"/><Relationship Id="rId11" Type="http://schemas.openxmlformats.org/officeDocument/2006/relationships/image" Target="../media/image7.png"/><Relationship Id="rId12" Type="http://schemas.openxmlformats.org/officeDocument/2006/relationships/image" Target="../media/image10.png"/><Relationship Id="rId13" Type="http://schemas.openxmlformats.org/officeDocument/2006/relationships/image" Target="../media/image11.png"/><Relationship Id="rId14" Type="http://schemas.openxmlformats.org/officeDocument/2006/relationships/image" Target="../media/image7.png"/><Relationship Id="rId15" Type="http://schemas.openxmlformats.org/officeDocument/2006/relationships/image" Target="../media/image7.png"/><Relationship Id="rId16" Type="http://schemas.openxmlformats.org/officeDocument/2006/relationships/image" Target="../media/image12.png"/><Relationship Id="rId17" Type="http://schemas.openxmlformats.org/officeDocument/2006/relationships/image" Target="../media/image13.png"/><Relationship Id="rId18" Type="http://schemas.openxmlformats.org/officeDocument/2006/relationships/image" Target="../media/image14.png"/><Relationship Id="rId19" Type="http://schemas.openxmlformats.org/officeDocument/2006/relationships/image" Target="../media/image15.png"/><Relationship Id="rId20" Type="http://schemas.openxmlformats.org/officeDocument/2006/relationships/image" Target="../media/image16.png"/><Relationship Id="rId21" Type="http://schemas.openxmlformats.org/officeDocument/2006/relationships/image" Target="../media/image17.png"/><Relationship Id="rId22" Type="http://schemas.openxmlformats.org/officeDocument/2006/relationships/image" Target="../media/image18.png"/><Relationship Id="rId23" Type="http://schemas.openxmlformats.org/officeDocument/2006/relationships/image" Target="../media/image19.png"/><Relationship Id="rId24" Type="http://schemas.openxmlformats.org/officeDocument/2006/relationships/image" Target="../media/image20.png"/><Relationship Id="rId25" Type="http://schemas.openxmlformats.org/officeDocument/2006/relationships/image" Target="../media/image21.png"/>
</Relationships>
</file>

<file path=xl/drawings/_rels/drawing2.xml.rels><?xml version="1.0" encoding="UTF-8"?>
<Relationships xmlns="http://schemas.openxmlformats.org/package/2006/relationships"><Relationship Id="rId1" Type="http://schemas.openxmlformats.org/officeDocument/2006/relationships/hyperlink" Target="#Dashboard!A1"/><Relationship Id="rId2" Type="http://schemas.openxmlformats.org/officeDocument/2006/relationships/hyperlink" Target="#Param&#232;tres!A1"/><Relationship Id="rId3" Type="http://schemas.openxmlformats.org/officeDocument/2006/relationships/hyperlink" Target="#Bienvenue!A1"/>
</Relationships>
</file>

<file path=xl/drawings/_rels/drawing6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image" Target="../media/image1.png"/><Relationship Id="rId5" Type="http://schemas.openxmlformats.org/officeDocument/2006/relationships/hyperlink" Target="#&apos;Registre des risques&apos;!A1"/><Relationship Id="rId6" Type="http://schemas.openxmlformats.org/officeDocument/2006/relationships/hyperlink" Target="#Param&#232;tres!A1"/><Relationship Id="rId7" Type="http://schemas.openxmlformats.org/officeDocument/2006/relationships/hyperlink" Target="#Bienvenue!A1"/>
</Relationships>
</file>

<file path=xl/drawings/_rels/drawing62.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hyperlink" Target="#&apos;Registre des risques&apos;!A1"/><Relationship Id="rId3" Type="http://schemas.openxmlformats.org/officeDocument/2006/relationships/hyperlink" Target="#Dashboard!A1"/><Relationship Id="rId4" Type="http://schemas.openxmlformats.org/officeDocument/2006/relationships/hyperlink" Target="#Bienvenue!A1"/>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77400</xdr:rowOff>
    </xdr:from>
    <xdr:to>
      <xdr:col>3</xdr:col>
      <xdr:colOff>102600</xdr:colOff>
      <xdr:row>4</xdr:row>
      <xdr:rowOff>67320</xdr:rowOff>
    </xdr:to>
    <xdr:pic>
      <xdr:nvPicPr>
        <xdr:cNvPr id="0" name="Image 1" descr=""/>
        <xdr:cNvPicPr/>
      </xdr:nvPicPr>
      <xdr:blipFill>
        <a:blip r:embed="rId1"/>
        <a:stretch/>
      </xdr:blipFill>
      <xdr:spPr>
        <a:xfrm>
          <a:off x="7560" y="77400"/>
          <a:ext cx="2028600" cy="647280"/>
        </a:xfrm>
        <a:prstGeom prst="rect">
          <a:avLst/>
        </a:prstGeom>
        <a:ln w="0">
          <a:noFill/>
        </a:ln>
      </xdr:spPr>
    </xdr:pic>
    <xdr:clientData/>
  </xdr:twoCellAnchor>
  <xdr:twoCellAnchor editAs="twoCell">
    <xdr:from>
      <xdr:col>0</xdr:col>
      <xdr:colOff>0</xdr:colOff>
      <xdr:row>5</xdr:row>
      <xdr:rowOff>0</xdr:rowOff>
    </xdr:from>
    <xdr:to>
      <xdr:col>20</xdr:col>
      <xdr:colOff>563400</xdr:colOff>
      <xdr:row>216</xdr:row>
      <xdr:rowOff>37800</xdr:rowOff>
    </xdr:to>
    <xdr:sp>
      <xdr:nvSpPr>
        <xdr:cNvPr id="1" name="TextBox 4"/>
        <xdr:cNvSpPr/>
      </xdr:nvSpPr>
      <xdr:spPr>
        <a:xfrm>
          <a:off x="0" y="847800"/>
          <a:ext cx="14088240" cy="40233240"/>
        </a:xfrm>
        <a:prstGeom prst="rect">
          <a:avLst/>
        </a:prstGeom>
        <a:solidFill>
          <a:srgbClr val="ffffff"/>
        </a:solidFill>
        <a:ln w="9525">
          <a:solidFill>
            <a:srgbClr val="ffffff">
              <a:shade val="50000"/>
            </a:srgbClr>
          </a:solidFill>
          <a:round/>
        </a:ln>
      </xdr:spPr>
      <xdr:style>
        <a:lnRef idx="0"/>
        <a:fillRef idx="0"/>
        <a:effectRef idx="0"/>
        <a:fontRef idx="minor"/>
      </xdr:style>
      <xdr:txBody>
        <a:bodyPr horzOverflow="clip" vertOverflow="clip" lIns="90000" rIns="90000" tIns="45000" bIns="45000" anchor="t">
          <a:noAutofit/>
        </a:bodyPr>
        <a:p>
          <a:pPr>
            <a:lnSpc>
              <a:spcPct val="100000"/>
            </a:lnSpc>
          </a:pPr>
          <a:r>
            <a:rPr b="1" lang="fr-FR" sz="1600" spc="-1" strike="noStrike">
              <a:solidFill>
                <a:schemeClr val="dk1"/>
              </a:solidFill>
              <a:latin typeface="Candara"/>
            </a:rPr>
            <a:t>Guide d'utilisation</a:t>
          </a:r>
          <a:endParaRPr b="0" lang="fr-FR" sz="16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200" spc="-1" strike="noStrike">
              <a:solidFill>
                <a:schemeClr val="dk1"/>
              </a:solidFill>
              <a:latin typeface="Candara"/>
            </a:rPr>
            <a:t>Objectif du fichier :</a:t>
          </a:r>
          <a:endParaRPr b="0" lang="fr-FR" sz="1200" spc="-1" strike="noStrike">
            <a:latin typeface="Times New Roman"/>
          </a:endParaRPr>
        </a:p>
        <a:p>
          <a:pPr>
            <a:lnSpc>
              <a:spcPct val="100000"/>
            </a:lnSpc>
          </a:pPr>
          <a:r>
            <a:rPr b="0" lang="fr-FR" sz="1100" spc="-1" strike="noStrike">
              <a:solidFill>
                <a:schemeClr val="dk1"/>
              </a:solidFill>
              <a:latin typeface="Candara"/>
            </a:rPr>
            <a:t>Ce fichier vous aidera à cartographier les risques de vos processus, à évaluer leur criticité dans le but de définir des réponses aux risques adéquates. </a:t>
          </a: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100" spc="-1" strike="noStrike">
              <a:solidFill>
                <a:schemeClr val="dk1"/>
              </a:solidFill>
              <a:latin typeface="Candara"/>
            </a:rPr>
            <a:t>          </a:t>
          </a:r>
          <a:r>
            <a:rPr b="1" lang="fr-FR" sz="1100" spc="-1" strike="noStrike">
              <a:solidFill>
                <a:schemeClr val="dk1"/>
              </a:solidFill>
              <a:latin typeface="Candara"/>
            </a:rPr>
            <a:t>Important</a:t>
          </a:r>
          <a:endParaRPr b="0" lang="fr-FR" sz="1100" spc="-1" strike="noStrike">
            <a:latin typeface="Times New Roman"/>
          </a:endParaRPr>
        </a:p>
        <a:p>
          <a:pPr>
            <a:lnSpc>
              <a:spcPct val="100000"/>
            </a:lnSpc>
          </a:pPr>
          <a:r>
            <a:rPr b="0" lang="fr-FR" sz="1100" spc="-1" strike="noStrike">
              <a:solidFill>
                <a:schemeClr val="dk1"/>
              </a:solidFill>
              <a:latin typeface="Candara"/>
            </a:rPr>
            <a:t>Veillez à ne rien modifier sur la feuille "Dashboard" pour le bon fonctionnement du fichier.</a:t>
          </a: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200" spc="-1" strike="noStrike">
              <a:solidFill>
                <a:schemeClr val="dk1"/>
              </a:solidFill>
              <a:latin typeface="Candara"/>
            </a:rPr>
            <a:t>Activation des macros :</a:t>
          </a:r>
          <a:endParaRPr b="0" lang="fr-FR" sz="1200" spc="-1" strike="noStrike">
            <a:latin typeface="Times New Roman"/>
          </a:endParaRPr>
        </a:p>
        <a:p>
          <a:pPr>
            <a:lnSpc>
              <a:spcPct val="100000"/>
            </a:lnSpc>
          </a:pPr>
          <a:r>
            <a:rPr b="0" lang="fr-FR" sz="1100" spc="-1" strike="noStrike">
              <a:solidFill>
                <a:schemeClr val="dk1"/>
              </a:solidFill>
              <a:latin typeface="Candara"/>
            </a:rPr>
            <a:t>Pour s'assurer du bon fonctionnement du template, vérifiez que les macros sont activées</a:t>
          </a: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200" spc="-1" strike="noStrike">
              <a:solidFill>
                <a:schemeClr val="dk1"/>
              </a:solidFill>
              <a:latin typeface="Candara"/>
            </a:rPr>
            <a:t>Déblocage des macros : </a:t>
          </a:r>
          <a:endParaRPr b="0" lang="fr-FR" sz="1200" spc="-1" strike="noStrike">
            <a:latin typeface="Times New Roman"/>
          </a:endParaRPr>
        </a:p>
        <a:p>
          <a:pPr>
            <a:lnSpc>
              <a:spcPct val="100000"/>
            </a:lnSpc>
          </a:pPr>
          <a:r>
            <a:rPr b="0" lang="fr-FR" sz="1100" spc="-1" strike="noStrike">
              <a:solidFill>
                <a:schemeClr val="dk1"/>
              </a:solidFill>
              <a:latin typeface="Candara"/>
            </a:rPr>
            <a:t>Si un message rouge apparait en haut du fichier, procédez comme suit pour débloquer les macros : </a:t>
          </a:r>
          <a:endParaRPr b="0" lang="fr-FR" sz="1100" spc="-1" strike="noStrike">
            <a:latin typeface="Times New Roman"/>
          </a:endParaRPr>
        </a:p>
        <a:p>
          <a:pPr>
            <a:lnSpc>
              <a:spcPct val="100000"/>
            </a:lnSpc>
          </a:pPr>
          <a:r>
            <a:rPr b="0" lang="fr-FR" sz="1100" spc="-1" strike="noStrike">
              <a:solidFill>
                <a:schemeClr val="dk1"/>
              </a:solidFill>
              <a:latin typeface="Candara"/>
            </a:rPr>
            <a:t>Pour ce faire, cliquez sur le </a:t>
          </a:r>
          <a:r>
            <a:rPr b="1" lang="fr-FR" sz="1100" spc="-1" strike="noStrike">
              <a:solidFill>
                <a:schemeClr val="dk1"/>
              </a:solidFill>
              <a:latin typeface="Candara"/>
            </a:rPr>
            <a:t>bouton droit </a:t>
          </a:r>
          <a:r>
            <a:rPr b="0" lang="fr-FR" sz="1100" spc="-1" strike="noStrike">
              <a:solidFill>
                <a:schemeClr val="dk1"/>
              </a:solidFill>
              <a:latin typeface="Candara"/>
            </a:rPr>
            <a:t>sur le fichier avant de l'ouvrir, choisissez </a:t>
          </a:r>
          <a:r>
            <a:rPr b="1" lang="fr-FR" sz="1100" spc="-1" strike="noStrike">
              <a:solidFill>
                <a:schemeClr val="dk1"/>
              </a:solidFill>
              <a:latin typeface="Candara"/>
            </a:rPr>
            <a:t>Propriétés</a:t>
          </a:r>
          <a:r>
            <a:rPr b="0" lang="fr-FR" sz="1100" spc="-1" strike="noStrike">
              <a:solidFill>
                <a:schemeClr val="dk1"/>
              </a:solidFill>
              <a:latin typeface="Candara"/>
            </a:rPr>
            <a:t>, puis activez la case à cocher </a:t>
          </a:r>
          <a:r>
            <a:rPr b="1" lang="fr-FR" sz="1100" spc="-1" strike="noStrike">
              <a:solidFill>
                <a:schemeClr val="dk1"/>
              </a:solidFill>
              <a:latin typeface="Candara"/>
            </a:rPr>
            <a:t>Débloquer</a:t>
          </a:r>
          <a:r>
            <a:rPr b="0" lang="fr-FR" sz="1100" spc="-1" strike="noStrike">
              <a:solidFill>
                <a:schemeClr val="dk1"/>
              </a:solidFill>
              <a:latin typeface="Candara"/>
            </a:rPr>
            <a:t> sous l’onglet </a:t>
          </a:r>
          <a:r>
            <a:rPr b="1" lang="fr-FR" sz="1100" spc="-1" strike="noStrike">
              <a:solidFill>
                <a:schemeClr val="dk1"/>
              </a:solidFill>
              <a:latin typeface="Candara"/>
            </a:rPr>
            <a:t>Général</a:t>
          </a:r>
          <a:r>
            <a:rPr b="0" lang="fr-FR" sz="1100" spc="-1" strike="noStrike">
              <a:solidFill>
                <a:schemeClr val="dk1"/>
              </a:solidFill>
              <a:latin typeface="Candara"/>
            </a:rPr>
            <a:t>.</a:t>
          </a: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200" spc="-1" strike="noStrike">
              <a:solidFill>
                <a:schemeClr val="dk1"/>
              </a:solidFill>
              <a:latin typeface="Candara"/>
            </a:rPr>
            <a:t>Exploitation du fichier</a:t>
          </a:r>
          <a:endParaRPr b="0" lang="fr-FR" sz="1200" spc="-1" strike="noStrike">
            <a:latin typeface="Times New Roman"/>
          </a:endParaRPr>
        </a:p>
        <a:p>
          <a:pPr>
            <a:lnSpc>
              <a:spcPct val="100000"/>
            </a:lnSpc>
          </a:pPr>
          <a:endParaRPr b="0" lang="fr-FR" sz="1100" spc="-1" strike="noStrike">
            <a:latin typeface="Times New Roman"/>
          </a:endParaRPr>
        </a:p>
        <a:p>
          <a:pPr>
            <a:lnSpc>
              <a:spcPct val="100000"/>
            </a:lnSpc>
          </a:pPr>
          <a:r>
            <a:rPr b="0" lang="fr-FR" sz="1100" spc="-1" strike="noStrike">
              <a:solidFill>
                <a:schemeClr val="dk1"/>
              </a:solidFill>
              <a:latin typeface="Candara"/>
            </a:rPr>
            <a:t>1. </a:t>
          </a:r>
          <a:r>
            <a:rPr b="0" lang="fr-FR" sz="1100" spc="-1" strike="noStrike" u="sng">
              <a:solidFill>
                <a:schemeClr val="dk1"/>
              </a:solidFill>
              <a:uFillTx/>
              <a:latin typeface="Candara"/>
            </a:rPr>
            <a:t>Enregistrement des données</a:t>
          </a:r>
          <a:endParaRPr b="0" lang="fr-FR" sz="1100" spc="-1" strike="noStrike">
            <a:latin typeface="Times New Roman"/>
          </a:endParaRPr>
        </a:p>
        <a:p>
          <a:pPr>
            <a:lnSpc>
              <a:spcPct val="100000"/>
            </a:lnSpc>
          </a:pPr>
          <a:r>
            <a:rPr b="0" lang="fr-FR" sz="1100" spc="-1" strike="noStrike">
              <a:solidFill>
                <a:schemeClr val="dk1"/>
              </a:solidFill>
              <a:latin typeface="Candara"/>
            </a:rPr>
            <a:t>Commencez par remplir la feuille "registre des risques" comme suit :</a:t>
          </a:r>
          <a:endParaRPr b="0" lang="fr-FR" sz="1100" spc="-1" strike="noStrike">
            <a:latin typeface="Times New Roman"/>
          </a:endParaRPr>
        </a:p>
        <a:p>
          <a:pPr>
            <a:lnSpc>
              <a:spcPct val="100000"/>
            </a:lnSpc>
          </a:pPr>
          <a:r>
            <a:rPr b="1" lang="fr-FR" sz="1100" spc="-1" strike="noStrike">
              <a:solidFill>
                <a:schemeClr val="dk1"/>
              </a:solidFill>
              <a:latin typeface="Candara"/>
            </a:rPr>
            <a:t>Date de mise à jour </a:t>
          </a:r>
          <a:r>
            <a:rPr b="0" lang="fr-FR" sz="1100" spc="-1" strike="noStrike">
              <a:solidFill>
                <a:schemeClr val="dk1"/>
              </a:solidFill>
              <a:latin typeface="Candara"/>
            </a:rPr>
            <a:t>: Choisissez la date de mise à jour du fichier. Celle-ci sera automatiquement mise à jour sur cette feuille :</a:t>
          </a: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100" spc="-1" strike="noStrike">
              <a:solidFill>
                <a:schemeClr val="dk1"/>
              </a:solidFill>
              <a:latin typeface="Candara"/>
            </a:rPr>
            <a:t>Processus</a:t>
          </a:r>
          <a:r>
            <a:rPr b="0" lang="fr-FR" sz="1100" spc="-1" strike="noStrike">
              <a:solidFill>
                <a:schemeClr val="dk1"/>
              </a:solidFill>
              <a:latin typeface="Candara"/>
            </a:rPr>
            <a:t> : Le processus objet de l'analyse</a:t>
          </a:r>
          <a:endParaRPr b="0" lang="fr-FR" sz="1100" spc="-1" strike="noStrike">
            <a:latin typeface="Times New Roman"/>
          </a:endParaRPr>
        </a:p>
        <a:p>
          <a:pPr>
            <a:lnSpc>
              <a:spcPct val="100000"/>
            </a:lnSpc>
          </a:pPr>
          <a:r>
            <a:rPr b="1" lang="fr-FR" sz="1100" spc="-1" strike="noStrike">
              <a:solidFill>
                <a:schemeClr val="dk1"/>
              </a:solidFill>
              <a:latin typeface="Candara"/>
            </a:rPr>
            <a:t>Risques associés : Les risques identifiés et associés à chaque processus</a:t>
          </a:r>
          <a:endParaRPr b="0" lang="fr-FR" sz="1100" spc="-1" strike="noStrike">
            <a:latin typeface="Times New Roman"/>
          </a:endParaRPr>
        </a:p>
        <a:p>
          <a:pPr>
            <a:lnSpc>
              <a:spcPct val="100000"/>
            </a:lnSpc>
          </a:pPr>
          <a:r>
            <a:rPr b="1" lang="fr-FR" sz="1100" spc="-1" strike="noStrike">
              <a:solidFill>
                <a:schemeClr val="dk1"/>
              </a:solidFill>
              <a:latin typeface="Candara"/>
            </a:rPr>
            <a:t>Critères et leurs niveaux d'impact </a:t>
          </a:r>
          <a:r>
            <a:rPr b="0" lang="fr-FR" sz="1100" spc="-1" strike="noStrike">
              <a:solidFill>
                <a:schemeClr val="dk1"/>
              </a:solidFill>
              <a:latin typeface="Candara"/>
            </a:rPr>
            <a:t>: Nommez vos propres critères dans la feuille de paramètrage et choisissez les dans les listes déroulantes dans votre registre des risques.</a:t>
          </a:r>
          <a:endParaRPr b="0" lang="fr-FR" sz="1100" spc="-1" strike="noStrike">
            <a:latin typeface="Times New Roman"/>
          </a:endParaRPr>
        </a:p>
        <a:p>
          <a:pPr>
            <a:lnSpc>
              <a:spcPct val="100000"/>
            </a:lnSpc>
          </a:pPr>
          <a:r>
            <a:rPr b="0" lang="fr-FR" sz="1100" spc="-1" strike="noStrike">
              <a:solidFill>
                <a:schemeClr val="dk1"/>
              </a:solidFill>
              <a:latin typeface="Candara"/>
            </a:rPr>
            <a:t>Les niveaux d'impact seront affichés systématiquement dans votre registre des risques en fonction du critère d'appréciation de l'impact choisi</a:t>
          </a: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100" spc="-1" strike="noStrike">
              <a:solidFill>
                <a:schemeClr val="dk1"/>
              </a:solidFill>
              <a:latin typeface="Candara"/>
            </a:rPr>
            <a:t>Moyenne des niveaux d'impact</a:t>
          </a:r>
          <a:r>
            <a:rPr b="0" lang="fr-FR" sz="1100" spc="-1" strike="noStrike">
              <a:solidFill>
                <a:schemeClr val="dk1"/>
              </a:solidFill>
              <a:latin typeface="Candara"/>
            </a:rPr>
            <a:t> : Celle-ci est calculée automatiquement en faisant une simple moyenne des niveaux d'impact obtenus </a:t>
          </a:r>
          <a:endParaRPr b="0" lang="fr-FR" sz="1100" spc="-1" strike="noStrike">
            <a:latin typeface="Times New Roman"/>
          </a:endParaRPr>
        </a:p>
        <a:p>
          <a:pPr>
            <a:lnSpc>
              <a:spcPct val="100000"/>
            </a:lnSpc>
          </a:pPr>
          <a:r>
            <a:rPr b="1" lang="fr-FR" sz="1100" spc="-1" strike="noStrike">
              <a:solidFill>
                <a:schemeClr val="dk1"/>
              </a:solidFill>
              <a:latin typeface="Candara"/>
            </a:rPr>
            <a:t>Fréquence</a:t>
          </a:r>
          <a:r>
            <a:rPr b="0" lang="fr-FR" sz="1100" spc="-1" strike="noStrike">
              <a:solidFill>
                <a:schemeClr val="dk1"/>
              </a:solidFill>
              <a:latin typeface="Candara"/>
            </a:rPr>
            <a:t> : Choisissez le niveau de fréquence ou probabilité d'occurence du risque à partir de la liste déroulante (Faible, Moyenne, Fréquente, Très fréquente).</a:t>
          </a:r>
          <a:endParaRPr b="0" lang="fr-FR" sz="1100" spc="-1" strike="noStrike">
            <a:latin typeface="Times New Roman"/>
          </a:endParaRPr>
        </a:p>
        <a:p>
          <a:pPr>
            <a:lnSpc>
              <a:spcPct val="100000"/>
            </a:lnSpc>
          </a:pPr>
          <a:r>
            <a:rPr b="1" lang="fr-FR" sz="1100" spc="-1" strike="noStrike">
              <a:solidFill>
                <a:schemeClr val="dk1"/>
              </a:solidFill>
              <a:latin typeface="Candara"/>
            </a:rPr>
            <a:t>Code impact : </a:t>
          </a:r>
          <a:r>
            <a:rPr b="0" lang="fr-FR" sz="1100" spc="-1" strike="noStrike">
              <a:solidFill>
                <a:schemeClr val="dk1"/>
              </a:solidFill>
              <a:latin typeface="Candara"/>
            </a:rPr>
            <a:t>Le code impact est renseigné automatiquement en fonction de la "moyenne des niveaux d'impact" obtenue,</a:t>
          </a:r>
          <a:endParaRPr b="0" lang="fr-FR" sz="1100" spc="-1" strike="noStrike">
            <a:latin typeface="Times New Roman"/>
          </a:endParaRPr>
        </a:p>
        <a:p>
          <a:pPr>
            <a:lnSpc>
              <a:spcPct val="100000"/>
            </a:lnSpc>
          </a:pPr>
          <a:r>
            <a:rPr b="0" lang="fr-FR" sz="1100" spc="-1" strike="noStrike">
              <a:solidFill>
                <a:schemeClr val="dk1"/>
              </a:solidFill>
              <a:latin typeface="Candara"/>
            </a:rPr>
            <a:t>Par exemple si la moyenne est égale ou légèrement supérieur à 2, le code impact affiché sera B</a:t>
          </a: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endParaRPr b="0" lang="fr-FR" sz="1100" spc="-1" strike="noStrike">
            <a:latin typeface="Times New Roman"/>
          </a:endParaRPr>
        </a:p>
        <a:p>
          <a:pPr>
            <a:lnSpc>
              <a:spcPct val="100000"/>
            </a:lnSpc>
          </a:pPr>
          <a:r>
            <a:rPr b="1" lang="fr-FR" sz="1100" spc="-1" strike="noStrike">
              <a:solidFill>
                <a:schemeClr val="dk1"/>
              </a:solidFill>
              <a:latin typeface="Candara"/>
            </a:rPr>
            <a:t>Code fréquence</a:t>
          </a:r>
          <a:r>
            <a:rPr b="0" lang="fr-FR" sz="1100" spc="-1" strike="noStrike">
              <a:solidFill>
                <a:schemeClr val="dk1"/>
              </a:solidFill>
              <a:latin typeface="Candara"/>
            </a:rPr>
            <a:t> : le code fréquence est attribué systématiquement pour chaque risque, en fonction du niveau de fréquence choisi (Faible, Moyenne, ...)</a:t>
          </a:r>
          <a:endParaRPr b="0" lang="fr-FR" sz="1100" spc="-1" strike="noStrike">
            <a:latin typeface="Times New Roman"/>
          </a:endParaRPr>
        </a:p>
        <a:p>
          <a:pPr>
            <a:lnSpc>
              <a:spcPct val="100000"/>
            </a:lnSpc>
          </a:pPr>
          <a:r>
            <a:rPr b="1" lang="fr-FR" sz="1100" spc="-1" strike="noStrike">
              <a:solidFill>
                <a:schemeClr val="dk1"/>
              </a:solidFill>
              <a:latin typeface="Candara"/>
            </a:rPr>
            <a:t>Evaluation des risques</a:t>
          </a:r>
          <a:r>
            <a:rPr b="0" lang="fr-FR" sz="1100" spc="-1" strike="noStrike">
              <a:solidFill>
                <a:schemeClr val="dk1"/>
              </a:solidFill>
              <a:latin typeface="Candara"/>
            </a:rPr>
            <a:t> : Le niveau de criticité est obtenu systmétiquement par la multiplication des niveaux de fréquence et d'impact : </a:t>
          </a:r>
          <a:endParaRPr b="0" lang="fr-FR" sz="1100" spc="-1" strike="noStrike">
            <a:latin typeface="Times New Roman"/>
          </a:endParaRPr>
        </a:p>
        <a:p>
          <a:pPr>
            <a:lnSpc>
              <a:spcPct val="100000"/>
            </a:lnSpc>
          </a:pPr>
          <a:r>
            <a:rPr b="0" lang="fr-FR" sz="1100" spc="-1" strike="noStrike" u="sng">
              <a:solidFill>
                <a:schemeClr val="dk1"/>
              </a:solidFill>
              <a:uFillTx/>
              <a:latin typeface="Candara"/>
            </a:rPr>
            <a:t>Niveau de criticité </a:t>
          </a:r>
          <a:r>
            <a:rPr b="0" lang="fr-FR" sz="1100" spc="-1" strike="noStrike">
              <a:solidFill>
                <a:schemeClr val="dk1"/>
              </a:solidFill>
              <a:latin typeface="Candara"/>
            </a:rPr>
            <a:t>= Impact * Fréquence. Exemple : Impact (A) x Fréquence (B) = AB. </a:t>
          </a:r>
          <a:endParaRPr b="0" lang="fr-FR" sz="1100" spc="-1" strike="noStrike">
            <a:latin typeface="Times New Roman"/>
          </a:endParaRPr>
        </a:p>
        <a:p>
          <a:pPr>
            <a:lnSpc>
              <a:spcPct val="100000"/>
            </a:lnSpc>
          </a:pPr>
          <a:r>
            <a:rPr b="0" lang="fr-FR" sz="1100" spc="-1" strike="noStrike">
              <a:solidFill>
                <a:schemeClr val="dk1"/>
              </a:solidFill>
              <a:latin typeface="Candara"/>
            </a:rPr>
            <a:t>Une note de criticité est obtenue pour chaque niveau de criticité (Cf. tableau </a:t>
          </a:r>
          <a:r>
            <a:rPr b="0" i="1" lang="fr-FR" sz="1100" spc="-1" strike="noStrike">
              <a:solidFill>
                <a:schemeClr val="dk1"/>
              </a:solidFill>
              <a:latin typeface="Candara"/>
            </a:rPr>
            <a:t>d'évaluation des risques </a:t>
          </a:r>
          <a:r>
            <a:rPr b="0" lang="fr-FR" sz="1100" spc="-1" strike="noStrike">
              <a:solidFill>
                <a:schemeClr val="dk1"/>
              </a:solidFill>
              <a:latin typeface="Candara"/>
            </a:rPr>
            <a:t>dans la feuille des paramètres)</a:t>
          </a:r>
          <a:endParaRPr b="0" lang="fr-FR" sz="1100" spc="-1" strike="noStrike">
            <a:latin typeface="Times New Roman"/>
          </a:endParaRPr>
        </a:p>
        <a:p>
          <a:pPr>
            <a:lnSpc>
              <a:spcPct val="100000"/>
            </a:lnSpc>
          </a:pPr>
          <a:r>
            <a:rPr b="1" lang="fr-FR" sz="1100" spc="-1" strike="noStrike">
              <a:solidFill>
                <a:schemeClr val="dk1"/>
              </a:solidFill>
              <a:latin typeface="Candara"/>
            </a:rPr>
            <a:t>Plan d'action </a:t>
          </a:r>
          <a:r>
            <a:rPr b="0" lang="fr-FR" sz="1100" spc="-1" strike="noStrike">
              <a:solidFill>
                <a:schemeClr val="dk1"/>
              </a:solidFill>
              <a:latin typeface="Candara"/>
            </a:rPr>
            <a:t>:</a:t>
          </a:r>
          <a:r>
            <a:rPr b="1" lang="fr-FR" sz="1100" spc="-1" strike="noStrike">
              <a:solidFill>
                <a:schemeClr val="dk1"/>
              </a:solidFill>
              <a:latin typeface="Candara"/>
            </a:rPr>
            <a:t> </a:t>
          </a:r>
          <a:r>
            <a:rPr b="0" lang="fr-FR" sz="1100" spc="-1" strike="noStrike">
              <a:solidFill>
                <a:schemeClr val="dk1"/>
              </a:solidFill>
              <a:latin typeface="Candara"/>
            </a:rPr>
            <a:t>Choisissez dans la liste déroulante, la réponse face au risque (Accepter, à atténuer, à éliminer, à transférer), puis renseignez l'objet de l'action (Quoi), son responsable (Qui), et le délai d'exécution (Quand)</a:t>
          </a:r>
          <a:endParaRPr b="0" lang="fr-FR" sz="1100" spc="-1" strike="noStrike">
            <a:latin typeface="Times New Roman"/>
          </a:endParaRPr>
        </a:p>
        <a:p>
          <a:pPr>
            <a:lnSpc>
              <a:spcPct val="100000"/>
            </a:lnSpc>
          </a:pPr>
          <a:r>
            <a:rPr b="1" lang="fr-FR" sz="1100" spc="-1" strike="noStrike">
              <a:solidFill>
                <a:schemeClr val="dk1"/>
              </a:solidFill>
              <a:latin typeface="Candara"/>
            </a:rPr>
            <a:t>Etat</a:t>
          </a:r>
          <a:r>
            <a:rPr b="0" lang="fr-FR" sz="1100" spc="-1" strike="noStrike">
              <a:solidFill>
                <a:schemeClr val="dk1"/>
              </a:solidFill>
              <a:latin typeface="Candara"/>
            </a:rPr>
            <a:t> : Choisissez dans la liste déroulante, l'état d'avancement (Fait, encours, non fait)</a:t>
          </a:r>
          <a:endParaRPr b="0" lang="fr-FR" sz="1100" spc="-1" strike="noStrike">
            <a:latin typeface="Times New Roman"/>
          </a:endParaRPr>
        </a:p>
        <a:p>
          <a:pPr>
            <a:lnSpc>
              <a:spcPct val="100000"/>
            </a:lnSpc>
          </a:pPr>
          <a:r>
            <a:rPr b="1" lang="fr-FR" sz="1100" spc="-1" strike="noStrike">
              <a:solidFill>
                <a:schemeClr val="dk1"/>
              </a:solidFill>
              <a:latin typeface="Candara"/>
            </a:rPr>
            <a:t>Méthode de surveillance </a:t>
          </a:r>
          <a:r>
            <a:rPr b="0" lang="fr-FR" sz="1100" spc="-1" strike="noStrike">
              <a:solidFill>
                <a:schemeClr val="dk1"/>
              </a:solidFill>
              <a:latin typeface="Candara"/>
            </a:rPr>
            <a:t>: Renseignez la méthode de surveillance du risque en question</a:t>
          </a:r>
          <a:endParaRPr b="0" lang="fr-FR" sz="1100" spc="-1" strike="noStrike">
            <a:latin typeface="Times New Roman"/>
          </a:endParaRPr>
        </a:p>
        <a:p>
          <a:pPr>
            <a:lnSpc>
              <a:spcPct val="100000"/>
            </a:lnSpc>
          </a:pPr>
          <a:r>
            <a:rPr b="1" lang="fr-FR" sz="1100" spc="-1" strike="noStrike">
              <a:solidFill>
                <a:schemeClr val="dk1"/>
              </a:solidFill>
              <a:latin typeface="Candara"/>
            </a:rPr>
            <a:t>Efficacité</a:t>
          </a:r>
          <a:r>
            <a:rPr b="0" lang="fr-FR" sz="1100" spc="-1" strike="noStrike">
              <a:solidFill>
                <a:schemeClr val="dk1"/>
              </a:solidFill>
              <a:latin typeface="Candara"/>
            </a:rPr>
            <a:t> : Cochez "Efficace" ou "Pas Efficace" en cliquant sur le signe (✓) ou sur (X) </a:t>
          </a:r>
          <a:endParaRPr b="0" lang="fr-FR" sz="1100" spc="-1" strike="noStrike">
            <a:latin typeface="Times New Roman"/>
          </a:endParaRPr>
        </a:p>
        <a:p>
          <a:pPr>
            <a:lnSpc>
              <a:spcPct val="100000"/>
            </a:lnSpc>
          </a:pPr>
          <a:r>
            <a:rPr b="1" lang="fr-FR" sz="1100" spc="-1" strike="noStrike">
              <a:solidFill>
                <a:schemeClr val="dk1"/>
              </a:solidFill>
              <a:latin typeface="Candara"/>
            </a:rPr>
            <a:t>Observations</a:t>
          </a:r>
          <a:r>
            <a:rPr b="0" lang="fr-FR" sz="1100" spc="-1" strike="noStrike">
              <a:solidFill>
                <a:schemeClr val="dk1"/>
              </a:solidFill>
              <a:latin typeface="Candara"/>
            </a:rPr>
            <a:t> : Notez vos commentaires et observations éventuelles</a:t>
          </a:r>
          <a:endParaRPr b="0" lang="fr-FR" sz="1100" spc="-1" strike="noStrike">
            <a:latin typeface="Times New Roman"/>
          </a:endParaRPr>
        </a:p>
        <a:p>
          <a:pPr>
            <a:lnSpc>
              <a:spcPct val="100000"/>
            </a:lnSpc>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2. </a:t>
          </a:r>
          <a:r>
            <a:rPr b="0" lang="fr-FR" sz="1100" spc="-1" strike="noStrike" u="sng">
              <a:solidFill>
                <a:schemeClr val="dk1"/>
              </a:solidFill>
              <a:uFillTx/>
              <a:latin typeface="Candara"/>
            </a:rPr>
            <a:t>Analyse des données dans le dashboard</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Consultez le tableau de bord pour avoir une vue synthétique sur la répartition des risques selon leurs niveaux de criticité, ainsi que les actions de réponse et leur état d'avancement.</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1" lang="fr-FR" sz="1200" spc="-1" strike="noStrike">
              <a:solidFill>
                <a:schemeClr val="dk1"/>
              </a:solidFill>
              <a:latin typeface="Candara"/>
            </a:rPr>
            <a:t>Personnalisation du fichier :</a:t>
          </a:r>
          <a:r>
            <a:rPr b="0" lang="fr-FR" sz="1200" spc="-1" strike="noStrike">
              <a:solidFill>
                <a:schemeClr val="dk1"/>
              </a:solidFill>
              <a:latin typeface="Candara"/>
            </a:rPr>
            <a:t> toute modification des libellés et des critères se fait dans la feuille "paramètres"</a:t>
          </a: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r>
            <a:rPr b="0" lang="fr-FR" sz="1200" spc="-1" strike="noStrike">
              <a:solidFill>
                <a:schemeClr val="dk1"/>
              </a:solidFill>
              <a:latin typeface="Candara"/>
            </a:rPr>
            <a:t>1. </a:t>
          </a:r>
          <a:r>
            <a:rPr b="0" lang="fr-FR" sz="1200" spc="-1" strike="noStrike" u="sng">
              <a:solidFill>
                <a:schemeClr val="dk1"/>
              </a:solidFill>
              <a:uFillTx/>
              <a:latin typeface="Candara"/>
            </a:rPr>
            <a:t>Changement des libellés </a:t>
          </a:r>
          <a:endParaRPr b="0" lang="fr-FR" sz="1200" spc="-1" strike="noStrike">
            <a:latin typeface="Times New Roman"/>
          </a:endParaRPr>
        </a:p>
        <a:p>
          <a:pPr defTabSz="914400">
            <a:lnSpc>
              <a:spcPct val="100000"/>
            </a:lnSpc>
            <a:tabLst>
              <a:tab algn="l" pos="0"/>
            </a:tabLst>
          </a:pPr>
          <a:r>
            <a:rPr b="0" lang="fr-FR" sz="1200" spc="-1" strike="noStrike">
              <a:solidFill>
                <a:schemeClr val="dk1"/>
              </a:solidFill>
              <a:latin typeface="Candara"/>
            </a:rPr>
            <a:t>Pour changer l'un des libellés suivants :</a:t>
          </a:r>
          <a:endParaRPr b="0" lang="fr-FR" sz="1200" spc="-1" strike="noStrike">
            <a:latin typeface="Times New Roman"/>
          </a:endParaRPr>
        </a:p>
        <a:p>
          <a:pPr defTabSz="914400">
            <a:lnSpc>
              <a:spcPct val="100000"/>
            </a:lnSpc>
            <a:tabLst>
              <a:tab algn="l" pos="0"/>
            </a:tabLst>
          </a:pPr>
          <a:r>
            <a:rPr b="0" lang="fr-FR" sz="1200" spc="-1" strike="noStrike">
              <a:solidFill>
                <a:schemeClr val="dk1"/>
              </a:solidFill>
              <a:latin typeface="Candara"/>
            </a:rPr>
            <a:t>* Critères d'impact : image de marque, aspect financier...</a:t>
          </a:r>
          <a:endParaRPr b="0" lang="fr-FR" sz="1200" spc="-1" strike="noStrike">
            <a:latin typeface="Times New Roman"/>
          </a:endParaRPr>
        </a:p>
        <a:p>
          <a:pPr defTabSz="914400">
            <a:lnSpc>
              <a:spcPct val="100000"/>
            </a:lnSpc>
            <a:tabLst>
              <a:tab algn="l" pos="0"/>
            </a:tabLst>
          </a:pPr>
          <a:r>
            <a:rPr b="0" lang="fr-FR" sz="1200" spc="-1" strike="noStrike">
              <a:solidFill>
                <a:schemeClr val="dk1"/>
              </a:solidFill>
              <a:latin typeface="Candara"/>
            </a:rPr>
            <a:t>* Niveaux de criticité : Modéré, élevé, critique...</a:t>
          </a:r>
          <a:endParaRPr b="0" lang="fr-FR" sz="1200" spc="-1" strike="noStrike">
            <a:latin typeface="Times New Roman"/>
          </a:endParaRPr>
        </a:p>
        <a:p>
          <a:pPr defTabSz="914400">
            <a:lnSpc>
              <a:spcPct val="100000"/>
            </a:lnSpc>
            <a:tabLst>
              <a:tab algn="l" pos="0"/>
            </a:tabLst>
          </a:pPr>
          <a:r>
            <a:rPr b="0" lang="fr-FR" sz="1200" spc="-1" strike="noStrike">
              <a:solidFill>
                <a:schemeClr val="dk1"/>
              </a:solidFill>
              <a:latin typeface="Candara"/>
            </a:rPr>
            <a:t>* Réponses aux risques : Accepter, à atténuer...</a:t>
          </a:r>
          <a:endParaRPr b="0" lang="fr-FR" sz="1200" spc="-1" strike="noStrike">
            <a:latin typeface="Times New Roman"/>
          </a:endParaRPr>
        </a:p>
        <a:p>
          <a:pPr defTabSz="914400">
            <a:lnSpc>
              <a:spcPct val="100000"/>
            </a:lnSpc>
            <a:tabLst>
              <a:tab algn="l" pos="0"/>
            </a:tabLst>
          </a:pPr>
          <a:r>
            <a:rPr b="0" lang="fr-FR" sz="1200" spc="-1" strike="noStrike">
              <a:solidFill>
                <a:schemeClr val="dk1"/>
              </a:solidFill>
              <a:latin typeface="Candara"/>
            </a:rPr>
            <a:t>* Code de fréquence : A, B, C, D...</a:t>
          </a:r>
          <a:endParaRPr b="0" lang="fr-FR" sz="1200" spc="-1" strike="noStrike">
            <a:latin typeface="Times New Roman"/>
          </a:endParaRPr>
        </a:p>
        <a:p>
          <a:pPr defTabSz="914400">
            <a:lnSpc>
              <a:spcPct val="100000"/>
            </a:lnSpc>
            <a:tabLst>
              <a:tab algn="l" pos="0"/>
            </a:tabLst>
          </a:pPr>
          <a:r>
            <a:rPr b="0" lang="fr-FR" sz="1200" spc="-1" strike="noStrike">
              <a:solidFill>
                <a:schemeClr val="dk1"/>
              </a:solidFill>
              <a:latin typeface="Candara"/>
            </a:rPr>
            <a:t>* Code d'impact : </a:t>
          </a:r>
          <a:r>
            <a:rPr b="0" lang="fr-FR" sz="1100" spc="-1" strike="noStrike">
              <a:solidFill>
                <a:schemeClr val="dk1"/>
              </a:solidFill>
              <a:latin typeface="Candara"/>
            </a:rPr>
            <a:t>A, B, C, D...</a:t>
          </a:r>
          <a:endParaRPr b="0" lang="fr-FR" sz="1100" spc="-1" strike="noStrike">
            <a:latin typeface="Times New Roman"/>
          </a:endParaRPr>
        </a:p>
        <a:p>
          <a:pPr defTabSz="914400">
            <a:lnSpc>
              <a:spcPct val="100000"/>
            </a:lnSpc>
            <a:tabLst>
              <a:tab algn="l" pos="0"/>
            </a:tabLst>
          </a:pPr>
          <a:r>
            <a:rPr b="0" lang="fr-FR" sz="1200" spc="-1" strike="noStrike">
              <a:solidFill>
                <a:schemeClr val="dk1"/>
              </a:solidFill>
              <a:latin typeface="Candara"/>
            </a:rPr>
            <a:t>Allez dans les paramètres, puis changez le libellé en question :</a:t>
          </a: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endParaRPr b="0" lang="fr-FR" sz="1200" spc="-1" strike="noStrike">
            <a:latin typeface="Times New Roman"/>
          </a:endParaRPr>
        </a:p>
        <a:p>
          <a:pPr defTabSz="914400">
            <a:lnSpc>
              <a:spcPct val="100000"/>
            </a:lnSpc>
            <a:tabLst>
              <a:tab algn="l" pos="0"/>
            </a:tabLst>
          </a:pPr>
          <a:r>
            <a:rPr b="0" lang="fr-FR" sz="1100" spc="-1" strike="noStrike" u="sng">
              <a:solidFill>
                <a:schemeClr val="dk1"/>
              </a:solidFill>
              <a:uFillTx/>
              <a:latin typeface="Candara"/>
            </a:rPr>
            <a:t>2. Ajout de lignes :</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Dans la colonne D de la feuille Registre des risques, il est possible de dupliquer une ligne à l'intérieur du registre en sélectionnant la cellule dans la colonne D (sur la ligne à dupliquer) puis de cliquer sur le signe (+) :</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 </a:t>
          </a:r>
          <a:r>
            <a:rPr b="0" lang="fr-FR" sz="1100" spc="-1" strike="noStrike" u="sng">
              <a:solidFill>
                <a:schemeClr val="dk1"/>
              </a:solidFill>
              <a:uFillTx/>
              <a:latin typeface="Candara"/>
            </a:rPr>
            <a:t>Supression de lignes :</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La suppression d'une ligne peut se faire de la même manière, mais cette fois-ci en cliquant sur le signe (-)</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 </a:t>
          </a:r>
          <a:r>
            <a:rPr b="0" lang="fr-FR" sz="1100" spc="-1" strike="noStrike" u="sng">
              <a:solidFill>
                <a:schemeClr val="dk1"/>
              </a:solidFill>
              <a:uFillTx/>
              <a:latin typeface="Candara"/>
            </a:rPr>
            <a:t>Modification/Ajout/supression des coefficients </a:t>
          </a:r>
          <a:r>
            <a:rPr b="0" lang="fr-FR" sz="1100" spc="-1" strike="noStrike">
              <a:solidFill>
                <a:schemeClr val="dk1"/>
              </a:solidFill>
              <a:latin typeface="Candara"/>
            </a:rPr>
            <a:t>(impact, fréquence, criticité) :</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Les coefficients (poids) des risques sont paramétrables dans la feuille paramètres</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1. </a:t>
          </a:r>
          <a:r>
            <a:rPr b="1" lang="fr-FR" sz="1100" spc="-1" strike="noStrike">
              <a:solidFill>
                <a:schemeClr val="dk1"/>
              </a:solidFill>
              <a:latin typeface="Candara"/>
            </a:rPr>
            <a:t>Impact</a:t>
          </a:r>
          <a:r>
            <a:rPr b="0" lang="fr-FR" sz="1100" spc="-1" strike="noStrike">
              <a:solidFill>
                <a:schemeClr val="dk1"/>
              </a:solidFill>
              <a:latin typeface="Candara"/>
            </a:rPr>
            <a:t> : Les coefficients varient de 0 pour "Pas d'impact" à 4 "Impact significatif"</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Pour ajouter un nouveau coefficient entre les lignes existantes, positionnez-vous sur la cellule au-dessus de laquelle vous voulez créer la nouvelle cellule, puis cliquez sur le signe (+) :</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Vous pouvez également ajouter un nouveau coefficient juste en dessous du tableau, en modifiant directement la cellule :</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Pour supprimer une cellule, il suffit de se positionner sur la cellule à supprimer, puis de cliquer sur le signe (-)</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Pour ajouter un nouveau critère d'impact : cliquez sur "ajoutez un nouveau critère d'impact", puis nommez-le :</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Pour supprimer un critère d'impact, il suffit de cliquer sur le signe de supression :</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Code impact : de la même façon, vous pouvez ajouter ou supprimer un code impact</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2. </a:t>
          </a:r>
          <a:r>
            <a:rPr b="1" lang="fr-FR" sz="1100" spc="-1" strike="noStrike">
              <a:solidFill>
                <a:schemeClr val="dk1"/>
              </a:solidFill>
              <a:latin typeface="Candara"/>
            </a:rPr>
            <a:t>Fréquence</a:t>
          </a:r>
          <a:r>
            <a:rPr b="0" lang="fr-FR" sz="1100" spc="-1" strike="noStrike">
              <a:solidFill>
                <a:schemeClr val="dk1"/>
              </a:solidFill>
              <a:latin typeface="Candara"/>
            </a:rPr>
            <a:t> : Les coefficients varient de A pour "Faible" à D "Très fréquente"</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L'ajout et la supression fonctionne de la même façon décrite pour les critères et niveaux d'impact</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3. </a:t>
          </a:r>
          <a:r>
            <a:rPr b="1" lang="fr-FR" sz="1100" spc="-1" strike="noStrike">
              <a:solidFill>
                <a:schemeClr val="dk1"/>
              </a:solidFill>
              <a:latin typeface="Candara"/>
            </a:rPr>
            <a:t>Evaluation des risques </a:t>
          </a:r>
          <a:r>
            <a:rPr b="0" lang="fr-FR" sz="1100" spc="-1" strike="noStrike">
              <a:solidFill>
                <a:schemeClr val="dk1"/>
              </a:solidFill>
              <a:latin typeface="Candara"/>
            </a:rPr>
            <a:t>: Le tableau multiplie le "code impact" par le "code fréquence" :</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Exemple : Code impact (A) et code fréquence (B) = Criticité (AB = Modéré)</a:t>
          </a: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Pour chaque combinaison (AA, AB, AC...) vous pouvez nommer le niveau de criticité correspondant sur une échelle de 1 à 4 ou plus.</a:t>
          </a: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endParaRPr b="0" lang="fr-FR" sz="1100" spc="-1" strike="noStrike">
            <a:latin typeface="Times New Roman"/>
          </a:endParaRPr>
        </a:p>
        <a:p>
          <a:pPr defTabSz="914400">
            <a:lnSpc>
              <a:spcPct val="100000"/>
            </a:lnSpc>
            <a:tabLst>
              <a:tab algn="l" pos="0"/>
            </a:tabLst>
          </a:pPr>
          <a:r>
            <a:rPr b="0" lang="fr-FR" sz="1100" spc="-1" strike="noStrike">
              <a:solidFill>
                <a:schemeClr val="dk1"/>
              </a:solidFill>
              <a:latin typeface="Candara"/>
            </a:rPr>
            <a:t>4. Réponse aux risques : Vous pouvez ajouter ou supprimer une réponse en utilisant les signes d'ajout (+) et de supression (-)</a:t>
          </a:r>
          <a:endParaRPr b="0" lang="fr-FR" sz="1100" spc="-1" strike="noStrike">
            <a:latin typeface="Times New Roman"/>
          </a:endParaRPr>
        </a:p>
      </xdr:txBody>
    </xdr:sp>
    <xdr:clientData/>
  </xdr:twoCellAnchor>
  <xdr:twoCellAnchor editAs="twoCell">
    <xdr:from>
      <xdr:col>14</xdr:col>
      <xdr:colOff>402120</xdr:colOff>
      <xdr:row>25</xdr:row>
      <xdr:rowOff>36720</xdr:rowOff>
    </xdr:from>
    <xdr:to>
      <xdr:col>15</xdr:col>
      <xdr:colOff>255240</xdr:colOff>
      <xdr:row>26</xdr:row>
      <xdr:rowOff>97200</xdr:rowOff>
    </xdr:to>
    <xdr:sp>
      <xdr:nvSpPr>
        <xdr:cNvPr id="2" name="TextBox 5">
          <a:hlinkClick r:id="rId2"/>
        </xdr:cNvPr>
        <xdr:cNvSpPr/>
      </xdr:nvSpPr>
      <xdr:spPr>
        <a:xfrm>
          <a:off x="9425520" y="4694400"/>
          <a:ext cx="1131840" cy="250920"/>
        </a:xfrm>
        <a:prstGeom prst="rect">
          <a:avLst/>
        </a:prstGeom>
        <a:noFill/>
        <a:ln w="9525">
          <a:noFill/>
        </a:ln>
      </xdr:spPr>
      <xdr:style>
        <a:lnRef idx="0"/>
        <a:fillRef idx="0"/>
        <a:effectRef idx="0"/>
        <a:fontRef idx="minor"/>
      </xdr:style>
      <xdr:txBody>
        <a:bodyPr horzOverflow="clip" vertOverflow="clip" lIns="90000" rIns="90000" tIns="45000" bIns="45000" anchor="t">
          <a:noAutofit/>
        </a:bodyPr>
        <a:p>
          <a:pPr>
            <a:lnSpc>
              <a:spcPct val="100000"/>
            </a:lnSpc>
          </a:pPr>
          <a:r>
            <a:rPr b="0" lang="fr-FR" sz="1100" spc="-1" strike="noStrike" u="sng">
              <a:solidFill>
                <a:srgbClr val="00b0f0"/>
              </a:solidFill>
              <a:uFillTx/>
              <a:latin typeface="Calibri"/>
            </a:rPr>
            <a:t>Plus de détail</a:t>
          </a:r>
          <a:endParaRPr b="0" lang="fr-FR" sz="1100" spc="-1" strike="noStrike">
            <a:latin typeface="Times New Roman"/>
          </a:endParaRPr>
        </a:p>
      </xdr:txBody>
    </xdr:sp>
    <xdr:clientData/>
  </xdr:twoCellAnchor>
  <xdr:twoCellAnchor editAs="oneCell">
    <xdr:from>
      <xdr:col>0</xdr:col>
      <xdr:colOff>86040</xdr:colOff>
      <xdr:row>26</xdr:row>
      <xdr:rowOff>152280</xdr:rowOff>
    </xdr:from>
    <xdr:to>
      <xdr:col>7</xdr:col>
      <xdr:colOff>546840</xdr:colOff>
      <xdr:row>29</xdr:row>
      <xdr:rowOff>84960</xdr:rowOff>
    </xdr:to>
    <xdr:pic>
      <xdr:nvPicPr>
        <xdr:cNvPr id="3" name="Image 55" descr=""/>
        <xdr:cNvPicPr/>
      </xdr:nvPicPr>
      <xdr:blipFill>
        <a:blip r:embed="rId3"/>
        <a:srcRect l="0" t="0" r="0" b="12125"/>
        <a:stretch/>
      </xdr:blipFill>
      <xdr:spPr>
        <a:xfrm>
          <a:off x="86040" y="5000400"/>
          <a:ext cx="4972320" cy="504360"/>
        </a:xfrm>
        <a:prstGeom prst="rect">
          <a:avLst/>
        </a:prstGeom>
        <a:ln w="0">
          <a:noFill/>
        </a:ln>
      </xdr:spPr>
    </xdr:pic>
    <xdr:clientData/>
  </xdr:twoCellAnchor>
  <xdr:twoCellAnchor editAs="oneCell">
    <xdr:from>
      <xdr:col>0</xdr:col>
      <xdr:colOff>162360</xdr:colOff>
      <xdr:row>11</xdr:row>
      <xdr:rowOff>30960</xdr:rowOff>
    </xdr:from>
    <xdr:to>
      <xdr:col>0</xdr:col>
      <xdr:colOff>322200</xdr:colOff>
      <xdr:row>12</xdr:row>
      <xdr:rowOff>7920</xdr:rowOff>
    </xdr:to>
    <xdr:pic>
      <xdr:nvPicPr>
        <xdr:cNvPr id="4" name="Image 56" descr=""/>
        <xdr:cNvPicPr/>
      </xdr:nvPicPr>
      <xdr:blipFill>
        <a:blip r:embed="rId4"/>
        <a:stretch/>
      </xdr:blipFill>
      <xdr:spPr>
        <a:xfrm>
          <a:off x="162360" y="2021760"/>
          <a:ext cx="159840" cy="167400"/>
        </a:xfrm>
        <a:prstGeom prst="rect">
          <a:avLst/>
        </a:prstGeom>
        <a:ln w="0">
          <a:noFill/>
        </a:ln>
      </xdr:spPr>
    </xdr:pic>
    <xdr:clientData/>
  </xdr:twoCellAnchor>
  <xdr:twoCellAnchor editAs="oneCell">
    <xdr:from>
      <xdr:col>0</xdr:col>
      <xdr:colOff>99000</xdr:colOff>
      <xdr:row>16</xdr:row>
      <xdr:rowOff>65880</xdr:rowOff>
    </xdr:from>
    <xdr:to>
      <xdr:col>8</xdr:col>
      <xdr:colOff>329400</xdr:colOff>
      <xdr:row>21</xdr:row>
      <xdr:rowOff>178200</xdr:rowOff>
    </xdr:to>
    <xdr:pic>
      <xdr:nvPicPr>
        <xdr:cNvPr id="5" name="Image 57" descr=""/>
        <xdr:cNvPicPr/>
      </xdr:nvPicPr>
      <xdr:blipFill>
        <a:blip r:embed="rId5"/>
        <a:stretch/>
      </xdr:blipFill>
      <xdr:spPr>
        <a:xfrm>
          <a:off x="99000" y="3009240"/>
          <a:ext cx="5386680" cy="1064520"/>
        </a:xfrm>
        <a:prstGeom prst="rect">
          <a:avLst/>
        </a:prstGeom>
        <a:ln w="0">
          <a:noFill/>
        </a:ln>
      </xdr:spPr>
    </xdr:pic>
    <xdr:clientData/>
  </xdr:twoCellAnchor>
  <xdr:twoCellAnchor editAs="twoCell">
    <xdr:from>
      <xdr:col>0</xdr:col>
      <xdr:colOff>17280</xdr:colOff>
      <xdr:row>48</xdr:row>
      <xdr:rowOff>36720</xdr:rowOff>
    </xdr:from>
    <xdr:to>
      <xdr:col>13</xdr:col>
      <xdr:colOff>327600</xdr:colOff>
      <xdr:row>68</xdr:row>
      <xdr:rowOff>160200</xdr:rowOff>
    </xdr:to>
    <xdr:grpSp>
      <xdr:nvGrpSpPr>
        <xdr:cNvPr id="6" name="Groupe 58"/>
        <xdr:cNvGrpSpPr/>
      </xdr:nvGrpSpPr>
      <xdr:grpSpPr>
        <a:xfrm>
          <a:off x="17280" y="9075960"/>
          <a:ext cx="8689320" cy="3933360"/>
          <a:chOff x="17280" y="9075960"/>
          <a:chExt cx="8689320" cy="3933360"/>
        </a:xfrm>
      </xdr:grpSpPr>
      <xdr:pic>
        <xdr:nvPicPr>
          <xdr:cNvPr id="7" name="Image 59" descr=""/>
          <xdr:cNvPicPr/>
        </xdr:nvPicPr>
        <xdr:blipFill>
          <a:blip r:embed="rId6"/>
          <a:stretch/>
        </xdr:blipFill>
        <xdr:spPr>
          <a:xfrm>
            <a:off x="17280" y="9075960"/>
            <a:ext cx="8689320" cy="1315080"/>
          </a:xfrm>
          <a:prstGeom prst="rect">
            <a:avLst/>
          </a:prstGeom>
          <a:ln w="0">
            <a:noFill/>
          </a:ln>
        </xdr:spPr>
      </xdr:pic>
      <xdr:sp>
        <xdr:nvSpPr>
          <xdr:cNvPr id="8" name="Flèche : bas 60"/>
          <xdr:cNvSpPr/>
        </xdr:nvSpPr>
        <xdr:spPr>
          <a:xfrm>
            <a:off x="4268160" y="10496880"/>
            <a:ext cx="242640" cy="348480"/>
          </a:xfrm>
          <a:prstGeom prst="downArrow">
            <a:avLst>
              <a:gd name="adj1" fmla="val 50000"/>
              <a:gd name="adj2" fmla="val 50000"/>
            </a:avLst>
          </a:prstGeom>
          <a:solidFill>
            <a:srgbClr val="ffc000"/>
          </a:solidFill>
          <a:ln w="25400">
            <a:solidFill>
              <a:srgbClr val="ffc000"/>
            </a:solidFill>
            <a:round/>
          </a:ln>
        </xdr:spPr>
        <xdr:style>
          <a:lnRef idx="2">
            <a:schemeClr val="accent1">
              <a:shade val="50000"/>
            </a:schemeClr>
          </a:lnRef>
          <a:fillRef idx="1">
            <a:schemeClr val="accent1"/>
          </a:fillRef>
          <a:effectRef idx="0">
            <a:schemeClr val="accent1"/>
          </a:effectRef>
          <a:fontRef idx="minor"/>
        </xdr:style>
      </xdr:sp>
      <xdr:grpSp>
        <xdr:nvGrpSpPr>
          <xdr:cNvPr id="9" name="Groupe 61"/>
          <xdr:cNvGrpSpPr/>
        </xdr:nvGrpSpPr>
        <xdr:grpSpPr>
          <a:xfrm>
            <a:off x="1946520" y="10919520"/>
            <a:ext cx="5065920" cy="2089800"/>
            <a:chOff x="1946520" y="10919520"/>
            <a:chExt cx="5065920" cy="2089800"/>
          </a:xfrm>
        </xdr:grpSpPr>
        <xdr:pic>
          <xdr:nvPicPr>
            <xdr:cNvPr id="10" name="Image 62" descr=""/>
            <xdr:cNvPicPr/>
          </xdr:nvPicPr>
          <xdr:blipFill>
            <a:blip r:embed="rId7"/>
            <a:srcRect l="0" t="0" r="0" b="5510"/>
            <a:stretch/>
          </xdr:blipFill>
          <xdr:spPr>
            <a:xfrm>
              <a:off x="1952280" y="10919520"/>
              <a:ext cx="5060160" cy="2089800"/>
            </a:xfrm>
            <a:prstGeom prst="rect">
              <a:avLst/>
            </a:prstGeom>
            <a:ln w="0">
              <a:noFill/>
            </a:ln>
          </xdr:spPr>
        </xdr:pic>
        <xdr:sp>
          <xdr:nvSpPr>
            <xdr:cNvPr id="11" name="Rectangle 61"/>
            <xdr:cNvSpPr/>
          </xdr:nvSpPr>
          <xdr:spPr>
            <a:xfrm>
              <a:off x="1946520" y="12272400"/>
              <a:ext cx="909360" cy="506880"/>
            </a:xfrm>
            <a:prstGeom prst="rect">
              <a:avLst/>
            </a:prstGeom>
            <a:noFill/>
            <a:ln w="28575">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12" name="Rectangle 62"/>
            <xdr:cNvSpPr/>
          </xdr:nvSpPr>
          <xdr:spPr>
            <a:xfrm>
              <a:off x="1962360" y="11131200"/>
              <a:ext cx="721080" cy="427680"/>
            </a:xfrm>
            <a:prstGeom prst="rect">
              <a:avLst/>
            </a:prstGeom>
            <a:noFill/>
            <a:ln w="28575">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13" name="Rectangle 63"/>
            <xdr:cNvSpPr/>
          </xdr:nvSpPr>
          <xdr:spPr>
            <a:xfrm>
              <a:off x="3232800" y="11139120"/>
              <a:ext cx="721080" cy="427680"/>
            </a:xfrm>
            <a:prstGeom prst="rect">
              <a:avLst/>
            </a:prstGeom>
            <a:noFill/>
            <a:ln w="28575">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14" name="Rectangle 64"/>
            <xdr:cNvSpPr/>
          </xdr:nvSpPr>
          <xdr:spPr>
            <a:xfrm>
              <a:off x="4503240" y="11139120"/>
              <a:ext cx="721080" cy="427680"/>
            </a:xfrm>
            <a:prstGeom prst="rect">
              <a:avLst/>
            </a:prstGeom>
            <a:noFill/>
            <a:ln w="28575">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15" name="Rectangle 65"/>
            <xdr:cNvSpPr/>
          </xdr:nvSpPr>
          <xdr:spPr>
            <a:xfrm>
              <a:off x="5750280" y="11139120"/>
              <a:ext cx="721080" cy="427680"/>
            </a:xfrm>
            <a:prstGeom prst="rect">
              <a:avLst/>
            </a:prstGeom>
            <a:noFill/>
            <a:ln w="28575">
              <a:solidFill>
                <a:srgbClr val="ff0000"/>
              </a:solidFill>
              <a:round/>
            </a:ln>
          </xdr:spPr>
          <xdr:style>
            <a:lnRef idx="2">
              <a:schemeClr val="accent1">
                <a:shade val="50000"/>
              </a:schemeClr>
            </a:lnRef>
            <a:fillRef idx="1">
              <a:schemeClr val="accent1"/>
            </a:fillRef>
            <a:effectRef idx="0">
              <a:schemeClr val="accent1"/>
            </a:effectRef>
            <a:fontRef idx="minor"/>
          </xdr:style>
        </xdr:sp>
      </xdr:grpSp>
    </xdr:grpSp>
    <xdr:clientData/>
  </xdr:twoCellAnchor>
  <xdr:twoCellAnchor editAs="twoCell">
    <xdr:from>
      <xdr:col>0</xdr:col>
      <xdr:colOff>0</xdr:colOff>
      <xdr:row>182</xdr:row>
      <xdr:rowOff>132120</xdr:rowOff>
    </xdr:from>
    <xdr:to>
      <xdr:col>13</xdr:col>
      <xdr:colOff>176400</xdr:colOff>
      <xdr:row>190</xdr:row>
      <xdr:rowOff>79920</xdr:rowOff>
    </xdr:to>
    <xdr:grpSp>
      <xdr:nvGrpSpPr>
        <xdr:cNvPr id="16" name="Groupe 72"/>
        <xdr:cNvGrpSpPr/>
      </xdr:nvGrpSpPr>
      <xdr:grpSpPr>
        <a:xfrm>
          <a:off x="0" y="34698240"/>
          <a:ext cx="8555400" cy="1472040"/>
          <a:chOff x="0" y="34698240"/>
          <a:chExt cx="8555400" cy="1472040"/>
        </a:xfrm>
      </xdr:grpSpPr>
      <xdr:grpSp>
        <xdr:nvGrpSpPr>
          <xdr:cNvPr id="17" name="Groupe 73"/>
          <xdr:cNvGrpSpPr/>
        </xdr:nvGrpSpPr>
        <xdr:grpSpPr>
          <a:xfrm>
            <a:off x="0" y="34698240"/>
            <a:ext cx="5501520" cy="1418400"/>
            <a:chOff x="0" y="34698240"/>
            <a:chExt cx="5501520" cy="1418400"/>
          </a:xfrm>
        </xdr:grpSpPr>
        <xdr:pic>
          <xdr:nvPicPr>
            <xdr:cNvPr id="18" name="Image 76" descr=""/>
            <xdr:cNvPicPr/>
          </xdr:nvPicPr>
          <xdr:blipFill>
            <a:blip r:embed="rId8"/>
            <a:stretch/>
          </xdr:blipFill>
          <xdr:spPr>
            <a:xfrm>
              <a:off x="0" y="34698240"/>
              <a:ext cx="2383200" cy="1418400"/>
            </a:xfrm>
            <a:prstGeom prst="rect">
              <a:avLst/>
            </a:prstGeom>
            <a:ln w="0">
              <a:noFill/>
            </a:ln>
          </xdr:spPr>
        </xdr:pic>
        <xdr:pic>
          <xdr:nvPicPr>
            <xdr:cNvPr id="19" name="Image 77" descr=""/>
            <xdr:cNvPicPr/>
          </xdr:nvPicPr>
          <xdr:blipFill>
            <a:blip r:embed="rId9"/>
            <a:stretch/>
          </xdr:blipFill>
          <xdr:spPr>
            <a:xfrm>
              <a:off x="3016440" y="35070120"/>
              <a:ext cx="2485080" cy="1002960"/>
            </a:xfrm>
            <a:prstGeom prst="rect">
              <a:avLst/>
            </a:prstGeom>
            <a:ln w="0">
              <a:noFill/>
            </a:ln>
          </xdr:spPr>
        </xdr:pic>
        <xdr:sp>
          <xdr:nvSpPr>
            <xdr:cNvPr id="20" name="Flèche : droite 78"/>
            <xdr:cNvSpPr/>
          </xdr:nvSpPr>
          <xdr:spPr>
            <a:xfrm>
              <a:off x="2482200" y="35467200"/>
              <a:ext cx="321840" cy="254160"/>
            </a:xfrm>
            <a:prstGeom prst="rightArrow">
              <a:avLst>
                <a:gd name="adj1" fmla="val 50000"/>
                <a:gd name="adj2" fmla="val 50000"/>
              </a:avLst>
            </a:prstGeom>
            <a:solidFill>
              <a:srgbClr val="ffc000"/>
            </a:solidFill>
            <a:ln w="25400">
              <a:solidFill>
                <a:srgbClr val="ffc000"/>
              </a:solidFill>
              <a:round/>
            </a:ln>
          </xdr:spPr>
          <xdr:style>
            <a:lnRef idx="2">
              <a:schemeClr val="accent1">
                <a:shade val="50000"/>
              </a:schemeClr>
            </a:lnRef>
            <a:fillRef idx="1">
              <a:schemeClr val="accent1"/>
            </a:fillRef>
            <a:effectRef idx="0">
              <a:schemeClr val="accent1"/>
            </a:effectRef>
            <a:fontRef idx="minor"/>
          </xdr:style>
        </xdr:sp>
      </xdr:grpSp>
      <xdr:pic>
        <xdr:nvPicPr>
          <xdr:cNvPr id="21" name="Image 74" descr=""/>
          <xdr:cNvPicPr/>
        </xdr:nvPicPr>
        <xdr:blipFill>
          <a:blip r:embed="rId10"/>
          <a:stretch/>
        </xdr:blipFill>
        <xdr:spPr>
          <a:xfrm>
            <a:off x="6064200" y="34939080"/>
            <a:ext cx="2491200" cy="1231200"/>
          </a:xfrm>
          <a:prstGeom prst="rect">
            <a:avLst/>
          </a:prstGeom>
          <a:ln w="0">
            <a:noFill/>
          </a:ln>
        </xdr:spPr>
      </xdr:pic>
      <xdr:sp>
        <xdr:nvSpPr>
          <xdr:cNvPr id="22" name="Flèche : droite 75"/>
          <xdr:cNvSpPr/>
        </xdr:nvSpPr>
        <xdr:spPr>
          <a:xfrm>
            <a:off x="5647680" y="35437680"/>
            <a:ext cx="321840" cy="254160"/>
          </a:xfrm>
          <a:prstGeom prst="rightArrow">
            <a:avLst>
              <a:gd name="adj1" fmla="val 50000"/>
              <a:gd name="adj2" fmla="val 50000"/>
            </a:avLst>
          </a:prstGeom>
          <a:solidFill>
            <a:srgbClr val="ffc000"/>
          </a:solidFill>
          <a:ln w="25400">
            <a:solidFill>
              <a:srgbClr val="ffc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45720</xdr:colOff>
      <xdr:row>157</xdr:row>
      <xdr:rowOff>32400</xdr:rowOff>
    </xdr:from>
    <xdr:to>
      <xdr:col>8</xdr:col>
      <xdr:colOff>246960</xdr:colOff>
      <xdr:row>163</xdr:row>
      <xdr:rowOff>108720</xdr:rowOff>
    </xdr:to>
    <xdr:grpSp>
      <xdr:nvGrpSpPr>
        <xdr:cNvPr id="23" name="Groupe 79"/>
        <xdr:cNvGrpSpPr/>
      </xdr:nvGrpSpPr>
      <xdr:grpSpPr>
        <a:xfrm>
          <a:off x="45720" y="29836080"/>
          <a:ext cx="5357520" cy="1219320"/>
          <a:chOff x="45720" y="29836080"/>
          <a:chExt cx="5357520" cy="1219320"/>
        </a:xfrm>
      </xdr:grpSpPr>
      <xdr:grpSp>
        <xdr:nvGrpSpPr>
          <xdr:cNvPr id="24" name="Groupe 80"/>
          <xdr:cNvGrpSpPr/>
        </xdr:nvGrpSpPr>
        <xdr:grpSpPr>
          <a:xfrm>
            <a:off x="45720" y="29866320"/>
            <a:ext cx="2381760" cy="1137240"/>
            <a:chOff x="45720" y="29866320"/>
            <a:chExt cx="2381760" cy="1137240"/>
          </a:xfrm>
        </xdr:grpSpPr>
        <xdr:pic>
          <xdr:nvPicPr>
            <xdr:cNvPr id="25" name="Image 83" descr=""/>
            <xdr:cNvPicPr/>
          </xdr:nvPicPr>
          <xdr:blipFill>
            <a:blip r:embed="rId11"/>
            <a:srcRect l="0" t="19467" r="0" b="0"/>
            <a:stretch/>
          </xdr:blipFill>
          <xdr:spPr>
            <a:xfrm>
              <a:off x="45720" y="29866320"/>
              <a:ext cx="2381760" cy="1137240"/>
            </a:xfrm>
            <a:prstGeom prst="rect">
              <a:avLst/>
            </a:prstGeom>
            <a:ln w="0">
              <a:noFill/>
            </a:ln>
          </xdr:spPr>
        </xdr:pic>
        <xdr:sp>
          <xdr:nvSpPr>
            <xdr:cNvPr id="26" name="Rectangle 82"/>
            <xdr:cNvSpPr/>
          </xdr:nvSpPr>
          <xdr:spPr>
            <a:xfrm>
              <a:off x="289080" y="30000960"/>
              <a:ext cx="156600" cy="16596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27" name="Rectangle 83"/>
            <xdr:cNvSpPr/>
          </xdr:nvSpPr>
          <xdr:spPr>
            <a:xfrm>
              <a:off x="485280" y="30459960"/>
              <a:ext cx="1891800" cy="15012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pic>
        <xdr:nvPicPr>
          <xdr:cNvPr id="28" name="Image 81" descr=""/>
          <xdr:cNvPicPr/>
        </xdr:nvPicPr>
        <xdr:blipFill>
          <a:blip r:embed="rId12"/>
          <a:stretch/>
        </xdr:blipFill>
        <xdr:spPr>
          <a:xfrm>
            <a:off x="3107520" y="29836080"/>
            <a:ext cx="2295720" cy="1219320"/>
          </a:xfrm>
          <a:prstGeom prst="rect">
            <a:avLst/>
          </a:prstGeom>
          <a:ln w="0">
            <a:noFill/>
          </a:ln>
        </xdr:spPr>
      </xdr:pic>
      <xdr:sp>
        <xdr:nvSpPr>
          <xdr:cNvPr id="29" name="Flèche : droite 82"/>
          <xdr:cNvSpPr/>
        </xdr:nvSpPr>
        <xdr:spPr>
          <a:xfrm>
            <a:off x="2604960" y="30367080"/>
            <a:ext cx="321480" cy="253080"/>
          </a:xfrm>
          <a:prstGeom prst="rightArrow">
            <a:avLst>
              <a:gd name="adj1" fmla="val 50000"/>
              <a:gd name="adj2" fmla="val 50000"/>
            </a:avLst>
          </a:prstGeom>
          <a:solidFill>
            <a:srgbClr val="ffc000"/>
          </a:solidFill>
          <a:ln w="25400">
            <a:solidFill>
              <a:srgbClr val="ffc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93600</xdr:colOff>
      <xdr:row>165</xdr:row>
      <xdr:rowOff>122400</xdr:rowOff>
    </xdr:from>
    <xdr:to>
      <xdr:col>4</xdr:col>
      <xdr:colOff>308160</xdr:colOff>
      <xdr:row>173</xdr:row>
      <xdr:rowOff>99000</xdr:rowOff>
    </xdr:to>
    <xdr:pic>
      <xdr:nvPicPr>
        <xdr:cNvPr id="30" name="Image 86" descr=""/>
        <xdr:cNvPicPr/>
      </xdr:nvPicPr>
      <xdr:blipFill>
        <a:blip r:embed="rId13"/>
        <a:stretch/>
      </xdr:blipFill>
      <xdr:spPr>
        <a:xfrm>
          <a:off x="93600" y="31449960"/>
          <a:ext cx="2792520" cy="1500840"/>
        </a:xfrm>
        <a:prstGeom prst="rect">
          <a:avLst/>
        </a:prstGeom>
        <a:ln w="0">
          <a:noFill/>
        </a:ln>
      </xdr:spPr>
    </xdr:pic>
    <xdr:clientData/>
  </xdr:twoCellAnchor>
  <xdr:twoCellAnchor editAs="twoCell">
    <xdr:from>
      <xdr:col>0</xdr:col>
      <xdr:colOff>30600</xdr:colOff>
      <xdr:row>175</xdr:row>
      <xdr:rowOff>15840</xdr:rowOff>
    </xdr:from>
    <xdr:to>
      <xdr:col>3</xdr:col>
      <xdr:colOff>452520</xdr:colOff>
      <xdr:row>181</xdr:row>
      <xdr:rowOff>13320</xdr:rowOff>
    </xdr:to>
    <xdr:grpSp>
      <xdr:nvGrpSpPr>
        <xdr:cNvPr id="31" name="Groupe 87"/>
        <xdr:cNvGrpSpPr/>
      </xdr:nvGrpSpPr>
      <xdr:grpSpPr>
        <a:xfrm>
          <a:off x="30600" y="33248520"/>
          <a:ext cx="2355480" cy="1140480"/>
          <a:chOff x="30600" y="33248520"/>
          <a:chExt cx="2355480" cy="1140480"/>
        </a:xfrm>
      </xdr:grpSpPr>
      <xdr:pic>
        <xdr:nvPicPr>
          <xdr:cNvPr id="32" name="Image 88" descr=""/>
          <xdr:cNvPicPr/>
        </xdr:nvPicPr>
        <xdr:blipFill>
          <a:blip r:embed="rId14"/>
          <a:srcRect l="0" t="19467" r="0" b="0"/>
          <a:stretch/>
        </xdr:blipFill>
        <xdr:spPr>
          <a:xfrm>
            <a:off x="30600" y="33248520"/>
            <a:ext cx="2355480" cy="1140480"/>
          </a:xfrm>
          <a:prstGeom prst="rect">
            <a:avLst/>
          </a:prstGeom>
          <a:ln w="0">
            <a:noFill/>
          </a:ln>
        </xdr:spPr>
      </xdr:pic>
      <xdr:sp>
        <xdr:nvSpPr>
          <xdr:cNvPr id="33" name="Rectangle 87"/>
          <xdr:cNvSpPr/>
        </xdr:nvSpPr>
        <xdr:spPr>
          <a:xfrm>
            <a:off x="465120" y="33859800"/>
            <a:ext cx="1870920" cy="13464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34" name="Rectangle 88"/>
          <xdr:cNvSpPr/>
        </xdr:nvSpPr>
        <xdr:spPr>
          <a:xfrm>
            <a:off x="131400" y="33399360"/>
            <a:ext cx="162720" cy="11880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0</xdr:colOff>
      <xdr:row>192</xdr:row>
      <xdr:rowOff>160560</xdr:rowOff>
    </xdr:from>
    <xdr:to>
      <xdr:col>3</xdr:col>
      <xdr:colOff>421920</xdr:colOff>
      <xdr:row>198</xdr:row>
      <xdr:rowOff>150480</xdr:rowOff>
    </xdr:to>
    <xdr:grpSp>
      <xdr:nvGrpSpPr>
        <xdr:cNvPr id="35" name="Groupe 91"/>
        <xdr:cNvGrpSpPr/>
      </xdr:nvGrpSpPr>
      <xdr:grpSpPr>
        <a:xfrm>
          <a:off x="0" y="36631800"/>
          <a:ext cx="2355480" cy="1132920"/>
          <a:chOff x="0" y="36631800"/>
          <a:chExt cx="2355480" cy="1132920"/>
        </a:xfrm>
      </xdr:grpSpPr>
      <xdr:pic>
        <xdr:nvPicPr>
          <xdr:cNvPr id="36" name="Image 92" descr=""/>
          <xdr:cNvPicPr/>
        </xdr:nvPicPr>
        <xdr:blipFill>
          <a:blip r:embed="rId15"/>
          <a:srcRect l="0" t="20017" r="0" b="0"/>
          <a:stretch/>
        </xdr:blipFill>
        <xdr:spPr>
          <a:xfrm>
            <a:off x="0" y="36631800"/>
            <a:ext cx="2355480" cy="1132920"/>
          </a:xfrm>
          <a:prstGeom prst="rect">
            <a:avLst/>
          </a:prstGeom>
          <a:ln w="0">
            <a:noFill/>
          </a:ln>
        </xdr:spPr>
      </xdr:pic>
      <xdr:sp>
        <xdr:nvSpPr>
          <xdr:cNvPr id="37" name="Rectangle 91"/>
          <xdr:cNvSpPr/>
        </xdr:nvSpPr>
        <xdr:spPr>
          <a:xfrm>
            <a:off x="1847880" y="36647640"/>
            <a:ext cx="356760" cy="33300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101160</xdr:colOff>
      <xdr:row>207</xdr:row>
      <xdr:rowOff>175320</xdr:rowOff>
    </xdr:from>
    <xdr:to>
      <xdr:col>8</xdr:col>
      <xdr:colOff>497160</xdr:colOff>
      <xdr:row>212</xdr:row>
      <xdr:rowOff>167760</xdr:rowOff>
    </xdr:to>
    <xdr:grpSp>
      <xdr:nvGrpSpPr>
        <xdr:cNvPr id="38" name="Groupe 94"/>
        <xdr:cNvGrpSpPr/>
      </xdr:nvGrpSpPr>
      <xdr:grpSpPr>
        <a:xfrm>
          <a:off x="101160" y="39503880"/>
          <a:ext cx="5552280" cy="945000"/>
          <a:chOff x="101160" y="39503880"/>
          <a:chExt cx="5552280" cy="945000"/>
        </a:xfrm>
      </xdr:grpSpPr>
      <xdr:pic>
        <xdr:nvPicPr>
          <xdr:cNvPr id="39" name="Image 95" descr=""/>
          <xdr:cNvPicPr/>
        </xdr:nvPicPr>
        <xdr:blipFill>
          <a:blip r:embed="rId16"/>
          <a:srcRect l="0" t="0" r="0" b="14558"/>
          <a:stretch/>
        </xdr:blipFill>
        <xdr:spPr>
          <a:xfrm>
            <a:off x="101160" y="39503880"/>
            <a:ext cx="5552280" cy="929160"/>
          </a:xfrm>
          <a:prstGeom prst="rect">
            <a:avLst/>
          </a:prstGeom>
          <a:ln w="0">
            <a:noFill/>
          </a:ln>
        </xdr:spPr>
      </xdr:pic>
      <xdr:sp>
        <xdr:nvSpPr>
          <xdr:cNvPr id="40" name="Rectangle 94"/>
          <xdr:cNvSpPr/>
        </xdr:nvSpPr>
        <xdr:spPr>
          <a:xfrm>
            <a:off x="4324320" y="40028400"/>
            <a:ext cx="343800" cy="42048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38160</xdr:colOff>
      <xdr:row>74</xdr:row>
      <xdr:rowOff>109440</xdr:rowOff>
    </xdr:from>
    <xdr:to>
      <xdr:col>10</xdr:col>
      <xdr:colOff>86400</xdr:colOff>
      <xdr:row>81</xdr:row>
      <xdr:rowOff>31680</xdr:rowOff>
    </xdr:to>
    <xdr:grpSp>
      <xdr:nvGrpSpPr>
        <xdr:cNvPr id="41" name="Groupe 124"/>
        <xdr:cNvGrpSpPr/>
      </xdr:nvGrpSpPr>
      <xdr:grpSpPr>
        <a:xfrm>
          <a:off x="38160" y="14101560"/>
          <a:ext cx="6493320" cy="1255680"/>
          <a:chOff x="38160" y="14101560"/>
          <a:chExt cx="6493320" cy="1255680"/>
        </a:xfrm>
      </xdr:grpSpPr>
      <xdr:pic>
        <xdr:nvPicPr>
          <xdr:cNvPr id="42" name="Image 1" descr=""/>
          <xdr:cNvPicPr/>
        </xdr:nvPicPr>
        <xdr:blipFill>
          <a:blip r:embed="rId17"/>
          <a:stretch/>
        </xdr:blipFill>
        <xdr:spPr>
          <a:xfrm>
            <a:off x="38160" y="14101560"/>
            <a:ext cx="6493320" cy="1255680"/>
          </a:xfrm>
          <a:prstGeom prst="rect">
            <a:avLst/>
          </a:prstGeom>
          <a:ln w="0">
            <a:noFill/>
          </a:ln>
        </xdr:spPr>
      </xdr:pic>
      <xdr:sp>
        <xdr:nvSpPr>
          <xdr:cNvPr id="43" name="Rectangle 96"/>
          <xdr:cNvSpPr/>
        </xdr:nvSpPr>
        <xdr:spPr>
          <a:xfrm>
            <a:off x="77400" y="14633640"/>
            <a:ext cx="6364800" cy="174600"/>
          </a:xfrm>
          <a:prstGeom prst="rect">
            <a:avLst/>
          </a:prstGeom>
          <a:noFill/>
          <a:ln w="1905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91440</xdr:colOff>
      <xdr:row>129</xdr:row>
      <xdr:rowOff>110880</xdr:rowOff>
    </xdr:from>
    <xdr:to>
      <xdr:col>9</xdr:col>
      <xdr:colOff>76320</xdr:colOff>
      <xdr:row>139</xdr:row>
      <xdr:rowOff>114120</xdr:rowOff>
    </xdr:to>
    <xdr:grpSp>
      <xdr:nvGrpSpPr>
        <xdr:cNvPr id="44" name="Groupe 103"/>
        <xdr:cNvGrpSpPr/>
      </xdr:nvGrpSpPr>
      <xdr:grpSpPr>
        <a:xfrm>
          <a:off x="91440" y="24580440"/>
          <a:ext cx="5785560" cy="1908360"/>
          <a:chOff x="91440" y="24580440"/>
          <a:chExt cx="5785560" cy="1908360"/>
        </a:xfrm>
      </xdr:grpSpPr>
      <xdr:grpSp>
        <xdr:nvGrpSpPr>
          <xdr:cNvPr id="45" name="Groupe 101"/>
          <xdr:cNvGrpSpPr/>
        </xdr:nvGrpSpPr>
        <xdr:grpSpPr>
          <a:xfrm>
            <a:off x="91440" y="24580440"/>
            <a:ext cx="5785560" cy="1908360"/>
            <a:chOff x="91440" y="24580440"/>
            <a:chExt cx="5785560" cy="1908360"/>
          </a:xfrm>
        </xdr:grpSpPr>
        <xdr:pic>
          <xdr:nvPicPr>
            <xdr:cNvPr id="46" name="Image 98" descr=""/>
            <xdr:cNvPicPr/>
          </xdr:nvPicPr>
          <xdr:blipFill>
            <a:blip r:embed="rId18"/>
            <a:srcRect l="0" t="0" r="0" b="12525"/>
            <a:stretch/>
          </xdr:blipFill>
          <xdr:spPr>
            <a:xfrm>
              <a:off x="91440" y="24580440"/>
              <a:ext cx="5785560" cy="1908000"/>
            </a:xfrm>
            <a:prstGeom prst="rect">
              <a:avLst/>
            </a:prstGeom>
            <a:ln w="0">
              <a:noFill/>
            </a:ln>
          </xdr:spPr>
        </xdr:pic>
        <xdr:sp>
          <xdr:nvSpPr>
            <xdr:cNvPr id="47" name="Rectangle 99"/>
            <xdr:cNvSpPr/>
          </xdr:nvSpPr>
          <xdr:spPr>
            <a:xfrm>
              <a:off x="861840" y="26060400"/>
              <a:ext cx="1367280" cy="42840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48" name="Rectangle 100"/>
            <xdr:cNvSpPr/>
          </xdr:nvSpPr>
          <xdr:spPr>
            <a:xfrm>
              <a:off x="4611240" y="25385760"/>
              <a:ext cx="542160" cy="19800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sp>
        <xdr:nvSpPr>
          <xdr:cNvPr id="49" name="Rectangle 102"/>
          <xdr:cNvSpPr/>
        </xdr:nvSpPr>
        <xdr:spPr>
          <a:xfrm>
            <a:off x="1537920" y="25278840"/>
            <a:ext cx="227520" cy="19368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53280</xdr:colOff>
      <xdr:row>142</xdr:row>
      <xdr:rowOff>92160</xdr:rowOff>
    </xdr:from>
    <xdr:to>
      <xdr:col>10</xdr:col>
      <xdr:colOff>15480</xdr:colOff>
      <xdr:row>151</xdr:row>
      <xdr:rowOff>54720</xdr:rowOff>
    </xdr:to>
    <xdr:grpSp>
      <xdr:nvGrpSpPr>
        <xdr:cNvPr id="50" name="Groupe 108"/>
        <xdr:cNvGrpSpPr/>
      </xdr:nvGrpSpPr>
      <xdr:grpSpPr>
        <a:xfrm>
          <a:off x="53280" y="27038520"/>
          <a:ext cx="6407280" cy="1676880"/>
          <a:chOff x="53280" y="27038520"/>
          <a:chExt cx="6407280" cy="1676880"/>
        </a:xfrm>
      </xdr:grpSpPr>
      <xdr:pic>
        <xdr:nvPicPr>
          <xdr:cNvPr id="51" name="Image 104" descr=""/>
          <xdr:cNvPicPr/>
        </xdr:nvPicPr>
        <xdr:blipFill>
          <a:blip r:embed="rId19"/>
          <a:stretch/>
        </xdr:blipFill>
        <xdr:spPr>
          <a:xfrm>
            <a:off x="53280" y="27038520"/>
            <a:ext cx="6407280" cy="1676880"/>
          </a:xfrm>
          <a:prstGeom prst="rect">
            <a:avLst/>
          </a:prstGeom>
          <a:ln w="0">
            <a:noFill/>
          </a:ln>
        </xdr:spPr>
      </xdr:pic>
      <xdr:sp>
        <xdr:nvSpPr>
          <xdr:cNvPr id="52" name="Rectangle 105"/>
          <xdr:cNvSpPr/>
        </xdr:nvSpPr>
        <xdr:spPr>
          <a:xfrm>
            <a:off x="1397520" y="27848160"/>
            <a:ext cx="212040" cy="14256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53" name="Rectangle 106"/>
          <xdr:cNvSpPr/>
        </xdr:nvSpPr>
        <xdr:spPr>
          <a:xfrm>
            <a:off x="957240" y="28062720"/>
            <a:ext cx="1454040" cy="61128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54" name="Rectangle 107"/>
          <xdr:cNvSpPr/>
        </xdr:nvSpPr>
        <xdr:spPr>
          <a:xfrm>
            <a:off x="5155200" y="27943560"/>
            <a:ext cx="557640" cy="19836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99000</xdr:colOff>
      <xdr:row>103</xdr:row>
      <xdr:rowOff>180000</xdr:rowOff>
    </xdr:from>
    <xdr:to>
      <xdr:col>14</xdr:col>
      <xdr:colOff>1218960</xdr:colOff>
      <xdr:row>110</xdr:row>
      <xdr:rowOff>109800</xdr:rowOff>
    </xdr:to>
    <xdr:grpSp>
      <xdr:nvGrpSpPr>
        <xdr:cNvPr id="55" name="Groupe 115"/>
        <xdr:cNvGrpSpPr/>
      </xdr:nvGrpSpPr>
      <xdr:grpSpPr>
        <a:xfrm>
          <a:off x="99000" y="19696680"/>
          <a:ext cx="10143360" cy="1263240"/>
          <a:chOff x="99000" y="19696680"/>
          <a:chExt cx="10143360" cy="1263240"/>
        </a:xfrm>
      </xdr:grpSpPr>
      <xdr:pic>
        <xdr:nvPicPr>
          <xdr:cNvPr id="56" name="Image 109" descr=""/>
          <xdr:cNvPicPr/>
        </xdr:nvPicPr>
        <xdr:blipFill>
          <a:blip r:embed="rId20"/>
          <a:stretch/>
        </xdr:blipFill>
        <xdr:spPr>
          <a:xfrm>
            <a:off x="99000" y="19696680"/>
            <a:ext cx="10143360" cy="1263240"/>
          </a:xfrm>
          <a:prstGeom prst="rect">
            <a:avLst/>
          </a:prstGeom>
          <a:ln w="0">
            <a:noFill/>
          </a:ln>
        </xdr:spPr>
      </xdr:pic>
      <xdr:sp>
        <xdr:nvSpPr>
          <xdr:cNvPr id="57" name="Rectangle 110"/>
          <xdr:cNvSpPr/>
        </xdr:nvSpPr>
        <xdr:spPr>
          <a:xfrm>
            <a:off x="138240" y="20256480"/>
            <a:ext cx="10072800" cy="64404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58" name="Rectangle 111"/>
          <xdr:cNvSpPr/>
        </xdr:nvSpPr>
        <xdr:spPr>
          <a:xfrm>
            <a:off x="1109520" y="19890720"/>
            <a:ext cx="892440" cy="15876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59" name="Rectangle 112"/>
          <xdr:cNvSpPr/>
        </xdr:nvSpPr>
        <xdr:spPr>
          <a:xfrm>
            <a:off x="3670920" y="19898640"/>
            <a:ext cx="845640" cy="15084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60" name="Rectangle 113"/>
          <xdr:cNvSpPr/>
        </xdr:nvSpPr>
        <xdr:spPr>
          <a:xfrm>
            <a:off x="6099120" y="19890720"/>
            <a:ext cx="1049400" cy="15876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61" name="Rectangle 114"/>
          <xdr:cNvSpPr/>
        </xdr:nvSpPr>
        <xdr:spPr>
          <a:xfrm>
            <a:off x="9005040" y="19890720"/>
            <a:ext cx="328680" cy="15876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twoCell">
    <xdr:from>
      <xdr:col>0</xdr:col>
      <xdr:colOff>91440</xdr:colOff>
      <xdr:row>110</xdr:row>
      <xdr:rowOff>162000</xdr:rowOff>
    </xdr:from>
    <xdr:to>
      <xdr:col>13</xdr:col>
      <xdr:colOff>571320</xdr:colOff>
      <xdr:row>121</xdr:row>
      <xdr:rowOff>180360</xdr:rowOff>
    </xdr:to>
    <xdr:grpSp>
      <xdr:nvGrpSpPr>
        <xdr:cNvPr id="62" name="Groupe 121"/>
        <xdr:cNvGrpSpPr/>
      </xdr:nvGrpSpPr>
      <xdr:grpSpPr>
        <a:xfrm>
          <a:off x="91440" y="21012120"/>
          <a:ext cx="8858880" cy="2113920"/>
          <a:chOff x="91440" y="21012120"/>
          <a:chExt cx="8858880" cy="2113920"/>
        </a:xfrm>
      </xdr:grpSpPr>
      <xdr:pic>
        <xdr:nvPicPr>
          <xdr:cNvPr id="63" name="Image 117" descr=""/>
          <xdr:cNvPicPr/>
        </xdr:nvPicPr>
        <xdr:blipFill>
          <a:blip r:embed="rId21"/>
          <a:stretch/>
        </xdr:blipFill>
        <xdr:spPr>
          <a:xfrm>
            <a:off x="91440" y="21012120"/>
            <a:ext cx="8858880" cy="2113920"/>
          </a:xfrm>
          <a:prstGeom prst="rect">
            <a:avLst/>
          </a:prstGeom>
          <a:ln w="0">
            <a:noFill/>
          </a:ln>
        </xdr:spPr>
      </xdr:pic>
      <xdr:sp>
        <xdr:nvSpPr>
          <xdr:cNvPr id="64" name="Rectangle 118"/>
          <xdr:cNvSpPr/>
        </xdr:nvSpPr>
        <xdr:spPr>
          <a:xfrm>
            <a:off x="154080" y="21343320"/>
            <a:ext cx="4095720" cy="46764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65" name="Rectangle 119"/>
          <xdr:cNvSpPr/>
        </xdr:nvSpPr>
        <xdr:spPr>
          <a:xfrm>
            <a:off x="279720" y="22613040"/>
            <a:ext cx="3734640" cy="46764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66" name="Rectangle 120"/>
          <xdr:cNvSpPr/>
        </xdr:nvSpPr>
        <xdr:spPr>
          <a:xfrm>
            <a:off x="5521320" y="21335400"/>
            <a:ext cx="2824560" cy="174528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68760</xdr:colOff>
      <xdr:row>121</xdr:row>
      <xdr:rowOff>175320</xdr:rowOff>
    </xdr:from>
    <xdr:to>
      <xdr:col>4</xdr:col>
      <xdr:colOff>193320</xdr:colOff>
      <xdr:row>126</xdr:row>
      <xdr:rowOff>47160</xdr:rowOff>
    </xdr:to>
    <xdr:pic>
      <xdr:nvPicPr>
        <xdr:cNvPr id="67" name="Image 122" descr=""/>
        <xdr:cNvPicPr/>
      </xdr:nvPicPr>
      <xdr:blipFill>
        <a:blip r:embed="rId22"/>
        <a:stretch/>
      </xdr:blipFill>
      <xdr:spPr>
        <a:xfrm>
          <a:off x="68760" y="23121000"/>
          <a:ext cx="2702520" cy="824400"/>
        </a:xfrm>
        <a:prstGeom prst="rect">
          <a:avLst/>
        </a:prstGeom>
        <a:ln w="0">
          <a:noFill/>
        </a:ln>
      </xdr:spPr>
    </xdr:pic>
    <xdr:clientData/>
  </xdr:twoCellAnchor>
  <xdr:twoCellAnchor editAs="oneCell">
    <xdr:from>
      <xdr:col>4</xdr:col>
      <xdr:colOff>472320</xdr:colOff>
      <xdr:row>122</xdr:row>
      <xdr:rowOff>57960</xdr:rowOff>
    </xdr:from>
    <xdr:to>
      <xdr:col>8</xdr:col>
      <xdr:colOff>534240</xdr:colOff>
      <xdr:row>126</xdr:row>
      <xdr:rowOff>3240</xdr:rowOff>
    </xdr:to>
    <xdr:pic>
      <xdr:nvPicPr>
        <xdr:cNvPr id="68" name="Image 123" descr=""/>
        <xdr:cNvPicPr/>
      </xdr:nvPicPr>
      <xdr:blipFill>
        <a:blip r:embed="rId23"/>
        <a:stretch/>
      </xdr:blipFill>
      <xdr:spPr>
        <a:xfrm>
          <a:off x="3050280" y="23194080"/>
          <a:ext cx="2640240" cy="707400"/>
        </a:xfrm>
        <a:prstGeom prst="rect">
          <a:avLst/>
        </a:prstGeom>
        <a:ln w="0">
          <a:noFill/>
        </a:ln>
      </xdr:spPr>
    </xdr:pic>
    <xdr:clientData/>
  </xdr:twoCellAnchor>
  <xdr:twoCellAnchor editAs="twoCell">
    <xdr:from>
      <xdr:col>3</xdr:col>
      <xdr:colOff>563760</xdr:colOff>
      <xdr:row>1</xdr:row>
      <xdr:rowOff>15120</xdr:rowOff>
    </xdr:from>
    <xdr:to>
      <xdr:col>10</xdr:col>
      <xdr:colOff>220680</xdr:colOff>
      <xdr:row>4</xdr:row>
      <xdr:rowOff>37800</xdr:rowOff>
    </xdr:to>
    <xdr:sp>
      <xdr:nvSpPr>
        <xdr:cNvPr id="69" name="ZoneTexte 2"/>
        <xdr:cNvSpPr/>
      </xdr:nvSpPr>
      <xdr:spPr>
        <a:xfrm>
          <a:off x="2497320" y="100800"/>
          <a:ext cx="4168440" cy="59436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1" lang="fr-FR" sz="2000" spc="-1" strike="noStrike">
              <a:solidFill>
                <a:schemeClr val="dk1"/>
              </a:solidFill>
              <a:latin typeface="Candara"/>
            </a:rPr>
            <a:t>Registre de gestion des risques</a:t>
          </a:r>
          <a:endParaRPr b="0" lang="fr-FR" sz="2000" spc="-1" strike="noStrike">
            <a:latin typeface="Times New Roman"/>
          </a:endParaRPr>
        </a:p>
      </xdr:txBody>
    </xdr:sp>
    <xdr:clientData/>
  </xdr:twoCellAnchor>
  <xdr:twoCellAnchor editAs="twoCell">
    <xdr:from>
      <xdr:col>0</xdr:col>
      <xdr:colOff>144720</xdr:colOff>
      <xdr:row>35</xdr:row>
      <xdr:rowOff>140760</xdr:rowOff>
    </xdr:from>
    <xdr:to>
      <xdr:col>19</xdr:col>
      <xdr:colOff>232560</xdr:colOff>
      <xdr:row>43</xdr:row>
      <xdr:rowOff>106560</xdr:rowOff>
    </xdr:to>
    <xdr:grpSp>
      <xdr:nvGrpSpPr>
        <xdr:cNvPr id="70" name="Groupe 15"/>
        <xdr:cNvGrpSpPr/>
      </xdr:nvGrpSpPr>
      <xdr:grpSpPr>
        <a:xfrm>
          <a:off x="144720" y="6703560"/>
          <a:ext cx="12968280" cy="1489680"/>
          <a:chOff x="144720" y="6703560"/>
          <a:chExt cx="12968280" cy="1489680"/>
        </a:xfrm>
      </xdr:grpSpPr>
      <xdr:grpSp>
        <xdr:nvGrpSpPr>
          <xdr:cNvPr id="71" name="Groupe 11"/>
          <xdr:cNvGrpSpPr/>
        </xdr:nvGrpSpPr>
        <xdr:grpSpPr>
          <a:xfrm>
            <a:off x="144720" y="6703560"/>
            <a:ext cx="6772320" cy="1489680"/>
            <a:chOff x="144720" y="6703560"/>
            <a:chExt cx="6772320" cy="1489680"/>
          </a:xfrm>
        </xdr:grpSpPr>
        <xdr:grpSp>
          <xdr:nvGrpSpPr>
            <xdr:cNvPr id="72" name="Groupe 9"/>
            <xdr:cNvGrpSpPr/>
          </xdr:nvGrpSpPr>
          <xdr:grpSpPr>
            <a:xfrm>
              <a:off x="144720" y="6703560"/>
              <a:ext cx="6120360" cy="1489680"/>
              <a:chOff x="144720" y="6703560"/>
              <a:chExt cx="6120360" cy="1489680"/>
            </a:xfrm>
          </xdr:grpSpPr>
          <xdr:pic>
            <xdr:nvPicPr>
              <xdr:cNvPr id="73" name="Image 3" descr=""/>
              <xdr:cNvPicPr/>
            </xdr:nvPicPr>
            <xdr:blipFill>
              <a:blip r:embed="rId24"/>
              <a:srcRect l="0" t="0" r="0" b="25729"/>
              <a:stretch/>
            </xdr:blipFill>
            <xdr:spPr>
              <a:xfrm>
                <a:off x="144720" y="6703560"/>
                <a:ext cx="6120360" cy="1489680"/>
              </a:xfrm>
              <a:prstGeom prst="rect">
                <a:avLst/>
              </a:prstGeom>
              <a:ln w="0">
                <a:noFill/>
              </a:ln>
            </xdr:spPr>
          </xdr:pic>
          <xdr:sp>
            <xdr:nvSpPr>
              <xdr:cNvPr id="74" name="Rectangle 7"/>
              <xdr:cNvSpPr/>
            </xdr:nvSpPr>
            <xdr:spPr>
              <a:xfrm>
                <a:off x="1393920" y="7407000"/>
                <a:ext cx="1186200" cy="22212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sp>
            <xdr:nvSpPr>
              <xdr:cNvPr id="75" name="Rectangle 8"/>
              <xdr:cNvSpPr/>
            </xdr:nvSpPr>
            <xdr:spPr>
              <a:xfrm>
                <a:off x="4906080" y="6969960"/>
                <a:ext cx="1311840" cy="118332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sp>
          <xdr:nvSpPr>
            <xdr:cNvPr id="76" name="Flèche : droite 10"/>
            <xdr:cNvSpPr/>
          </xdr:nvSpPr>
          <xdr:spPr>
            <a:xfrm>
              <a:off x="6524640" y="7287840"/>
              <a:ext cx="392400" cy="261720"/>
            </a:xfrm>
            <a:prstGeom prst="rightArrow">
              <a:avLst>
                <a:gd name="adj1" fmla="val 50000"/>
                <a:gd name="adj2" fmla="val 50000"/>
              </a:avLst>
            </a:prstGeom>
            <a:solidFill>
              <a:srgbClr val="ffc000"/>
            </a:solidFill>
            <a:ln w="25400">
              <a:noFill/>
            </a:ln>
          </xdr:spPr>
          <xdr:style>
            <a:lnRef idx="2">
              <a:schemeClr val="accent1">
                <a:shade val="50000"/>
              </a:schemeClr>
            </a:lnRef>
            <a:fillRef idx="1">
              <a:schemeClr val="accent1"/>
            </a:fillRef>
            <a:effectRef idx="0">
              <a:schemeClr val="accent1"/>
            </a:effectRef>
            <a:fontRef idx="minor"/>
          </xdr:style>
        </xdr:sp>
      </xdr:grpSp>
      <xdr:grpSp>
        <xdr:nvGrpSpPr>
          <xdr:cNvPr id="77" name="Groupe 14"/>
          <xdr:cNvGrpSpPr/>
        </xdr:nvGrpSpPr>
        <xdr:grpSpPr>
          <a:xfrm>
            <a:off x="7149960" y="7176600"/>
            <a:ext cx="5963040" cy="466200"/>
            <a:chOff x="7149960" y="7176600"/>
            <a:chExt cx="5963040" cy="466200"/>
          </a:xfrm>
        </xdr:grpSpPr>
        <xdr:pic>
          <xdr:nvPicPr>
            <xdr:cNvPr id="78" name="Image 12" descr=""/>
            <xdr:cNvPicPr/>
          </xdr:nvPicPr>
          <xdr:blipFill>
            <a:blip r:embed="rId25"/>
            <a:stretch/>
          </xdr:blipFill>
          <xdr:spPr>
            <a:xfrm>
              <a:off x="7149960" y="7176600"/>
              <a:ext cx="5963040" cy="466200"/>
            </a:xfrm>
            <a:prstGeom prst="rect">
              <a:avLst/>
            </a:prstGeom>
            <a:ln w="0">
              <a:noFill/>
            </a:ln>
          </xdr:spPr>
        </xdr:pic>
        <xdr:sp>
          <xdr:nvSpPr>
            <xdr:cNvPr id="79" name="Rectangle 13"/>
            <xdr:cNvSpPr/>
          </xdr:nvSpPr>
          <xdr:spPr>
            <a:xfrm>
              <a:off x="11144520" y="7446600"/>
              <a:ext cx="1877400" cy="126720"/>
            </a:xfrm>
            <a:prstGeom prst="rect">
              <a:avLst/>
            </a:prstGeom>
            <a:noFill/>
            <a:ln w="25400">
              <a:solidFill>
                <a:srgbClr val="ff0000"/>
              </a:solidFill>
              <a:round/>
            </a:ln>
          </xdr:spPr>
          <xdr:style>
            <a:lnRef idx="2">
              <a:schemeClr val="accent1">
                <a:shade val="50000"/>
              </a:schemeClr>
            </a:lnRef>
            <a:fillRef idx="1">
              <a:schemeClr val="accent1"/>
            </a:fillRef>
            <a:effectRef idx="0">
              <a:schemeClr val="accent1"/>
            </a:effectRef>
            <a:fontRef idx="minor"/>
          </xdr:style>
        </xdr:sp>
      </xdr:grpSp>
    </xdr:grp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6</xdr:col>
      <xdr:colOff>437040</xdr:colOff>
      <xdr:row>0</xdr:row>
      <xdr:rowOff>159840</xdr:rowOff>
    </xdr:from>
    <xdr:to>
      <xdr:col>15</xdr:col>
      <xdr:colOff>205920</xdr:colOff>
      <xdr:row>5</xdr:row>
      <xdr:rowOff>114480</xdr:rowOff>
    </xdr:to>
    <xdr:grpSp>
      <xdr:nvGrpSpPr>
        <xdr:cNvPr id="80" name="Group 8"/>
        <xdr:cNvGrpSpPr/>
      </xdr:nvGrpSpPr>
      <xdr:grpSpPr>
        <a:xfrm>
          <a:off x="6729840" y="159840"/>
          <a:ext cx="7883640" cy="907200"/>
          <a:chOff x="6729840" y="159840"/>
          <a:chExt cx="7883640" cy="907200"/>
        </a:xfrm>
      </xdr:grpSpPr>
      <xdr:sp>
        <xdr:nvSpPr>
          <xdr:cNvPr id="81" name="Rectangle 7"/>
          <xdr:cNvSpPr/>
        </xdr:nvSpPr>
        <xdr:spPr>
          <a:xfrm>
            <a:off x="7251480" y="221400"/>
            <a:ext cx="7362000" cy="784080"/>
          </a:xfrm>
          <a:prstGeom prst="rect">
            <a:avLst/>
          </a:prstGeom>
          <a:solidFill>
            <a:srgbClr val="4f81bd">
              <a:alpha val="13000"/>
            </a:srgbClr>
          </a:solidFill>
          <a:ln w="3175">
            <a:solidFill>
              <a:srgbClr val="62bd8a"/>
            </a:solidFill>
            <a:round/>
          </a:ln>
        </xdr:spPr>
        <xdr:style>
          <a:lnRef idx="2">
            <a:schemeClr val="accent1">
              <a:shade val="50000"/>
            </a:schemeClr>
          </a:lnRef>
          <a:fillRef idx="1">
            <a:schemeClr val="accent1"/>
          </a:fillRef>
          <a:effectRef idx="0">
            <a:schemeClr val="accent1"/>
          </a:effectRef>
          <a:fontRef idx="minor"/>
        </xdr:style>
      </xdr:sp>
      <xdr:sp>
        <xdr:nvSpPr>
          <xdr:cNvPr id="82" name="Rectangle: Rounded Corners 1"/>
          <xdr:cNvSpPr/>
        </xdr:nvSpPr>
        <xdr:spPr>
          <a:xfrm>
            <a:off x="7939080" y="406080"/>
            <a:ext cx="207432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Registre des risques</a:t>
            </a:r>
            <a:endParaRPr b="0" lang="fr-FR" sz="1400" spc="-1" strike="noStrike">
              <a:latin typeface="Times New Roman"/>
            </a:endParaRPr>
          </a:p>
        </xdr:txBody>
      </xdr:sp>
      <xdr:sp>
        <xdr:nvSpPr>
          <xdr:cNvPr id="83" name="Rectangle: Rounded Corners 4">
            <a:hlinkClick r:id="rId1"/>
          </xdr:cNvPr>
          <xdr:cNvSpPr/>
        </xdr:nvSpPr>
        <xdr:spPr>
          <a:xfrm>
            <a:off x="10173960" y="406080"/>
            <a:ext cx="207432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Tableau de Bord</a:t>
            </a:r>
            <a:endParaRPr b="0" lang="fr-FR" sz="1400" spc="-1" strike="noStrike">
              <a:latin typeface="Times New Roman"/>
            </a:endParaRPr>
          </a:p>
        </xdr:txBody>
      </xdr:sp>
      <xdr:sp>
        <xdr:nvSpPr>
          <xdr:cNvPr id="84" name="Rectangle: Rounded Corners 5">
            <a:hlinkClick r:id="rId2"/>
          </xdr:cNvPr>
          <xdr:cNvSpPr/>
        </xdr:nvSpPr>
        <xdr:spPr>
          <a:xfrm>
            <a:off x="12408480" y="406080"/>
            <a:ext cx="207432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Paramètres</a:t>
            </a:r>
            <a:endParaRPr b="0" lang="fr-FR" sz="1400" spc="-1" strike="noStrike">
              <a:latin typeface="Times New Roman"/>
            </a:endParaRPr>
          </a:p>
        </xdr:txBody>
      </xdr:sp>
      <xdr:sp>
        <xdr:nvSpPr>
          <xdr:cNvPr id="85" name="Oval 6">
            <a:hlinkClick r:id="rId3"/>
          </xdr:cNvPr>
          <xdr:cNvSpPr/>
        </xdr:nvSpPr>
        <xdr:spPr>
          <a:xfrm>
            <a:off x="6729840" y="159840"/>
            <a:ext cx="1078560" cy="907200"/>
          </a:xfrm>
          <a:prstGeom prst="ellipse">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2000" spc="-1" strike="noStrike" cap="small">
                <a:solidFill>
                  <a:schemeClr val="lt1"/>
                </a:solidFill>
                <a:latin typeface="Calibri"/>
              </a:rPr>
              <a:t>Menu</a:t>
            </a:r>
            <a:endParaRPr b="0" lang="fr-FR" sz="2000" spc="-1" strike="noStrike">
              <a:latin typeface="Times New Roman"/>
            </a:endParaRPr>
          </a:p>
        </xdr:txBody>
      </xdr:sp>
    </xdr:grpSp>
    <xdr:clientData/>
  </xdr:twoCellAnchor>
  <xdr:twoCellAnchor editAs="twoCell">
    <xdr:from>
      <xdr:col>3</xdr:col>
      <xdr:colOff>866520</xdr:colOff>
      <xdr:row>9</xdr:row>
      <xdr:rowOff>351720</xdr:rowOff>
    </xdr:from>
    <xdr:to>
      <xdr:col>3</xdr:col>
      <xdr:colOff>1077840</xdr:colOff>
      <xdr:row>9</xdr:row>
      <xdr:rowOff>414720</xdr:rowOff>
    </xdr:to>
    <xdr:sp>
      <xdr:nvSpPr>
        <xdr:cNvPr id="86" name="Rectangle 10"/>
        <xdr:cNvSpPr/>
      </xdr:nvSpPr>
      <xdr:spPr>
        <a:xfrm>
          <a:off x="2608200" y="2350800"/>
          <a:ext cx="211320" cy="63000"/>
        </a:xfrm>
        <a:prstGeom prst="rect">
          <a:avLst/>
        </a:prstGeom>
        <a:solidFill>
          <a:srgbClr val="f37b9d"/>
        </a:solidFill>
        <a:ln w="3175">
          <a:solidFill>
            <a:srgbClr val="ffc000"/>
          </a:solidFill>
          <a:round/>
        </a:ln>
      </xdr:spPr>
      <xdr:style>
        <a:lnRef idx="2">
          <a:schemeClr val="dk1">
            <a:shade val="50000"/>
          </a:schemeClr>
        </a:lnRef>
        <a:fillRef idx="1">
          <a:schemeClr val="dk1"/>
        </a:fillRef>
        <a:effectRef idx="0">
          <a:schemeClr val="dk1"/>
        </a:effectRef>
        <a:fontRef idx="minor"/>
      </xdr:style>
    </xdr:sp>
    <xdr:clientData/>
  </xdr:twoCellAnchor>
  <xdr:twoCellAnchor editAs="twoCell">
    <xdr:from>
      <xdr:col>3</xdr:col>
      <xdr:colOff>1336680</xdr:colOff>
      <xdr:row>9</xdr:row>
      <xdr:rowOff>232200</xdr:rowOff>
    </xdr:from>
    <xdr:to>
      <xdr:col>3</xdr:col>
      <xdr:colOff>1638720</xdr:colOff>
      <xdr:row>9</xdr:row>
      <xdr:rowOff>534240</xdr:rowOff>
    </xdr:to>
    <xdr:sp>
      <xdr:nvSpPr>
        <xdr:cNvPr id="87" name="Plus 11"/>
        <xdr:cNvSpPr/>
      </xdr:nvSpPr>
      <xdr:spPr>
        <a:xfrm>
          <a:off x="3078360" y="2231280"/>
          <a:ext cx="302040" cy="302040"/>
        </a:xfrm>
        <a:prstGeom prst="mathPlus">
          <a:avLst>
            <a:gd name="adj1" fmla="val 23520"/>
          </a:avLst>
        </a:prstGeom>
        <a:solidFill>
          <a:srgbClr val="f37b9d"/>
        </a:solidFill>
        <a:ln w="3175">
          <a:solidFill>
            <a:srgbClr val="ffc000"/>
          </a:solidFill>
          <a:round/>
        </a:ln>
      </xdr:spPr>
      <xdr:style>
        <a:lnRef idx="2">
          <a:schemeClr val="dk1">
            <a:shade val="50000"/>
          </a:schemeClr>
        </a:lnRef>
        <a:fillRef idx="1">
          <a:schemeClr val="dk1"/>
        </a:fillRef>
        <a:effectRef idx="0">
          <a:schemeClr val="dk1"/>
        </a:effectRef>
        <a:fontRef idx="minor"/>
      </xdr:style>
    </xdr:sp>
    <xdr:clientData/>
  </xdr:twoCellAnchor>
  <xdr:twoCellAnchor editAs="twoCell">
    <xdr:from>
      <xdr:col>3</xdr:col>
      <xdr:colOff>1004040</xdr:colOff>
      <xdr:row>1</xdr:row>
      <xdr:rowOff>53640</xdr:rowOff>
    </xdr:from>
    <xdr:to>
      <xdr:col>6</xdr:col>
      <xdr:colOff>17640</xdr:colOff>
      <xdr:row>4</xdr:row>
      <xdr:rowOff>8280</xdr:rowOff>
    </xdr:to>
    <xdr:sp>
      <xdr:nvSpPr>
        <xdr:cNvPr id="88" name="ZoneTexte 9"/>
        <xdr:cNvSpPr/>
      </xdr:nvSpPr>
      <xdr:spPr>
        <a:xfrm>
          <a:off x="2745720" y="244080"/>
          <a:ext cx="3564720" cy="526320"/>
        </a:xfrm>
        <a:prstGeom prst="rect">
          <a:avLst/>
        </a:prstGeom>
        <a:solidFill>
          <a:srgbClr val="ffffff"/>
        </a:solidFill>
        <a:ln w="9525">
          <a:noFill/>
        </a:ln>
      </xdr:spPr>
      <xdr:style>
        <a:lnRef idx="0"/>
        <a:fillRef idx="0"/>
        <a:effectRef idx="0"/>
        <a:fontRef idx="minor"/>
      </xdr:style>
      <xdr:txBody>
        <a:bodyPr horzOverflow="clip" vertOverflow="clip" lIns="90000" rIns="90000" tIns="45000" bIns="45000" anchor="ctr">
          <a:noAutofit/>
        </a:bodyPr>
        <a:p>
          <a:pPr algn="ctr">
            <a:lnSpc>
              <a:spcPct val="100000"/>
            </a:lnSpc>
          </a:pPr>
          <a:r>
            <a:rPr b="1" lang="fr-FR" sz="2400" spc="-1" strike="noStrike">
              <a:solidFill>
                <a:schemeClr val="dk1"/>
              </a:solidFill>
              <a:latin typeface="Candara"/>
            </a:rPr>
            <a:t>REGISTRE DES RISQUES</a:t>
          </a:r>
          <a:endParaRPr b="0" lang="fr-FR" sz="24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5"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9"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10"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1"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2"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3"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4"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5"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6"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1" name="Button 17"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2" name="Button 18"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3" name="Button 19"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4" name="Button 20"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5" name="Button 21"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6" name="Button 22"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7" name="Button 23"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8" name="Button 24"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9" name="Button 25"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0" name="Button 26"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1" name="Button 27"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2" name="Button 28"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3" name="Button 29"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4" name="Button 30"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5" name="Button 31"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6" name="Button 32"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7" name="Button 33"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8" name="Button 34"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29" name="Button 35"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0" name="Button 36"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1" name="Button 37"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2" name="Button 38"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3" name="Button 39"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4" name="Button 40"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5" name="Button 41"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6" name="Button 42"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7" name="Button 43"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8" name="Button 44"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39" name="Button 45"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0" name="Button 46"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1" name="Button 47"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2" name="Button 48"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3" name="Button 49"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4" name="Button 50"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5" name="Button 51"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6" name="Button 52"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7" name="Button 53"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8" name="Button 54"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49" name="Button 55"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0" name="Button 56"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1" name="Button 57"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2" name="Button 58"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3" name="Button 59"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4" name="Button 60" descr="O" hidden="0"/>
            <xdr:cNvSpPr/>
          </xdr:nvSpPr>
          <xdr:spPr>
            <a:xfrm>
              <a:off x="0" y="0"/>
              <a:ext cx="0" cy="0"/>
            </a:xfrm>
            <a:prstGeom prst="rect">
              <a:avLst/>
            </a:prstGeom>
          </xdr:spPr>
          <xdr:txBody>
            <a:bodyPr anchor="ctr">
              <a:noAutofit/>
            </a:bodyPr>
            <a:p>
              <a:r>
                <a:t>O</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5" name="Button 61"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6" name="Button 62" descr="O" hidden="0"/>
            <xdr:cNvSpPr/>
          </xdr:nvSpPr>
          <xdr:spPr>
            <a:xfrm>
              <a:off x="0" y="0"/>
              <a:ext cx="0" cy="0"/>
            </a:xfrm>
            <a:prstGeom prst="rect">
              <a:avLst/>
            </a:prstGeom>
          </xdr:spPr>
          <xdr:txBody>
            <a:bodyPr anchor="ctr">
              <a:noAutofit/>
            </a:bodyPr>
            <a:p>
              <a:r>
                <a:t>O</a:t>
              </a:r>
            </a:p>
          </xdr:txBody>
        </xdr:sp>
        <xdr:clientData/>
      </xdr:twoCellAnchor>
    </mc:Choice>
  </mc:AlternateContent>
  <xdr:twoCellAnchor editAs="absolute">
    <xdr:from>
      <xdr:col>3</xdr:col>
      <xdr:colOff>590400</xdr:colOff>
      <xdr:row>6</xdr:row>
      <xdr:rowOff>77400</xdr:rowOff>
    </xdr:from>
    <xdr:to>
      <xdr:col>3</xdr:col>
      <xdr:colOff>2342880</xdr:colOff>
      <xdr:row>6</xdr:row>
      <xdr:rowOff>420120</xdr:rowOff>
    </xdr:to>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7" name="Button 227" descr="P" hidden="0"/>
            <xdr:cNvSpPr/>
          </xdr:nvSpPr>
          <xdr:spPr>
            <a:xfrm>
              <a:off x="0" y="0"/>
              <a:ext cx="0" cy="0"/>
            </a:xfrm>
            <a:prstGeom prst="rect">
              <a:avLst/>
            </a:prstGeom>
          </xdr:spPr>
          <xdr:txBody>
            <a:bodyPr anchor="ctr">
              <a:noAutofit/>
            </a:bodyPr>
            <a:p>
              <a:r>
                <a:t>P</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58" name="Button 228" descr="O" hidden="0"/>
            <xdr:cNvSpPr/>
          </xdr:nvSpPr>
          <xdr:spPr>
            <a:xfrm>
              <a:off x="0" y="0"/>
              <a:ext cx="0" cy="0"/>
            </a:xfrm>
            <a:prstGeom prst="rect">
              <a:avLst/>
            </a:prstGeom>
          </xdr:spPr>
          <xdr:txBody>
            <a:bodyPr anchor="ctr">
              <a:noAutofit/>
            </a:bodyPr>
            <a:p>
              <a:r>
                <a:t>O</a:t>
              </a:r>
            </a:p>
          </xdr:txBody>
        </xdr:sp>
        <xdr:clientData/>
      </xdr:twoCellAnchor>
    </mc:Choice>
  </mc:AlternateContent>
</xdr:wsDr>
</file>

<file path=xl/drawings/drawing61.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0</xdr:colOff>
      <xdr:row>14</xdr:row>
      <xdr:rowOff>121320</xdr:rowOff>
    </xdr:from>
    <xdr:to>
      <xdr:col>6</xdr:col>
      <xdr:colOff>1750320</xdr:colOff>
      <xdr:row>33</xdr:row>
      <xdr:rowOff>130320</xdr:rowOff>
    </xdr:to>
    <xdr:graphicFrame>
      <xdr:nvGraphicFramePr>
        <xdr:cNvPr id="89" name="Graphique 5"/>
        <xdr:cNvGraphicFramePr/>
      </xdr:nvGraphicFramePr>
      <xdr:xfrm>
        <a:off x="5468040" y="4016520"/>
        <a:ext cx="3603240" cy="36284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30600</xdr:colOff>
      <xdr:row>14</xdr:row>
      <xdr:rowOff>121680</xdr:rowOff>
    </xdr:from>
    <xdr:to>
      <xdr:col>3</xdr:col>
      <xdr:colOff>784800</xdr:colOff>
      <xdr:row>33</xdr:row>
      <xdr:rowOff>122400</xdr:rowOff>
    </xdr:to>
    <xdr:graphicFrame>
      <xdr:nvGraphicFramePr>
        <xdr:cNvPr id="90" name="Graphique 1"/>
        <xdr:cNvGraphicFramePr/>
      </xdr:nvGraphicFramePr>
      <xdr:xfrm>
        <a:off x="473760" y="4016880"/>
        <a:ext cx="4016880" cy="3620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0</xdr:colOff>
      <xdr:row>14</xdr:row>
      <xdr:rowOff>121320</xdr:rowOff>
    </xdr:from>
    <xdr:to>
      <xdr:col>9</xdr:col>
      <xdr:colOff>1159920</xdr:colOff>
      <xdr:row>33</xdr:row>
      <xdr:rowOff>130320</xdr:rowOff>
    </xdr:to>
    <xdr:graphicFrame>
      <xdr:nvGraphicFramePr>
        <xdr:cNvPr id="91" name="Graphique 5"/>
        <xdr:cNvGraphicFramePr/>
      </xdr:nvGraphicFramePr>
      <xdr:xfrm>
        <a:off x="9173880" y="4016520"/>
        <a:ext cx="3636360" cy="362844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333360</xdr:colOff>
      <xdr:row>0</xdr:row>
      <xdr:rowOff>180360</xdr:rowOff>
    </xdr:from>
    <xdr:to>
      <xdr:col>2</xdr:col>
      <xdr:colOff>206640</xdr:colOff>
      <xdr:row>0</xdr:row>
      <xdr:rowOff>803160</xdr:rowOff>
    </xdr:to>
    <xdr:pic>
      <xdr:nvPicPr>
        <xdr:cNvPr id="92" name="Image 2" descr=""/>
        <xdr:cNvPicPr/>
      </xdr:nvPicPr>
      <xdr:blipFill>
        <a:blip r:embed="rId4"/>
        <a:stretch/>
      </xdr:blipFill>
      <xdr:spPr>
        <a:xfrm>
          <a:off x="333360" y="180360"/>
          <a:ext cx="1947960" cy="622800"/>
        </a:xfrm>
        <a:prstGeom prst="rect">
          <a:avLst/>
        </a:prstGeom>
        <a:ln w="0">
          <a:noFill/>
        </a:ln>
      </xdr:spPr>
    </xdr:pic>
    <xdr:clientData/>
  </xdr:twoCellAnchor>
  <xdr:twoCellAnchor editAs="absolute">
    <xdr:from>
      <xdr:col>2</xdr:col>
      <xdr:colOff>371520</xdr:colOff>
      <xdr:row>0</xdr:row>
      <xdr:rowOff>164160</xdr:rowOff>
    </xdr:from>
    <xdr:to>
      <xdr:col>5</xdr:col>
      <xdr:colOff>954360</xdr:colOff>
      <xdr:row>0</xdr:row>
      <xdr:rowOff>761760</xdr:rowOff>
    </xdr:to>
    <xdr:sp>
      <xdr:nvSpPr>
        <xdr:cNvPr id="93" name="Rectangle 6"/>
        <xdr:cNvSpPr/>
      </xdr:nvSpPr>
      <xdr:spPr>
        <a:xfrm>
          <a:off x="2446200" y="164160"/>
          <a:ext cx="3976200" cy="597600"/>
        </a:xfrm>
        <a:prstGeom prst="rect">
          <a:avLst/>
        </a:prstGeom>
        <a:noFill/>
        <a:ln w="0">
          <a:noFill/>
        </a:ln>
      </xdr:spPr>
      <xdr:style>
        <a:lnRef idx="0"/>
        <a:fillRef idx="0"/>
        <a:effectRef idx="0"/>
        <a:fontRef idx="minor"/>
      </xdr:style>
      <xdr:txBody>
        <a:bodyPr anchor="t">
          <a:spAutoFit/>
        </a:bodyPr>
        <a:p>
          <a:pPr algn="ctr">
            <a:lnSpc>
              <a:spcPct val="100000"/>
            </a:lnSpc>
          </a:pPr>
          <a:r>
            <a:rPr b="0" lang="en-US" sz="3600" spc="-1" strike="noStrike" cap="small">
              <a:solidFill>
                <a:srgbClr val="002060"/>
              </a:solidFill>
              <a:latin typeface="Times New Roman"/>
            </a:rPr>
            <a:t>Tableau de bord</a:t>
          </a:r>
          <a:endParaRPr b="0" lang="fr-FR" sz="3600" spc="-1" strike="noStrike">
            <a:latin typeface="Times New Roman"/>
          </a:endParaRPr>
        </a:p>
      </xdr:txBody>
    </xdr:sp>
    <xdr:clientData/>
  </xdr:twoCellAnchor>
  <xdr:twoCellAnchor editAs="absolute">
    <xdr:from>
      <xdr:col>5</xdr:col>
      <xdr:colOff>809640</xdr:colOff>
      <xdr:row>0</xdr:row>
      <xdr:rowOff>38160</xdr:rowOff>
    </xdr:from>
    <xdr:to>
      <xdr:col>11</xdr:col>
      <xdr:colOff>72360</xdr:colOff>
      <xdr:row>0</xdr:row>
      <xdr:rowOff>945360</xdr:rowOff>
    </xdr:to>
    <xdr:grpSp>
      <xdr:nvGrpSpPr>
        <xdr:cNvPr id="94" name="Group 13"/>
        <xdr:cNvGrpSpPr/>
      </xdr:nvGrpSpPr>
      <xdr:grpSpPr>
        <a:xfrm>
          <a:off x="6277680" y="38160"/>
          <a:ext cx="7921440" cy="907200"/>
          <a:chOff x="6277680" y="38160"/>
          <a:chExt cx="7921440" cy="907200"/>
        </a:xfrm>
      </xdr:grpSpPr>
      <xdr:sp>
        <xdr:nvSpPr>
          <xdr:cNvPr id="95" name="Rectangle 14"/>
          <xdr:cNvSpPr/>
        </xdr:nvSpPr>
        <xdr:spPr>
          <a:xfrm>
            <a:off x="6801840" y="99720"/>
            <a:ext cx="7397280" cy="784080"/>
          </a:xfrm>
          <a:prstGeom prst="rect">
            <a:avLst/>
          </a:prstGeom>
          <a:solidFill>
            <a:srgbClr val="4f81bd">
              <a:alpha val="13000"/>
            </a:srgbClr>
          </a:solidFill>
          <a:ln w="3175">
            <a:solidFill>
              <a:srgbClr val="62bd8a"/>
            </a:solidFill>
            <a:round/>
          </a:ln>
        </xdr:spPr>
        <xdr:style>
          <a:lnRef idx="2">
            <a:schemeClr val="accent1">
              <a:shade val="50000"/>
            </a:schemeClr>
          </a:lnRef>
          <a:fillRef idx="1">
            <a:schemeClr val="accent1"/>
          </a:fillRef>
          <a:effectRef idx="0">
            <a:schemeClr val="accent1"/>
          </a:effectRef>
          <a:fontRef idx="minor"/>
        </xdr:style>
      </xdr:sp>
      <xdr:sp>
        <xdr:nvSpPr>
          <xdr:cNvPr id="96" name="Rectangle: Rounded Corners 15">
            <a:hlinkClick r:id="rId5"/>
          </xdr:cNvPr>
          <xdr:cNvSpPr/>
        </xdr:nvSpPr>
        <xdr:spPr>
          <a:xfrm>
            <a:off x="7492680" y="284760"/>
            <a:ext cx="208440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Registre des risques</a:t>
            </a:r>
            <a:endParaRPr b="0" lang="fr-FR" sz="1400" spc="-1" strike="noStrike">
              <a:latin typeface="Times New Roman"/>
            </a:endParaRPr>
          </a:p>
        </xdr:txBody>
      </xdr:sp>
      <xdr:sp>
        <xdr:nvSpPr>
          <xdr:cNvPr id="97" name="Rectangle: Rounded Corners 16"/>
          <xdr:cNvSpPr/>
        </xdr:nvSpPr>
        <xdr:spPr>
          <a:xfrm>
            <a:off x="9738000" y="284760"/>
            <a:ext cx="208440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Tableau de Bord</a:t>
            </a:r>
            <a:endParaRPr b="0" lang="fr-FR" sz="1400" spc="-1" strike="noStrike">
              <a:latin typeface="Times New Roman"/>
            </a:endParaRPr>
          </a:p>
        </xdr:txBody>
      </xdr:sp>
      <xdr:sp>
        <xdr:nvSpPr>
          <xdr:cNvPr id="98" name="Rectangle: Rounded Corners 17">
            <a:hlinkClick r:id="rId6"/>
          </xdr:cNvPr>
          <xdr:cNvSpPr/>
        </xdr:nvSpPr>
        <xdr:spPr>
          <a:xfrm>
            <a:off x="11983680" y="284760"/>
            <a:ext cx="208440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Paramètres</a:t>
            </a:r>
            <a:endParaRPr b="0" lang="fr-FR" sz="1400" spc="-1" strike="noStrike">
              <a:latin typeface="Times New Roman"/>
            </a:endParaRPr>
          </a:p>
        </xdr:txBody>
      </xdr:sp>
      <xdr:sp>
        <xdr:nvSpPr>
          <xdr:cNvPr id="99" name="Oval 18">
            <a:hlinkClick r:id="rId7"/>
          </xdr:cNvPr>
          <xdr:cNvSpPr/>
        </xdr:nvSpPr>
        <xdr:spPr>
          <a:xfrm>
            <a:off x="6277680" y="38160"/>
            <a:ext cx="1083600" cy="907200"/>
          </a:xfrm>
          <a:prstGeom prst="ellipse">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2000" spc="-1" strike="noStrike" cap="small">
                <a:solidFill>
                  <a:schemeClr val="lt1"/>
                </a:solidFill>
                <a:latin typeface="Calibri"/>
              </a:rPr>
              <a:t>Menu</a:t>
            </a:r>
            <a:endParaRPr b="0" lang="fr-FR" sz="2000" spc="-1" strike="noStrike">
              <a:latin typeface="Times New Roman"/>
            </a:endParaRPr>
          </a:p>
        </xdr:txBody>
      </xdr:sp>
    </xdr:grpSp>
    <xdr:clientData/>
  </xdr:twoCellAnchor>
  <xdr:twoCellAnchor editAs="oneCell">
    <xdr:from>
      <xdr:col>0</xdr:col>
      <xdr:colOff>374760</xdr:colOff>
      <xdr:row>0</xdr:row>
      <xdr:rowOff>1002960</xdr:rowOff>
    </xdr:from>
    <xdr:to>
      <xdr:col>2</xdr:col>
      <xdr:colOff>502920</xdr:colOff>
      <xdr:row>1</xdr:row>
      <xdr:rowOff>156600</xdr:rowOff>
    </xdr:to>
    <xdr:sp>
      <xdr:nvSpPr>
        <xdr:cNvPr id="100" name="Rectangle 2"/>
        <xdr:cNvSpPr/>
      </xdr:nvSpPr>
      <xdr:spPr>
        <a:xfrm>
          <a:off x="374760" y="1002960"/>
          <a:ext cx="2202840" cy="344160"/>
        </a:xfrm>
        <a:prstGeom prst="rect">
          <a:avLst/>
        </a:prstGeom>
        <a:noFill/>
        <a:ln w="0">
          <a:noFill/>
        </a:ln>
      </xdr:spPr>
      <xdr:style>
        <a:lnRef idx="0"/>
        <a:fillRef idx="0"/>
        <a:effectRef idx="0"/>
        <a:fontRef idx="minor"/>
      </xdr:style>
      <xdr:txBody>
        <a:bodyPr wrap="none" anchor="t">
          <a:spAutoFit/>
        </a:bodyPr>
        <a:p>
          <a:pPr algn="ctr">
            <a:lnSpc>
              <a:spcPct val="100000"/>
            </a:lnSpc>
          </a:pPr>
          <a:r>
            <a:rPr b="0" lang="fr-FR" sz="1800" spc="-1" strike="noStrike">
              <a:solidFill>
                <a:schemeClr val="dk1"/>
              </a:solidFill>
              <a:latin typeface="Times New Roman"/>
            </a:rPr>
            <a:t>Statistiques par risque</a:t>
          </a:r>
          <a:endParaRPr b="0" lang="fr-FR" sz="1800" spc="-1" strike="noStrike">
            <a:latin typeface="Times New Roman"/>
          </a:endParaRPr>
        </a:p>
      </xdr:txBody>
    </xdr:sp>
    <xdr:clientData/>
  </xdr:twoCellAnchor>
  <xdr:twoCellAnchor editAs="oneCell">
    <xdr:from>
      <xdr:col>5</xdr:col>
      <xdr:colOff>28800</xdr:colOff>
      <xdr:row>0</xdr:row>
      <xdr:rowOff>1002960</xdr:rowOff>
    </xdr:from>
    <xdr:to>
      <xdr:col>6</xdr:col>
      <xdr:colOff>1089360</xdr:colOff>
      <xdr:row>1</xdr:row>
      <xdr:rowOff>156600</xdr:rowOff>
    </xdr:to>
    <xdr:sp>
      <xdr:nvSpPr>
        <xdr:cNvPr id="101" name="Rectangle 20"/>
        <xdr:cNvSpPr/>
      </xdr:nvSpPr>
      <xdr:spPr>
        <a:xfrm>
          <a:off x="5496840" y="1002960"/>
          <a:ext cx="2913480" cy="344160"/>
        </a:xfrm>
        <a:prstGeom prst="rect">
          <a:avLst/>
        </a:prstGeom>
        <a:noFill/>
        <a:ln w="0">
          <a:noFill/>
        </a:ln>
      </xdr:spPr>
      <xdr:style>
        <a:lnRef idx="0"/>
        <a:fillRef idx="0"/>
        <a:effectRef idx="0"/>
        <a:fontRef idx="minor"/>
      </xdr:style>
      <xdr:txBody>
        <a:bodyPr wrap="none" anchor="t">
          <a:spAutoFit/>
        </a:bodyPr>
        <a:p>
          <a:pPr algn="ctr">
            <a:lnSpc>
              <a:spcPct val="100000"/>
            </a:lnSpc>
          </a:pPr>
          <a:r>
            <a:rPr b="0" lang="fr-FR" sz="1800" spc="-1" strike="noStrike">
              <a:solidFill>
                <a:schemeClr val="dk1"/>
              </a:solidFill>
              <a:latin typeface="Times New Roman"/>
            </a:rPr>
            <a:t>Analyse croisée Réponse/État</a:t>
          </a:r>
          <a:endParaRPr b="0" lang="fr-FR" sz="1800" spc="-1" strike="noStrike">
            <a:latin typeface="Times New Roman"/>
          </a:endParaRPr>
        </a:p>
      </xdr:txBody>
    </xdr:sp>
    <xdr:clientData/>
  </xdr:twoCellAnchor>
</xdr:wsDr>
</file>

<file path=xl/drawings/drawing62.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161280</xdr:rowOff>
    </xdr:from>
    <xdr:to>
      <xdr:col>0</xdr:col>
      <xdr:colOff>1835280</xdr:colOff>
      <xdr:row>2</xdr:row>
      <xdr:rowOff>12600</xdr:rowOff>
    </xdr:to>
    <xdr:pic>
      <xdr:nvPicPr>
        <xdr:cNvPr id="102" name="Image 2" descr=""/>
        <xdr:cNvPicPr/>
      </xdr:nvPicPr>
      <xdr:blipFill>
        <a:blip r:embed="rId1"/>
        <a:stretch/>
      </xdr:blipFill>
      <xdr:spPr>
        <a:xfrm>
          <a:off x="0" y="161280"/>
          <a:ext cx="1835280" cy="622800"/>
        </a:xfrm>
        <a:prstGeom prst="rect">
          <a:avLst/>
        </a:prstGeom>
        <a:ln w="0">
          <a:noFill/>
        </a:ln>
      </xdr:spPr>
    </xdr:pic>
    <xdr:clientData/>
  </xdr:twoCellAnchor>
  <xdr:twoCellAnchor editAs="twoCell">
    <xdr:from>
      <xdr:col>0</xdr:col>
      <xdr:colOff>0</xdr:colOff>
      <xdr:row>4</xdr:row>
      <xdr:rowOff>0</xdr:rowOff>
    </xdr:from>
    <xdr:to>
      <xdr:col>0</xdr:col>
      <xdr:colOff>2033640</xdr:colOff>
      <xdr:row>10</xdr:row>
      <xdr:rowOff>190080</xdr:rowOff>
    </xdr:to>
    <xdr:sp>
      <xdr:nvSpPr>
        <xdr:cNvPr id="103" name="Rectangle 2"/>
        <xdr:cNvSpPr/>
      </xdr:nvSpPr>
      <xdr:spPr>
        <a:xfrm>
          <a:off x="0" y="1609560"/>
          <a:ext cx="2033640" cy="1657080"/>
        </a:xfrm>
        <a:prstGeom prst="rect">
          <a:avLst/>
        </a:prstGeom>
        <a:solidFill>
          <a:srgbClr val="4f81bd">
            <a:alpha val="10000"/>
          </a:srgbClr>
        </a:solidFill>
        <a:ln w="6350">
          <a:solidFill>
            <a:srgbClr val="000000"/>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defTabSz="914400">
            <a:lnSpc>
              <a:spcPct val="100000"/>
            </a:lnSpc>
            <a:tabLst>
              <a:tab algn="l" pos="0"/>
            </a:tabLst>
          </a:pPr>
          <a:r>
            <a:rPr b="0" lang="fr-FR" sz="2000" spc="-1" strike="noStrike" cap="small">
              <a:solidFill>
                <a:srgbClr val="00b0f0"/>
              </a:solidFill>
              <a:latin typeface="Calibri"/>
            </a:rPr>
            <a:t>Les critères d'évalution de l'Impact du risque</a:t>
          </a:r>
          <a:r>
            <a:rPr b="0" lang="fr-FR" sz="2000" spc="-1" strike="noStrike" cap="small">
              <a:solidFill>
                <a:srgbClr val="00b0f0"/>
              </a:solidFill>
              <a:latin typeface="Calibri"/>
            </a:rPr>
            <a:t>	</a:t>
          </a:r>
          <a:endParaRPr b="0" lang="fr-FR" sz="2000" spc="-1" strike="noStrike">
            <a:latin typeface="Times New Roman"/>
          </a:endParaRPr>
        </a:p>
        <a:p>
          <a:pPr algn="ctr" defTabSz="914400">
            <a:lnSpc>
              <a:spcPct val="100000"/>
            </a:lnSpc>
            <a:tabLst>
              <a:tab algn="l" pos="0"/>
            </a:tabLst>
          </a:pPr>
          <a:endParaRPr b="0" lang="fr-FR" sz="2000" spc="-1" strike="noStrike">
            <a:latin typeface="Times New Roman"/>
          </a:endParaRPr>
        </a:p>
      </xdr:txBody>
    </xdr:sp>
    <xdr:clientData/>
  </xdr:twoCellAnchor>
  <xdr:twoCellAnchor editAs="twoCell">
    <xdr:from>
      <xdr:col>0</xdr:col>
      <xdr:colOff>0</xdr:colOff>
      <xdr:row>16</xdr:row>
      <xdr:rowOff>0</xdr:rowOff>
    </xdr:from>
    <xdr:to>
      <xdr:col>0</xdr:col>
      <xdr:colOff>2033640</xdr:colOff>
      <xdr:row>26</xdr:row>
      <xdr:rowOff>190080</xdr:rowOff>
    </xdr:to>
    <xdr:sp>
      <xdr:nvSpPr>
        <xdr:cNvPr id="104" name="Rectangle 3"/>
        <xdr:cNvSpPr/>
      </xdr:nvSpPr>
      <xdr:spPr>
        <a:xfrm>
          <a:off x="0" y="4219560"/>
          <a:ext cx="2033640" cy="2095200"/>
        </a:xfrm>
        <a:prstGeom prst="rect">
          <a:avLst/>
        </a:prstGeom>
        <a:solidFill>
          <a:srgbClr val="4f81bd">
            <a:alpha val="10000"/>
          </a:srgbClr>
        </a:solidFill>
        <a:ln w="6350">
          <a:solidFill>
            <a:srgbClr val="000000"/>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fr-FR" sz="2000" spc="-1" strike="noStrike" cap="small">
              <a:solidFill>
                <a:srgbClr val="00b0f0"/>
              </a:solidFill>
              <a:latin typeface="Calibri"/>
            </a:rPr>
            <a:t>Fréquence </a:t>
          </a:r>
          <a:endParaRPr b="0" lang="fr-FR" sz="2000" spc="-1" strike="noStrike">
            <a:latin typeface="Times New Roman"/>
          </a:endParaRPr>
        </a:p>
        <a:p>
          <a:pPr algn="ctr">
            <a:lnSpc>
              <a:spcPct val="100000"/>
            </a:lnSpc>
          </a:pPr>
          <a:r>
            <a:rPr b="0" lang="fr-FR" sz="2000" spc="-1" strike="noStrike" cap="small">
              <a:solidFill>
                <a:srgbClr val="00b0f0"/>
              </a:solidFill>
              <a:latin typeface="Calibri"/>
            </a:rPr>
            <a:t>du risque </a:t>
          </a:r>
          <a:endParaRPr b="0" lang="fr-FR" sz="2000" spc="-1" strike="noStrike">
            <a:latin typeface="Times New Roman"/>
          </a:endParaRPr>
        </a:p>
        <a:p>
          <a:pPr algn="ctr">
            <a:lnSpc>
              <a:spcPct val="100000"/>
            </a:lnSpc>
          </a:pPr>
          <a:r>
            <a:rPr b="0" lang="fr-FR" sz="1800" spc="-1" strike="noStrike" cap="small">
              <a:solidFill>
                <a:srgbClr val="00b0f0"/>
              </a:solidFill>
              <a:latin typeface="Calibri"/>
            </a:rPr>
            <a:t>(sa probabilité d'occurence)</a:t>
          </a:r>
          <a:endParaRPr b="0" lang="fr-FR" sz="1800" spc="-1" strike="noStrike">
            <a:latin typeface="Times New Roman"/>
          </a:endParaRPr>
        </a:p>
      </xdr:txBody>
    </xdr:sp>
    <xdr:clientData/>
  </xdr:twoCellAnchor>
  <xdr:twoCellAnchor editAs="twoCell">
    <xdr:from>
      <xdr:col>0</xdr:col>
      <xdr:colOff>0</xdr:colOff>
      <xdr:row>28</xdr:row>
      <xdr:rowOff>0</xdr:rowOff>
    </xdr:from>
    <xdr:to>
      <xdr:col>0</xdr:col>
      <xdr:colOff>2033640</xdr:colOff>
      <xdr:row>38</xdr:row>
      <xdr:rowOff>190080</xdr:rowOff>
    </xdr:to>
    <xdr:sp>
      <xdr:nvSpPr>
        <xdr:cNvPr id="105" name="Rectangle 5"/>
        <xdr:cNvSpPr/>
      </xdr:nvSpPr>
      <xdr:spPr>
        <a:xfrm>
          <a:off x="0" y="6505560"/>
          <a:ext cx="2033640" cy="2095200"/>
        </a:xfrm>
        <a:prstGeom prst="rect">
          <a:avLst/>
        </a:prstGeom>
        <a:solidFill>
          <a:srgbClr val="4f81bd">
            <a:alpha val="10000"/>
          </a:srgbClr>
        </a:solidFill>
        <a:ln w="6350">
          <a:solidFill>
            <a:srgbClr val="000000"/>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fr-FR" sz="2000" spc="-1" strike="noStrike" cap="small">
              <a:solidFill>
                <a:srgbClr val="00b0f0"/>
              </a:solidFill>
              <a:latin typeface="Calibri"/>
            </a:rPr>
            <a:t>Code d'Impact</a:t>
          </a:r>
          <a:endParaRPr b="0" lang="fr-FR" sz="2000" spc="-1" strike="noStrike">
            <a:latin typeface="Times New Roman"/>
          </a:endParaRPr>
        </a:p>
      </xdr:txBody>
    </xdr:sp>
    <xdr:clientData/>
  </xdr:twoCellAnchor>
  <xdr:twoCellAnchor editAs="absolute">
    <xdr:from>
      <xdr:col>0</xdr:col>
      <xdr:colOff>2005920</xdr:colOff>
      <xdr:row>0</xdr:row>
      <xdr:rowOff>145080</xdr:rowOff>
    </xdr:from>
    <xdr:to>
      <xdr:col>3</xdr:col>
      <xdr:colOff>1294560</xdr:colOff>
      <xdr:row>1</xdr:row>
      <xdr:rowOff>161640</xdr:rowOff>
    </xdr:to>
    <xdr:sp>
      <xdr:nvSpPr>
        <xdr:cNvPr id="106" name="Rectangle 7"/>
        <xdr:cNvSpPr/>
      </xdr:nvSpPr>
      <xdr:spPr>
        <a:xfrm>
          <a:off x="2005920" y="145080"/>
          <a:ext cx="2651760" cy="597600"/>
        </a:xfrm>
        <a:prstGeom prst="rect">
          <a:avLst/>
        </a:prstGeom>
        <a:noFill/>
        <a:ln w="0">
          <a:noFill/>
        </a:ln>
      </xdr:spPr>
      <xdr:style>
        <a:lnRef idx="0"/>
        <a:fillRef idx="0"/>
        <a:effectRef idx="0"/>
        <a:fontRef idx="minor"/>
      </xdr:style>
      <xdr:txBody>
        <a:bodyPr wrap="none" anchor="t">
          <a:spAutoFit/>
        </a:bodyPr>
        <a:p>
          <a:pPr algn="ctr">
            <a:lnSpc>
              <a:spcPct val="100000"/>
            </a:lnSpc>
          </a:pPr>
          <a:r>
            <a:rPr b="0" lang="en-US" sz="3600" spc="-1" strike="noStrike" cap="small">
              <a:solidFill>
                <a:srgbClr val="002060"/>
              </a:solidFill>
              <a:latin typeface="Times New Roman"/>
            </a:rPr>
            <a:t>Paramètres</a:t>
          </a:r>
          <a:endParaRPr b="0" lang="fr-FR" sz="3600" spc="-1" strike="noStrike">
            <a:latin typeface="Times New Roman"/>
          </a:endParaRPr>
        </a:p>
      </xdr:txBody>
    </xdr:sp>
    <xdr:clientData/>
  </xdr:twoCellAnchor>
  <xdr:twoCellAnchor editAs="absolute">
    <xdr:from>
      <xdr:col>3</xdr:col>
      <xdr:colOff>1305000</xdr:colOff>
      <xdr:row>0</xdr:row>
      <xdr:rowOff>19080</xdr:rowOff>
    </xdr:from>
    <xdr:to>
      <xdr:col>9</xdr:col>
      <xdr:colOff>1574640</xdr:colOff>
      <xdr:row>2</xdr:row>
      <xdr:rowOff>154800</xdr:rowOff>
    </xdr:to>
    <xdr:grpSp>
      <xdr:nvGrpSpPr>
        <xdr:cNvPr id="107" name="Group 8"/>
        <xdr:cNvGrpSpPr/>
      </xdr:nvGrpSpPr>
      <xdr:grpSpPr>
        <a:xfrm>
          <a:off x="4668120" y="19080"/>
          <a:ext cx="7861680" cy="907200"/>
          <a:chOff x="4668120" y="19080"/>
          <a:chExt cx="7861680" cy="907200"/>
        </a:xfrm>
      </xdr:grpSpPr>
      <xdr:sp>
        <xdr:nvSpPr>
          <xdr:cNvPr id="108" name="Rectangle 9"/>
          <xdr:cNvSpPr/>
        </xdr:nvSpPr>
        <xdr:spPr>
          <a:xfrm>
            <a:off x="5188320" y="80640"/>
            <a:ext cx="7341480" cy="784080"/>
          </a:xfrm>
          <a:prstGeom prst="rect">
            <a:avLst/>
          </a:prstGeom>
          <a:solidFill>
            <a:srgbClr val="4f81bd">
              <a:alpha val="13000"/>
            </a:srgbClr>
          </a:solidFill>
          <a:ln w="3175">
            <a:solidFill>
              <a:srgbClr val="62bd8a"/>
            </a:solidFill>
            <a:round/>
          </a:ln>
        </xdr:spPr>
        <xdr:style>
          <a:lnRef idx="2">
            <a:schemeClr val="accent1">
              <a:shade val="50000"/>
            </a:schemeClr>
          </a:lnRef>
          <a:fillRef idx="1">
            <a:schemeClr val="accent1"/>
          </a:fillRef>
          <a:effectRef idx="0">
            <a:schemeClr val="accent1"/>
          </a:effectRef>
          <a:fontRef idx="minor"/>
        </xdr:style>
      </xdr:sp>
      <xdr:sp>
        <xdr:nvSpPr>
          <xdr:cNvPr id="109" name="Rectangle: Rounded Corners 10">
            <a:hlinkClick r:id="rId2"/>
          </xdr:cNvPr>
          <xdr:cNvSpPr/>
        </xdr:nvSpPr>
        <xdr:spPr>
          <a:xfrm>
            <a:off x="5874120" y="265680"/>
            <a:ext cx="206856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Registre des risques</a:t>
            </a:r>
            <a:endParaRPr b="0" lang="fr-FR" sz="1400" spc="-1" strike="noStrike">
              <a:latin typeface="Times New Roman"/>
            </a:endParaRPr>
          </a:p>
        </xdr:txBody>
      </xdr:sp>
      <xdr:sp>
        <xdr:nvSpPr>
          <xdr:cNvPr id="110" name="Rectangle: Rounded Corners 11">
            <a:hlinkClick r:id="rId3"/>
          </xdr:cNvPr>
          <xdr:cNvSpPr/>
        </xdr:nvSpPr>
        <xdr:spPr>
          <a:xfrm>
            <a:off x="8102520" y="265680"/>
            <a:ext cx="206856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Tableau de Bord</a:t>
            </a:r>
            <a:endParaRPr b="0" lang="fr-FR" sz="1400" spc="-1" strike="noStrike">
              <a:latin typeface="Times New Roman"/>
            </a:endParaRPr>
          </a:p>
        </xdr:txBody>
      </xdr:sp>
      <xdr:sp>
        <xdr:nvSpPr>
          <xdr:cNvPr id="111" name="Rectangle: Rounded Corners 12"/>
          <xdr:cNvSpPr/>
        </xdr:nvSpPr>
        <xdr:spPr>
          <a:xfrm>
            <a:off x="10331280" y="265680"/>
            <a:ext cx="2068560" cy="414360"/>
          </a:xfrm>
          <a:prstGeom prst="roundRect">
            <a:avLst>
              <a:gd name="adj" fmla="val 16667"/>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1400" spc="-1" strike="noStrike" cap="small">
                <a:solidFill>
                  <a:schemeClr val="lt1"/>
                </a:solidFill>
                <a:latin typeface="Calibri"/>
              </a:rPr>
              <a:t>Paramètres</a:t>
            </a:r>
            <a:endParaRPr b="0" lang="fr-FR" sz="1400" spc="-1" strike="noStrike">
              <a:latin typeface="Times New Roman"/>
            </a:endParaRPr>
          </a:p>
        </xdr:txBody>
      </xdr:sp>
      <xdr:sp>
        <xdr:nvSpPr>
          <xdr:cNvPr id="112" name="Oval 13">
            <a:hlinkClick r:id="rId4"/>
          </xdr:cNvPr>
          <xdr:cNvSpPr/>
        </xdr:nvSpPr>
        <xdr:spPr>
          <a:xfrm>
            <a:off x="4668120" y="19080"/>
            <a:ext cx="1075680" cy="907200"/>
          </a:xfrm>
          <a:prstGeom prst="ellipse">
            <a:avLst/>
          </a:prstGeom>
          <a:solidFill>
            <a:srgbClr val="002060"/>
          </a:solidFill>
          <a:ln w="25400">
            <a:solidFill>
              <a:srgbClr val="62bd8a"/>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0" rIns="0" tIns="0" bIns="0" anchor="ctr">
            <a:noAutofit/>
          </a:bodyPr>
          <a:p>
            <a:pPr algn="ctr">
              <a:lnSpc>
                <a:spcPct val="100000"/>
              </a:lnSpc>
            </a:pPr>
            <a:r>
              <a:rPr b="0" lang="fr-FR" sz="2000" spc="-1" strike="noStrike" cap="small">
                <a:solidFill>
                  <a:schemeClr val="lt1"/>
                </a:solidFill>
                <a:latin typeface="Calibri"/>
              </a:rPr>
              <a:t>Menu</a:t>
            </a:r>
            <a:endParaRPr b="0" lang="fr-FR" sz="2000" spc="-1" strike="noStrike">
              <a:latin typeface="Times New Roman"/>
            </a:endParaRPr>
          </a:p>
        </xdr:txBody>
      </xdr:sp>
    </xdr:grpSp>
    <xdr:clientData/>
  </xdr:twoCellAnchor>
  <xdr:twoCellAnchor editAs="twoCell">
    <xdr:from>
      <xdr:col>2</xdr:col>
      <xdr:colOff>0</xdr:colOff>
      <xdr:row>3</xdr:row>
      <xdr:rowOff>258840</xdr:rowOff>
    </xdr:from>
    <xdr:to>
      <xdr:col>3</xdr:col>
      <xdr:colOff>1456920</xdr:colOff>
      <xdr:row>3</xdr:row>
      <xdr:rowOff>468000</xdr:rowOff>
    </xdr:to>
    <xdr:sp>
      <xdr:nvSpPr>
        <xdr:cNvPr id="113" name="TextBox 4"/>
        <xdr:cNvSpPr/>
      </xdr:nvSpPr>
      <xdr:spPr>
        <a:xfrm>
          <a:off x="2396520" y="1220760"/>
          <a:ext cx="2423520" cy="209160"/>
        </a:xfrm>
        <a:prstGeom prst="rect">
          <a:avLst/>
        </a:prstGeom>
        <a:noFill/>
        <a:ln w="9525">
          <a:noFill/>
        </a:ln>
      </xdr:spPr>
      <xdr:style>
        <a:lnRef idx="0"/>
        <a:fillRef idx="0"/>
        <a:effectRef idx="0"/>
        <a:fontRef idx="minor"/>
      </xdr:style>
      <xdr:txBody>
        <a:bodyPr horzOverflow="clip" vertOverflow="clip" lIns="90000" rIns="90000" tIns="45000" bIns="45000" anchor="t">
          <a:noAutofit/>
        </a:bodyPr>
        <a:p>
          <a:pPr>
            <a:lnSpc>
              <a:spcPct val="100000"/>
            </a:lnSpc>
          </a:pPr>
          <a:r>
            <a:rPr b="0" lang="fr-FR" sz="1200" spc="-1" strike="noStrike" u="sng">
              <a:solidFill>
                <a:srgbClr val="00b0f0"/>
              </a:solidFill>
              <a:uFillTx/>
              <a:latin typeface="Calibri"/>
            </a:rPr>
            <a:t>Ajouter un critère d'impact</a:t>
          </a:r>
          <a:endParaRPr b="0" lang="fr-FR" sz="1200" spc="-1" strike="noStrike">
            <a:latin typeface="Times New Roman"/>
          </a:endParaRPr>
        </a:p>
      </xdr:txBody>
    </xdr:sp>
    <xdr:clientData/>
  </xdr:twoCellAnchor>
  <xdr:twoCellAnchor editAs="oneCell">
    <xdr:from>
      <xdr:col>2</xdr:col>
      <xdr:colOff>302400</xdr:colOff>
      <xdr:row>4</xdr:row>
      <xdr:rowOff>225360</xdr:rowOff>
    </xdr:from>
    <xdr:to>
      <xdr:col>2</xdr:col>
      <xdr:colOff>454320</xdr:colOff>
      <xdr:row>4</xdr:row>
      <xdr:rowOff>288360</xdr:rowOff>
    </xdr:to>
    <xdr:sp>
      <xdr:nvSpPr>
        <xdr:cNvPr id="114" name="Minus_3"/>
        <xdr:cNvSpPr/>
      </xdr:nvSpPr>
      <xdr:spPr>
        <a:xfrm>
          <a:off x="2698920" y="1834920"/>
          <a:ext cx="151920" cy="63000"/>
        </a:xfrm>
        <a:prstGeom prst="rect">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2</xdr:col>
      <xdr:colOff>502560</xdr:colOff>
      <xdr:row>4</xdr:row>
      <xdr:rowOff>181080</xdr:rowOff>
    </xdr:from>
    <xdr:to>
      <xdr:col>2</xdr:col>
      <xdr:colOff>654480</xdr:colOff>
      <xdr:row>4</xdr:row>
      <xdr:rowOff>333000</xdr:rowOff>
    </xdr:to>
    <xdr:sp>
      <xdr:nvSpPr>
        <xdr:cNvPr id="115" name="Addus_3"/>
        <xdr:cNvSpPr/>
      </xdr:nvSpPr>
      <xdr:spPr>
        <a:xfrm>
          <a:off x="2899080" y="1790640"/>
          <a:ext cx="151920" cy="151920"/>
        </a:xfrm>
        <a:prstGeom prst="plus">
          <a:avLst>
            <a:gd name="adj" fmla="val 25000"/>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3</xdr:col>
      <xdr:colOff>2262240</xdr:colOff>
      <xdr:row>4</xdr:row>
      <xdr:rowOff>34920</xdr:rowOff>
    </xdr:from>
    <xdr:to>
      <xdr:col>3</xdr:col>
      <xdr:colOff>2706480</xdr:colOff>
      <xdr:row>4</xdr:row>
      <xdr:rowOff>479160</xdr:rowOff>
    </xdr:to>
    <xdr:sp>
      <xdr:nvSpPr>
        <xdr:cNvPr id="116" name="supprImpact_4"/>
        <xdr:cNvSpPr/>
      </xdr:nvSpPr>
      <xdr:spPr>
        <a:xfrm>
          <a:off x="5625360" y="1644480"/>
          <a:ext cx="444240" cy="444240"/>
        </a:xfrm>
        <a:prstGeom prst="noSmoking">
          <a:avLst>
            <a:gd name="adj" fmla="val 18750"/>
          </a:avLst>
        </a:prstGeom>
        <a:solidFill>
          <a:srgbClr val="ffffff"/>
        </a:solidFill>
        <a:ln w="12700">
          <a:solidFill>
            <a:srgbClr val="ff0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5</xdr:col>
      <xdr:colOff>76320</xdr:colOff>
      <xdr:row>4</xdr:row>
      <xdr:rowOff>225360</xdr:rowOff>
    </xdr:from>
    <xdr:to>
      <xdr:col>5</xdr:col>
      <xdr:colOff>228240</xdr:colOff>
      <xdr:row>4</xdr:row>
      <xdr:rowOff>288360</xdr:rowOff>
    </xdr:to>
    <xdr:sp>
      <xdr:nvSpPr>
        <xdr:cNvPr id="117" name="Minus_6"/>
        <xdr:cNvSpPr/>
      </xdr:nvSpPr>
      <xdr:spPr>
        <a:xfrm>
          <a:off x="6671520" y="1834920"/>
          <a:ext cx="151920" cy="63000"/>
        </a:xfrm>
        <a:prstGeom prst="rect">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5</xdr:col>
      <xdr:colOff>304920</xdr:colOff>
      <xdr:row>4</xdr:row>
      <xdr:rowOff>181080</xdr:rowOff>
    </xdr:from>
    <xdr:to>
      <xdr:col>5</xdr:col>
      <xdr:colOff>456840</xdr:colOff>
      <xdr:row>4</xdr:row>
      <xdr:rowOff>333000</xdr:rowOff>
    </xdr:to>
    <xdr:sp>
      <xdr:nvSpPr>
        <xdr:cNvPr id="118" name="Addus_6"/>
        <xdr:cNvSpPr/>
      </xdr:nvSpPr>
      <xdr:spPr>
        <a:xfrm>
          <a:off x="6900120" y="1790640"/>
          <a:ext cx="151920" cy="151920"/>
        </a:xfrm>
        <a:prstGeom prst="plus">
          <a:avLst>
            <a:gd name="adj" fmla="val 25000"/>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6</xdr:col>
      <xdr:colOff>2254320</xdr:colOff>
      <xdr:row>4</xdr:row>
      <xdr:rowOff>34920</xdr:rowOff>
    </xdr:from>
    <xdr:to>
      <xdr:col>6</xdr:col>
      <xdr:colOff>2698560</xdr:colOff>
      <xdr:row>4</xdr:row>
      <xdr:rowOff>479160</xdr:rowOff>
    </xdr:to>
    <xdr:sp>
      <xdr:nvSpPr>
        <xdr:cNvPr id="119" name="supprImpact_7"/>
        <xdr:cNvSpPr/>
      </xdr:nvSpPr>
      <xdr:spPr>
        <a:xfrm>
          <a:off x="9413280" y="1644480"/>
          <a:ext cx="444240" cy="444240"/>
        </a:xfrm>
        <a:prstGeom prst="noSmoking">
          <a:avLst>
            <a:gd name="adj" fmla="val 18750"/>
          </a:avLst>
        </a:prstGeom>
        <a:solidFill>
          <a:srgbClr val="ffffff"/>
        </a:solidFill>
        <a:ln w="12700">
          <a:solidFill>
            <a:srgbClr val="ff0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8</xdr:col>
      <xdr:colOff>76320</xdr:colOff>
      <xdr:row>4</xdr:row>
      <xdr:rowOff>225360</xdr:rowOff>
    </xdr:from>
    <xdr:to>
      <xdr:col>8</xdr:col>
      <xdr:colOff>228240</xdr:colOff>
      <xdr:row>4</xdr:row>
      <xdr:rowOff>288360</xdr:rowOff>
    </xdr:to>
    <xdr:sp>
      <xdr:nvSpPr>
        <xdr:cNvPr id="120" name="Minus_9"/>
        <xdr:cNvSpPr/>
      </xdr:nvSpPr>
      <xdr:spPr>
        <a:xfrm>
          <a:off x="10467360" y="1834920"/>
          <a:ext cx="151920" cy="63000"/>
        </a:xfrm>
        <a:prstGeom prst="rect">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8</xdr:col>
      <xdr:colOff>304920</xdr:colOff>
      <xdr:row>4</xdr:row>
      <xdr:rowOff>181080</xdr:rowOff>
    </xdr:from>
    <xdr:to>
      <xdr:col>8</xdr:col>
      <xdr:colOff>456840</xdr:colOff>
      <xdr:row>4</xdr:row>
      <xdr:rowOff>333000</xdr:rowOff>
    </xdr:to>
    <xdr:sp>
      <xdr:nvSpPr>
        <xdr:cNvPr id="121" name="Addus_9"/>
        <xdr:cNvSpPr/>
      </xdr:nvSpPr>
      <xdr:spPr>
        <a:xfrm>
          <a:off x="10695960" y="1790640"/>
          <a:ext cx="151920" cy="151920"/>
        </a:xfrm>
        <a:prstGeom prst="plus">
          <a:avLst>
            <a:gd name="adj" fmla="val 25000"/>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9</xdr:col>
      <xdr:colOff>2254320</xdr:colOff>
      <xdr:row>4</xdr:row>
      <xdr:rowOff>34920</xdr:rowOff>
    </xdr:from>
    <xdr:to>
      <xdr:col>9</xdr:col>
      <xdr:colOff>2698560</xdr:colOff>
      <xdr:row>4</xdr:row>
      <xdr:rowOff>479160</xdr:rowOff>
    </xdr:to>
    <xdr:sp>
      <xdr:nvSpPr>
        <xdr:cNvPr id="122" name="supprImpact_10"/>
        <xdr:cNvSpPr/>
      </xdr:nvSpPr>
      <xdr:spPr>
        <a:xfrm>
          <a:off x="13209480" y="1644480"/>
          <a:ext cx="444240" cy="444240"/>
        </a:xfrm>
        <a:prstGeom prst="noSmoking">
          <a:avLst>
            <a:gd name="adj" fmla="val 18750"/>
          </a:avLst>
        </a:prstGeom>
        <a:solidFill>
          <a:srgbClr val="ffffff"/>
        </a:solidFill>
        <a:ln w="12700">
          <a:solidFill>
            <a:srgbClr val="ff0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11</xdr:col>
      <xdr:colOff>76320</xdr:colOff>
      <xdr:row>4</xdr:row>
      <xdr:rowOff>225360</xdr:rowOff>
    </xdr:from>
    <xdr:to>
      <xdr:col>11</xdr:col>
      <xdr:colOff>228240</xdr:colOff>
      <xdr:row>4</xdr:row>
      <xdr:rowOff>288360</xdr:rowOff>
    </xdr:to>
    <xdr:sp>
      <xdr:nvSpPr>
        <xdr:cNvPr id="123" name="Minus_12"/>
        <xdr:cNvSpPr/>
      </xdr:nvSpPr>
      <xdr:spPr>
        <a:xfrm>
          <a:off x="14263560" y="1834920"/>
          <a:ext cx="151920" cy="63000"/>
        </a:xfrm>
        <a:prstGeom prst="rect">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11</xdr:col>
      <xdr:colOff>304920</xdr:colOff>
      <xdr:row>4</xdr:row>
      <xdr:rowOff>181080</xdr:rowOff>
    </xdr:from>
    <xdr:to>
      <xdr:col>11</xdr:col>
      <xdr:colOff>456840</xdr:colOff>
      <xdr:row>4</xdr:row>
      <xdr:rowOff>333000</xdr:rowOff>
    </xdr:to>
    <xdr:sp>
      <xdr:nvSpPr>
        <xdr:cNvPr id="124" name="Addus_12"/>
        <xdr:cNvSpPr/>
      </xdr:nvSpPr>
      <xdr:spPr>
        <a:xfrm>
          <a:off x="14492160" y="1790640"/>
          <a:ext cx="151920" cy="151920"/>
        </a:xfrm>
        <a:prstGeom prst="plus">
          <a:avLst>
            <a:gd name="adj" fmla="val 25000"/>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12</xdr:col>
      <xdr:colOff>2232000</xdr:colOff>
      <xdr:row>4</xdr:row>
      <xdr:rowOff>34920</xdr:rowOff>
    </xdr:from>
    <xdr:to>
      <xdr:col>12</xdr:col>
      <xdr:colOff>2676240</xdr:colOff>
      <xdr:row>4</xdr:row>
      <xdr:rowOff>479160</xdr:rowOff>
    </xdr:to>
    <xdr:sp>
      <xdr:nvSpPr>
        <xdr:cNvPr id="125" name="supprImpact_13"/>
        <xdr:cNvSpPr/>
      </xdr:nvSpPr>
      <xdr:spPr>
        <a:xfrm>
          <a:off x="16983000" y="1644480"/>
          <a:ext cx="444240" cy="444240"/>
        </a:xfrm>
        <a:prstGeom prst="noSmoking">
          <a:avLst>
            <a:gd name="adj" fmla="val 18750"/>
          </a:avLst>
        </a:prstGeom>
        <a:solidFill>
          <a:srgbClr val="ffffff"/>
        </a:solidFill>
        <a:ln w="12700">
          <a:solidFill>
            <a:srgbClr val="ff000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twoCell">
    <xdr:from>
      <xdr:col>0</xdr:col>
      <xdr:colOff>0</xdr:colOff>
      <xdr:row>40</xdr:row>
      <xdr:rowOff>0</xdr:rowOff>
    </xdr:from>
    <xdr:to>
      <xdr:col>0</xdr:col>
      <xdr:colOff>2033640</xdr:colOff>
      <xdr:row>49</xdr:row>
      <xdr:rowOff>190080</xdr:rowOff>
    </xdr:to>
    <xdr:sp>
      <xdr:nvSpPr>
        <xdr:cNvPr id="126" name="Rectangle 32"/>
        <xdr:cNvSpPr/>
      </xdr:nvSpPr>
      <xdr:spPr>
        <a:xfrm>
          <a:off x="0" y="8791560"/>
          <a:ext cx="2033640" cy="1904760"/>
        </a:xfrm>
        <a:prstGeom prst="rect">
          <a:avLst/>
        </a:prstGeom>
        <a:solidFill>
          <a:srgbClr val="4f81bd">
            <a:alpha val="10000"/>
          </a:srgbClr>
        </a:solidFill>
        <a:ln w="6350">
          <a:solidFill>
            <a:srgbClr val="000000"/>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fr-FR" sz="2000" spc="-1" strike="noStrike" cap="small">
              <a:solidFill>
                <a:srgbClr val="00b0f0"/>
              </a:solidFill>
              <a:latin typeface="Calibri"/>
            </a:rPr>
            <a:t>Réponses au risque</a:t>
          </a:r>
          <a:endParaRPr b="0" lang="fr-FR" sz="2000" spc="-1" strike="noStrike">
            <a:latin typeface="Times New Roman"/>
          </a:endParaRPr>
        </a:p>
      </xdr:txBody>
    </xdr:sp>
    <xdr:clientData/>
  </xdr:twoCellAnchor>
  <xdr:twoCellAnchor editAs="twoCell">
    <xdr:from>
      <xdr:col>0</xdr:col>
      <xdr:colOff>0</xdr:colOff>
      <xdr:row>53</xdr:row>
      <xdr:rowOff>0</xdr:rowOff>
    </xdr:from>
    <xdr:to>
      <xdr:col>0</xdr:col>
      <xdr:colOff>2033640</xdr:colOff>
      <xdr:row>62</xdr:row>
      <xdr:rowOff>190080</xdr:rowOff>
    </xdr:to>
    <xdr:sp>
      <xdr:nvSpPr>
        <xdr:cNvPr id="127" name="Rectangle 35"/>
        <xdr:cNvSpPr/>
      </xdr:nvSpPr>
      <xdr:spPr>
        <a:xfrm>
          <a:off x="0" y="11268000"/>
          <a:ext cx="2033640" cy="1904760"/>
        </a:xfrm>
        <a:prstGeom prst="rect">
          <a:avLst/>
        </a:prstGeom>
        <a:solidFill>
          <a:srgbClr val="4f81bd">
            <a:alpha val="10000"/>
          </a:srgbClr>
        </a:solidFill>
        <a:ln w="6350">
          <a:solidFill>
            <a:srgbClr val="000000"/>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a:lnSpc>
              <a:spcPct val="100000"/>
            </a:lnSpc>
          </a:pPr>
          <a:r>
            <a:rPr b="0" lang="fr-FR" sz="2000" spc="-1" strike="noStrike" cap="small">
              <a:solidFill>
                <a:srgbClr val="00b0f0"/>
              </a:solidFill>
              <a:latin typeface="Calibri"/>
            </a:rPr>
            <a:t>État de la Réponse au risque</a:t>
          </a:r>
          <a:endParaRPr b="0" lang="fr-FR" sz="2000" spc="-1" strike="noStrike">
            <a:latin typeface="Times New Roman"/>
          </a:endParaRPr>
        </a:p>
      </xdr:txBody>
    </xdr:sp>
    <xdr:clientData/>
  </xdr:twoCellAnchor>
  <xdr:twoCellAnchor editAs="twoCell">
    <xdr:from>
      <xdr:col>8</xdr:col>
      <xdr:colOff>0</xdr:colOff>
      <xdr:row>14</xdr:row>
      <xdr:rowOff>0</xdr:rowOff>
    </xdr:from>
    <xdr:to>
      <xdr:col>12</xdr:col>
      <xdr:colOff>3000240</xdr:colOff>
      <xdr:row>15</xdr:row>
      <xdr:rowOff>190080</xdr:rowOff>
    </xdr:to>
    <xdr:sp>
      <xdr:nvSpPr>
        <xdr:cNvPr id="128" name="Rectangle 33"/>
        <xdr:cNvSpPr/>
      </xdr:nvSpPr>
      <xdr:spPr>
        <a:xfrm>
          <a:off x="10391040" y="3838680"/>
          <a:ext cx="7360200" cy="380520"/>
        </a:xfrm>
        <a:prstGeom prst="rect">
          <a:avLst/>
        </a:prstGeom>
        <a:solidFill>
          <a:srgbClr val="4f81bd">
            <a:alpha val="10000"/>
          </a:srgbClr>
        </a:solidFill>
        <a:ln w="6350">
          <a:solidFill>
            <a:srgbClr val="000000"/>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rIns="90000" tIns="45000" bIns="45000" anchor="ctr">
          <a:noAutofit/>
        </a:bodyPr>
        <a:p>
          <a:pPr algn="ctr" defTabSz="914400">
            <a:lnSpc>
              <a:spcPct val="100000"/>
            </a:lnSpc>
            <a:tabLst>
              <a:tab algn="l" pos="0"/>
            </a:tabLst>
          </a:pPr>
          <a:r>
            <a:rPr b="0" lang="fr-FR" sz="2000" spc="-1" strike="noStrike" cap="small">
              <a:solidFill>
                <a:srgbClr val="00b0f0"/>
              </a:solidFill>
              <a:latin typeface="Calibri"/>
            </a:rPr>
            <a:t>Evaluation des Risques </a:t>
          </a:r>
          <a:r>
            <a:rPr b="0" lang="fr-FR" sz="1600" spc="-1" strike="noStrike" cap="small">
              <a:solidFill>
                <a:srgbClr val="00b0f0"/>
              </a:solidFill>
              <a:latin typeface="Calibri"/>
            </a:rPr>
            <a:t>( Impact*frequence=Criticité </a:t>
          </a:r>
          <a:r>
            <a:rPr b="0" lang="fr-FR" sz="2000" spc="-1" strike="noStrike" cap="small">
              <a:solidFill>
                <a:srgbClr val="00b0f0"/>
              </a:solidFill>
              <a:latin typeface="Calibri"/>
            </a:rPr>
            <a:t>)</a:t>
          </a:r>
          <a:endParaRPr b="0" lang="fr-FR" sz="2000" spc="-1" strike="noStrike">
            <a:latin typeface="Times New Roman"/>
          </a:endParaRPr>
        </a:p>
      </xdr:txBody>
    </xdr:sp>
    <xdr:clientData/>
  </xdr:twoCellAnchor>
  <xdr:twoCellAnchor editAs="twoCell">
    <xdr:from>
      <xdr:col>2</xdr:col>
      <xdr:colOff>0</xdr:colOff>
      <xdr:row>14</xdr:row>
      <xdr:rowOff>146880</xdr:rowOff>
    </xdr:from>
    <xdr:to>
      <xdr:col>3</xdr:col>
      <xdr:colOff>1064160</xdr:colOff>
      <xdr:row>15</xdr:row>
      <xdr:rowOff>172080</xdr:rowOff>
    </xdr:to>
    <xdr:sp>
      <xdr:nvSpPr>
        <xdr:cNvPr id="129" name="TextBox 37"/>
        <xdr:cNvSpPr/>
      </xdr:nvSpPr>
      <xdr:spPr>
        <a:xfrm>
          <a:off x="2396520" y="3985560"/>
          <a:ext cx="2030760" cy="215640"/>
        </a:xfrm>
        <a:prstGeom prst="rect">
          <a:avLst/>
        </a:prstGeom>
        <a:noFill/>
        <a:ln w="9525">
          <a:noFill/>
        </a:ln>
      </xdr:spPr>
      <xdr:style>
        <a:lnRef idx="0"/>
        <a:fillRef idx="0"/>
        <a:effectRef idx="0"/>
        <a:fontRef idx="minor"/>
      </xdr:style>
      <xdr:txBody>
        <a:bodyPr horzOverflow="clip" vertOverflow="clip" lIns="90000" rIns="90000" tIns="0" bIns="0" anchor="t">
          <a:noAutofit/>
        </a:bodyPr>
        <a:p>
          <a:pPr>
            <a:lnSpc>
              <a:spcPct val="100000"/>
            </a:lnSpc>
          </a:pPr>
          <a:r>
            <a:rPr b="0" lang="fr-FR" sz="1200" spc="-1" strike="noStrike" u="sng">
              <a:solidFill>
                <a:srgbClr val="00b0f0"/>
              </a:solidFill>
              <a:uFillTx/>
              <a:latin typeface="Calibri"/>
            </a:rPr>
            <a:t>Ajouter une fréquence</a:t>
          </a:r>
          <a:endParaRPr b="0" lang="fr-FR" sz="1200" spc="-1" strike="noStrike">
            <a:latin typeface="Times New Roman"/>
          </a:endParaRPr>
        </a:p>
      </xdr:txBody>
    </xdr:sp>
    <xdr:clientData/>
  </xdr:twoCellAnchor>
  <xdr:twoCellAnchor editAs="twoCell">
    <xdr:from>
      <xdr:col>3</xdr:col>
      <xdr:colOff>1232640</xdr:colOff>
      <xdr:row>14</xdr:row>
      <xdr:rowOff>146880</xdr:rowOff>
    </xdr:from>
    <xdr:to>
      <xdr:col>5</xdr:col>
      <xdr:colOff>168120</xdr:colOff>
      <xdr:row>15</xdr:row>
      <xdr:rowOff>172080</xdr:rowOff>
    </xdr:to>
    <xdr:sp>
      <xdr:nvSpPr>
        <xdr:cNvPr id="130" name="TextBox 38"/>
        <xdr:cNvSpPr/>
      </xdr:nvSpPr>
      <xdr:spPr>
        <a:xfrm>
          <a:off x="4595760" y="3985560"/>
          <a:ext cx="2167560" cy="215640"/>
        </a:xfrm>
        <a:prstGeom prst="rect">
          <a:avLst/>
        </a:prstGeom>
        <a:noFill/>
        <a:ln w="9525">
          <a:noFill/>
        </a:ln>
      </xdr:spPr>
      <xdr:style>
        <a:lnRef idx="0"/>
        <a:fillRef idx="0"/>
        <a:effectRef idx="0"/>
        <a:fontRef idx="minor"/>
      </xdr:style>
      <xdr:txBody>
        <a:bodyPr horzOverflow="clip" vertOverflow="clip" lIns="90000" rIns="90000" tIns="0" bIns="0" anchor="t">
          <a:noAutofit/>
        </a:bodyPr>
        <a:p>
          <a:pPr>
            <a:lnSpc>
              <a:spcPct val="100000"/>
            </a:lnSpc>
          </a:pPr>
          <a:r>
            <a:rPr b="0" lang="fr-FR" sz="1200" spc="-1" strike="noStrike" u="sng">
              <a:solidFill>
                <a:srgbClr val="c00000"/>
              </a:solidFill>
              <a:uFillTx/>
              <a:latin typeface="Calibri"/>
            </a:rPr>
            <a:t>Supprimer une fréquence</a:t>
          </a:r>
          <a:endParaRPr b="0" lang="fr-FR" sz="1200" spc="-1" strike="noStrike">
            <a:latin typeface="Times New Roman"/>
          </a:endParaRPr>
        </a:p>
      </xdr:txBody>
    </xdr:sp>
    <xdr:clientData/>
  </xdr:twoCellAnchor>
  <xdr:twoCellAnchor editAs="twoCell">
    <xdr:from>
      <xdr:col>1</xdr:col>
      <xdr:colOff>347400</xdr:colOff>
      <xdr:row>26</xdr:row>
      <xdr:rowOff>158040</xdr:rowOff>
    </xdr:from>
    <xdr:to>
      <xdr:col>3</xdr:col>
      <xdr:colOff>1265760</xdr:colOff>
      <xdr:row>27</xdr:row>
      <xdr:rowOff>183240</xdr:rowOff>
    </xdr:to>
    <xdr:sp>
      <xdr:nvSpPr>
        <xdr:cNvPr id="131" name="TextBox 39"/>
        <xdr:cNvSpPr/>
      </xdr:nvSpPr>
      <xdr:spPr>
        <a:xfrm>
          <a:off x="2381400" y="6282720"/>
          <a:ext cx="2247480" cy="215640"/>
        </a:xfrm>
        <a:prstGeom prst="rect">
          <a:avLst/>
        </a:prstGeom>
        <a:noFill/>
        <a:ln w="9525">
          <a:noFill/>
        </a:ln>
      </xdr:spPr>
      <xdr:style>
        <a:lnRef idx="0"/>
        <a:fillRef idx="0"/>
        <a:effectRef idx="0"/>
        <a:fontRef idx="minor"/>
      </xdr:style>
      <xdr:txBody>
        <a:bodyPr horzOverflow="clip" vertOverflow="clip" lIns="90000" rIns="90000" tIns="0" bIns="0" anchor="t">
          <a:noAutofit/>
        </a:bodyPr>
        <a:p>
          <a:pPr>
            <a:lnSpc>
              <a:spcPct val="100000"/>
            </a:lnSpc>
          </a:pPr>
          <a:r>
            <a:rPr b="0" lang="fr-FR" sz="1200" spc="-1" strike="noStrike" u="sng">
              <a:solidFill>
                <a:srgbClr val="00b0f0"/>
              </a:solidFill>
              <a:uFillTx/>
              <a:latin typeface="Calibri"/>
            </a:rPr>
            <a:t>Ajouter un code d'impact</a:t>
          </a:r>
          <a:endParaRPr b="0" lang="fr-FR" sz="1200" spc="-1" strike="noStrike">
            <a:latin typeface="Times New Roman"/>
          </a:endParaRPr>
        </a:p>
      </xdr:txBody>
    </xdr:sp>
    <xdr:clientData/>
  </xdr:twoCellAnchor>
  <xdr:twoCellAnchor editAs="twoCell">
    <xdr:from>
      <xdr:col>3</xdr:col>
      <xdr:colOff>1232640</xdr:colOff>
      <xdr:row>26</xdr:row>
      <xdr:rowOff>158040</xdr:rowOff>
    </xdr:from>
    <xdr:to>
      <xdr:col>5</xdr:col>
      <xdr:colOff>168120</xdr:colOff>
      <xdr:row>27</xdr:row>
      <xdr:rowOff>183240</xdr:rowOff>
    </xdr:to>
    <xdr:sp>
      <xdr:nvSpPr>
        <xdr:cNvPr id="132" name="TextBox 40"/>
        <xdr:cNvSpPr/>
      </xdr:nvSpPr>
      <xdr:spPr>
        <a:xfrm>
          <a:off x="4595760" y="6282720"/>
          <a:ext cx="2167560" cy="215640"/>
        </a:xfrm>
        <a:prstGeom prst="rect">
          <a:avLst/>
        </a:prstGeom>
        <a:noFill/>
        <a:ln w="9525">
          <a:noFill/>
        </a:ln>
      </xdr:spPr>
      <xdr:style>
        <a:lnRef idx="0"/>
        <a:fillRef idx="0"/>
        <a:effectRef idx="0"/>
        <a:fontRef idx="minor"/>
      </xdr:style>
      <xdr:txBody>
        <a:bodyPr horzOverflow="clip" vertOverflow="clip" lIns="90000" rIns="90000" tIns="0" bIns="0" anchor="t">
          <a:noAutofit/>
        </a:bodyPr>
        <a:p>
          <a:pPr>
            <a:lnSpc>
              <a:spcPct val="100000"/>
            </a:lnSpc>
          </a:pPr>
          <a:r>
            <a:rPr b="0" lang="fr-FR" sz="1200" spc="-1" strike="noStrike" u="sng">
              <a:solidFill>
                <a:srgbClr val="c00000"/>
              </a:solidFill>
              <a:uFillTx/>
              <a:latin typeface="Calibri"/>
            </a:rPr>
            <a:t>Supprimer un code d'impact</a:t>
          </a:r>
          <a:endParaRPr b="0" lang="fr-FR" sz="1200" spc="-1" strike="noStrike">
            <a:latin typeface="Times New Roman"/>
          </a:endParaRPr>
        </a:p>
      </xdr:txBody>
    </xdr:sp>
    <xdr:clientData/>
  </xdr:twoCellAnchor>
  <xdr:twoCellAnchor editAs="oneCell">
    <xdr:from>
      <xdr:col>5</xdr:col>
      <xdr:colOff>0</xdr:colOff>
      <xdr:row>42</xdr:row>
      <xdr:rowOff>127800</xdr:rowOff>
    </xdr:from>
    <xdr:to>
      <xdr:col>5</xdr:col>
      <xdr:colOff>464040</xdr:colOff>
      <xdr:row>43</xdr:row>
      <xdr:rowOff>112320</xdr:rowOff>
    </xdr:to>
    <xdr:sp>
      <xdr:nvSpPr>
        <xdr:cNvPr id="133" name="minusReponse"/>
        <xdr:cNvSpPr/>
      </xdr:nvSpPr>
      <xdr:spPr>
        <a:xfrm>
          <a:off x="6595200" y="9300240"/>
          <a:ext cx="464040" cy="175320"/>
        </a:xfrm>
        <a:prstGeom prst="rect">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5</xdr:col>
      <xdr:colOff>8280</xdr:colOff>
      <xdr:row>39</xdr:row>
      <xdr:rowOff>156960</xdr:rowOff>
    </xdr:from>
    <xdr:to>
      <xdr:col>5</xdr:col>
      <xdr:colOff>442440</xdr:colOff>
      <xdr:row>42</xdr:row>
      <xdr:rowOff>6120</xdr:rowOff>
    </xdr:to>
    <xdr:sp>
      <xdr:nvSpPr>
        <xdr:cNvPr id="134" name="addReponse"/>
        <xdr:cNvSpPr/>
      </xdr:nvSpPr>
      <xdr:spPr>
        <a:xfrm>
          <a:off x="6603480" y="8758080"/>
          <a:ext cx="434160" cy="420480"/>
        </a:xfrm>
        <a:prstGeom prst="plus">
          <a:avLst>
            <a:gd name="adj" fmla="val 25000"/>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5</xdr:col>
      <xdr:colOff>0</xdr:colOff>
      <xdr:row>56</xdr:row>
      <xdr:rowOff>27000</xdr:rowOff>
    </xdr:from>
    <xdr:to>
      <xdr:col>5</xdr:col>
      <xdr:colOff>464040</xdr:colOff>
      <xdr:row>57</xdr:row>
      <xdr:rowOff>11520</xdr:rowOff>
    </xdr:to>
    <xdr:sp>
      <xdr:nvSpPr>
        <xdr:cNvPr id="135" name="minusReponseRisque"/>
        <xdr:cNvSpPr/>
      </xdr:nvSpPr>
      <xdr:spPr>
        <a:xfrm>
          <a:off x="6595200" y="11866680"/>
          <a:ext cx="464040" cy="174960"/>
        </a:xfrm>
        <a:prstGeom prst="rect">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5</xdr:col>
      <xdr:colOff>8280</xdr:colOff>
      <xdr:row>53</xdr:row>
      <xdr:rowOff>56160</xdr:rowOff>
    </xdr:from>
    <xdr:to>
      <xdr:col>5</xdr:col>
      <xdr:colOff>442440</xdr:colOff>
      <xdr:row>55</xdr:row>
      <xdr:rowOff>95760</xdr:rowOff>
    </xdr:to>
    <xdr:sp>
      <xdr:nvSpPr>
        <xdr:cNvPr id="136" name="addReponseRisque"/>
        <xdr:cNvSpPr/>
      </xdr:nvSpPr>
      <xdr:spPr>
        <a:xfrm>
          <a:off x="6603480" y="11324160"/>
          <a:ext cx="434160" cy="420840"/>
        </a:xfrm>
        <a:prstGeom prst="plus">
          <a:avLst>
            <a:gd name="adj" fmla="val 25000"/>
          </a:avLst>
        </a:prstGeom>
        <a:solidFill>
          <a:srgbClr val="ffffff"/>
        </a:solidFill>
        <a:ln w="12700">
          <a:solidFill>
            <a:srgbClr val="002060"/>
          </a:solidFill>
          <a:round/>
        </a:ln>
      </xdr:spPr>
      <xdr:style>
        <a:lnRef idx="2">
          <a:schemeClr val="accent1">
            <a:shade val="50000"/>
          </a:schemeClr>
        </a:lnRef>
        <a:fillRef idx="1">
          <a:schemeClr val="accent1"/>
        </a:fillRef>
        <a:effectRef idx="0">
          <a:schemeClr val="accent1"/>
        </a:effectRef>
        <a:fontRef idx="minor"/>
      </xdr:style>
    </xdr:sp>
    <xdr:clientData/>
  </xdr:twoCellAnchor>
</xdr:wsDr>
</file>

<file path=xl/theme/theme1.xml><?xml version="1.0" encoding="utf-8"?>
<a:theme xmlns:a="http://schemas.openxmlformats.org/drawingml/2006/main" xmlns:r="http://schemas.openxmlformats.org/officeDocument/2006/relationships" name="Thèm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s3.xml"/><Relationship Id="rId4" Type="http://schemas.openxmlformats.org/officeDocument/2006/relationships/ctrlProp" Target="../ctrlProps/ctrlProps4.xml"/><Relationship Id="rId5" Type="http://schemas.openxmlformats.org/officeDocument/2006/relationships/ctrlProp" Target="../ctrlProps/ctrlProps5.xml"/><Relationship Id="rId6" Type="http://schemas.openxmlformats.org/officeDocument/2006/relationships/ctrlProp" Target="../ctrlProps/ctrlProps6.xml"/><Relationship Id="rId7" Type="http://schemas.openxmlformats.org/officeDocument/2006/relationships/ctrlProp" Target="../ctrlProps/ctrlProps7.xml"/><Relationship Id="rId8" Type="http://schemas.openxmlformats.org/officeDocument/2006/relationships/ctrlProp" Target="../ctrlProps/ctrlProps8.xml"/><Relationship Id="rId9" Type="http://schemas.openxmlformats.org/officeDocument/2006/relationships/ctrlProp" Target="../ctrlProps/ctrlProps9.xml"/><Relationship Id="rId10" Type="http://schemas.openxmlformats.org/officeDocument/2006/relationships/ctrlProp" Target="../ctrlProps/ctrlProps10.xml"/><Relationship Id="rId11" Type="http://schemas.openxmlformats.org/officeDocument/2006/relationships/ctrlProp" Target="../ctrlProps/ctrlProps11.xml"/><Relationship Id="rId12" Type="http://schemas.openxmlformats.org/officeDocument/2006/relationships/ctrlProp" Target="../ctrlProps/ctrlProps12.xml"/><Relationship Id="rId13" Type="http://schemas.openxmlformats.org/officeDocument/2006/relationships/ctrlProp" Target="../ctrlProps/ctrlProps13.xml"/><Relationship Id="rId14" Type="http://schemas.openxmlformats.org/officeDocument/2006/relationships/ctrlProp" Target="../ctrlProps/ctrlProps14.xml"/><Relationship Id="rId15" Type="http://schemas.openxmlformats.org/officeDocument/2006/relationships/ctrlProp" Target="../ctrlProps/ctrlProps15.xml"/><Relationship Id="rId16" Type="http://schemas.openxmlformats.org/officeDocument/2006/relationships/ctrlProp" Target="../ctrlProps/ctrlProps16.xml"/><Relationship Id="rId17" Type="http://schemas.openxmlformats.org/officeDocument/2006/relationships/ctrlProp" Target="../ctrlProps/ctrlProps17.xml"/><Relationship Id="rId18" Type="http://schemas.openxmlformats.org/officeDocument/2006/relationships/ctrlProp" Target="../ctrlProps/ctrlProps18.xml"/><Relationship Id="rId19" Type="http://schemas.openxmlformats.org/officeDocument/2006/relationships/ctrlProp" Target="../ctrlProps/ctrlProps19.xml"/><Relationship Id="rId20" Type="http://schemas.openxmlformats.org/officeDocument/2006/relationships/ctrlProp" Target="../ctrlProps/ctrlProps20.xml"/><Relationship Id="rId21" Type="http://schemas.openxmlformats.org/officeDocument/2006/relationships/ctrlProp" Target="../ctrlProps/ctrlProps21.xml"/><Relationship Id="rId22" Type="http://schemas.openxmlformats.org/officeDocument/2006/relationships/ctrlProp" Target="../ctrlProps/ctrlProps22.xml"/><Relationship Id="rId23" Type="http://schemas.openxmlformats.org/officeDocument/2006/relationships/ctrlProp" Target="../ctrlProps/ctrlProps23.xml"/><Relationship Id="rId24" Type="http://schemas.openxmlformats.org/officeDocument/2006/relationships/ctrlProp" Target="../ctrlProps/ctrlProps24.xml"/><Relationship Id="rId25" Type="http://schemas.openxmlformats.org/officeDocument/2006/relationships/ctrlProp" Target="../ctrlProps/ctrlProps25.xml"/><Relationship Id="rId26" Type="http://schemas.openxmlformats.org/officeDocument/2006/relationships/ctrlProp" Target="../ctrlProps/ctrlProps26.xml"/><Relationship Id="rId27" Type="http://schemas.openxmlformats.org/officeDocument/2006/relationships/ctrlProp" Target="../ctrlProps/ctrlProps27.xml"/><Relationship Id="rId28" Type="http://schemas.openxmlformats.org/officeDocument/2006/relationships/ctrlProp" Target="../ctrlProps/ctrlProps28.xml"/><Relationship Id="rId29" Type="http://schemas.openxmlformats.org/officeDocument/2006/relationships/ctrlProp" Target="../ctrlProps/ctrlProps29.xml"/><Relationship Id="rId30" Type="http://schemas.openxmlformats.org/officeDocument/2006/relationships/ctrlProp" Target="../ctrlProps/ctrlProps30.xml"/><Relationship Id="rId31" Type="http://schemas.openxmlformats.org/officeDocument/2006/relationships/ctrlProp" Target="../ctrlProps/ctrlProps31.xml"/><Relationship Id="rId32" Type="http://schemas.openxmlformats.org/officeDocument/2006/relationships/ctrlProp" Target="../ctrlProps/ctrlProps32.xml"/><Relationship Id="rId33" Type="http://schemas.openxmlformats.org/officeDocument/2006/relationships/ctrlProp" Target="../ctrlProps/ctrlProps33.xml"/><Relationship Id="rId34" Type="http://schemas.openxmlformats.org/officeDocument/2006/relationships/ctrlProp" Target="../ctrlProps/ctrlProps34.xml"/><Relationship Id="rId35" Type="http://schemas.openxmlformats.org/officeDocument/2006/relationships/ctrlProp" Target="../ctrlProps/ctrlProps35.xml"/><Relationship Id="rId36" Type="http://schemas.openxmlformats.org/officeDocument/2006/relationships/ctrlProp" Target="../ctrlProps/ctrlProps36.xml"/><Relationship Id="rId37" Type="http://schemas.openxmlformats.org/officeDocument/2006/relationships/ctrlProp" Target="../ctrlProps/ctrlProps37.xml"/><Relationship Id="rId38" Type="http://schemas.openxmlformats.org/officeDocument/2006/relationships/ctrlProp" Target="../ctrlProps/ctrlProps38.xml"/><Relationship Id="rId39" Type="http://schemas.openxmlformats.org/officeDocument/2006/relationships/ctrlProp" Target="../ctrlProps/ctrlProps39.xml"/><Relationship Id="rId40" Type="http://schemas.openxmlformats.org/officeDocument/2006/relationships/ctrlProp" Target="../ctrlProps/ctrlProps40.xml"/><Relationship Id="rId41" Type="http://schemas.openxmlformats.org/officeDocument/2006/relationships/ctrlProp" Target="../ctrlProps/ctrlProps41.xml"/><Relationship Id="rId42" Type="http://schemas.openxmlformats.org/officeDocument/2006/relationships/ctrlProp" Target="../ctrlProps/ctrlProps42.xml"/><Relationship Id="rId43" Type="http://schemas.openxmlformats.org/officeDocument/2006/relationships/ctrlProp" Target="../ctrlProps/ctrlProps43.xml"/><Relationship Id="rId44" Type="http://schemas.openxmlformats.org/officeDocument/2006/relationships/ctrlProp" Target="../ctrlProps/ctrlProps44.xml"/><Relationship Id="rId45" Type="http://schemas.openxmlformats.org/officeDocument/2006/relationships/ctrlProp" Target="../ctrlProps/ctrlProps45.xml"/><Relationship Id="rId46" Type="http://schemas.openxmlformats.org/officeDocument/2006/relationships/ctrlProp" Target="../ctrlProps/ctrlProps46.xml"/><Relationship Id="rId47" Type="http://schemas.openxmlformats.org/officeDocument/2006/relationships/ctrlProp" Target="../ctrlProps/ctrlProps47.xml"/><Relationship Id="rId48" Type="http://schemas.openxmlformats.org/officeDocument/2006/relationships/ctrlProp" Target="../ctrlProps/ctrlProps48.xml"/><Relationship Id="rId49" Type="http://schemas.openxmlformats.org/officeDocument/2006/relationships/ctrlProp" Target="../ctrlProps/ctrlProps49.xml"/><Relationship Id="rId50" Type="http://schemas.openxmlformats.org/officeDocument/2006/relationships/ctrlProp" Target="../ctrlProps/ctrlProps50.xml"/><Relationship Id="rId51" Type="http://schemas.openxmlformats.org/officeDocument/2006/relationships/ctrlProp" Target="../ctrlProps/ctrlProps51.xml"/><Relationship Id="rId52" Type="http://schemas.openxmlformats.org/officeDocument/2006/relationships/ctrlProp" Target="../ctrlProps/ctrlProps52.xml"/><Relationship Id="rId53" Type="http://schemas.openxmlformats.org/officeDocument/2006/relationships/ctrlProp" Target="../ctrlProps/ctrlProps53.xml"/><Relationship Id="rId54" Type="http://schemas.openxmlformats.org/officeDocument/2006/relationships/ctrlProp" Target="../ctrlProps/ctrlProps54.xml"/><Relationship Id="rId55" Type="http://schemas.openxmlformats.org/officeDocument/2006/relationships/ctrlProp" Target="../ctrlProps/ctrlProps55.xml"/><Relationship Id="rId56" Type="http://schemas.openxmlformats.org/officeDocument/2006/relationships/ctrlProp" Target="../ctrlProps/ctrlProps56.xml"/><Relationship Id="rId57" Type="http://schemas.openxmlformats.org/officeDocument/2006/relationships/ctrlProp" Target="../ctrlProps/ctrlProps57.xml"/><Relationship Id="rId58" Type="http://schemas.openxmlformats.org/officeDocument/2006/relationships/ctrlProp" Target="../ctrlProps/ctrlProps58.xml"/><Relationship Id="rId59" Type="http://schemas.openxmlformats.org/officeDocument/2006/relationships/ctrlProp" Target="../ctrlProps/ctrlProps59.xml"/><Relationship Id="rId60" Type="http://schemas.openxmlformats.org/officeDocument/2006/relationships/ctrlProp" Target="../ctrlProps/ctrlProps60.xml"/>
</Relationships>
</file>

<file path=xl/worksheets/_rels/sheet3.xml.rels><?xml version="1.0" encoding="UTF-8"?>
<Relationships xmlns="http://schemas.openxmlformats.org/package/2006/relationships"><Relationship Id="rId1" Type="http://schemas.openxmlformats.org/officeDocument/2006/relationships/drawing" Target="../drawings/drawing61.xml"/>
</Relationships>
</file>

<file path=xl/worksheets/_rels/sheet4.xml.rels><?xml version="1.0" encoding="UTF-8"?>
<Relationships xmlns="http://schemas.openxmlformats.org/package/2006/relationships"><Relationship Id="rId1" Type="http://schemas.openxmlformats.org/officeDocument/2006/relationships/drawing" Target="../drawings/drawing6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62BD8A"/>
    <pageSetUpPr fitToPage="false"/>
  </sheetPr>
  <dimension ref="B1:O2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484375" defaultRowHeight="15" zeroHeight="false" outlineLevelRow="0" outlineLevelCol="0"/>
  <cols>
    <col collapsed="false" customWidth="false" hidden="false" outlineLevel="0" max="14" min="1" style="1" width="9.14"/>
    <col collapsed="false" customWidth="true" hidden="false" outlineLevel="0" max="15" min="15" style="2" width="18.14"/>
    <col collapsed="false" customWidth="false" hidden="false" outlineLevel="0" max="16384" min="16" style="1" width="9.14"/>
  </cols>
  <sheetData>
    <row r="1" customFormat="false" ht="6.75" hidden="false" customHeight="true" outlineLevel="0" collapsed="false"/>
    <row r="2" customFormat="false" ht="15" hidden="false" customHeight="false" outlineLevel="0" collapsed="false">
      <c r="L2" s="3" t="s">
        <v>0</v>
      </c>
      <c r="M2" s="3"/>
      <c r="N2" s="3"/>
      <c r="O2" s="3"/>
    </row>
    <row r="3" customFormat="false" ht="15" hidden="false" customHeight="false" outlineLevel="0" collapsed="false">
      <c r="L3" s="3" t="s">
        <v>1</v>
      </c>
      <c r="M3" s="3"/>
      <c r="N3" s="3"/>
      <c r="O3" s="4" t="n">
        <v>44826</v>
      </c>
    </row>
    <row r="4" customFormat="false" ht="15" hidden="false" customHeight="false" outlineLevel="0" collapsed="false">
      <c r="L4" s="3" t="s">
        <v>2</v>
      </c>
      <c r="M4" s="3"/>
      <c r="N4" s="3"/>
      <c r="O4" s="4" t="n">
        <v>44839</v>
      </c>
    </row>
    <row r="25" customFormat="false" ht="15" hidden="false" customHeight="false" outlineLevel="0" collapsed="false">
      <c r="B25" s="5"/>
    </row>
  </sheetData>
  <mergeCells count="3">
    <mergeCell ref="L2:O2"/>
    <mergeCell ref="L3:N3"/>
    <mergeCell ref="L4:N4"/>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62BD8A"/>
    <pageSetUpPr fitToPage="true"/>
  </sheetPr>
  <dimension ref="A6:AH43"/>
  <sheetViews>
    <sheetView showFormulas="false" showGridLines="true" showRowColHeaders="true" showZeros="true" rightToLeft="false" tabSelected="true" showOutlineSymbols="true" defaultGridColor="true" view="normal" topLeftCell="C1" colorId="64" zoomScale="85" zoomScaleNormal="85" zoomScalePageLayoutView="100" workbookViewId="0">
      <selection pane="topLeft" activeCell="E13" activeCellId="0" sqref="E13"/>
    </sheetView>
  </sheetViews>
  <sheetFormatPr defaultColWidth="11.42578125" defaultRowHeight="15" zeroHeight="false" outlineLevelRow="0" outlineLevelCol="1"/>
  <cols>
    <col collapsed="false" customWidth="true" hidden="false" outlineLevel="0" max="1" min="1" style="6" width="2.15"/>
    <col collapsed="false" customWidth="true" hidden="false" outlineLevel="0" max="2" min="2" style="6" width="2.42"/>
    <col collapsed="false" customWidth="true" hidden="false" outlineLevel="0" max="3" min="3" style="6" width="20.14"/>
    <col collapsed="false" customWidth="true" hidden="false" outlineLevel="0" max="4" min="4" style="6" width="37"/>
    <col collapsed="false" customWidth="true" hidden="false" outlineLevel="1" max="5" min="5" style="6" width="16.14"/>
    <col collapsed="false" customWidth="false" hidden="false" outlineLevel="0" max="6" min="6" style="6" width="11.43"/>
    <col collapsed="false" customWidth="true" hidden="false" outlineLevel="1" max="7" min="7" style="6" width="16.14"/>
    <col collapsed="false" customWidth="false" hidden="false" outlineLevel="0" max="8" min="8" style="6" width="11.43"/>
    <col collapsed="false" customWidth="true" hidden="false" outlineLevel="1" max="9" min="9" style="6" width="16.14"/>
    <col collapsed="false" customWidth="false" hidden="false" outlineLevel="0" max="10" min="10" style="6" width="11.43"/>
    <col collapsed="false" customWidth="true" hidden="false" outlineLevel="1" max="11" min="11" style="6" width="16.14"/>
    <col collapsed="false" customWidth="false" hidden="false" outlineLevel="0" max="12" min="12" style="6" width="11.43"/>
    <col collapsed="false" customWidth="true" hidden="false" outlineLevel="0" max="13" min="13" style="6" width="9.71"/>
    <col collapsed="false" customWidth="true" hidden="false" outlineLevel="0" max="14" min="14" style="6" width="10.42"/>
    <col collapsed="false" customWidth="true" hidden="false" outlineLevel="0" max="15" min="15" style="6" width="12.29"/>
    <col collapsed="false" customWidth="true" hidden="false" outlineLevel="0" max="16" min="16" style="6" width="13.71"/>
    <col collapsed="false" customWidth="true" hidden="false" outlineLevel="0" max="17" min="17" style="6" width="21.57"/>
    <col collapsed="false" customWidth="true" hidden="false" outlineLevel="0" max="18" min="18" style="6" width="6"/>
    <col collapsed="false" customWidth="true" hidden="true" outlineLevel="1" max="19" min="19" style="6" width="51.71"/>
    <col collapsed="false" customWidth="true" hidden="true" outlineLevel="0" max="20" min="20" style="6" width="9.42"/>
    <col collapsed="false" customWidth="true" hidden="true" outlineLevel="0" max="21" min="21" style="6" width="4.71"/>
    <col collapsed="false" customWidth="true" hidden="true" outlineLevel="0" max="22" min="22" style="6" width="9.29"/>
    <col collapsed="false" customWidth="true" hidden="true" outlineLevel="0" max="23" min="23" style="6" width="9"/>
    <col collapsed="false" customWidth="true" hidden="true" outlineLevel="0" max="24" min="24" style="6" width="24.71"/>
    <col collapsed="false" customWidth="true" hidden="true" outlineLevel="0" max="25" min="25" style="6" width="32.42"/>
    <col collapsed="false" customWidth="true" hidden="false" outlineLevel="0" max="26" min="26" style="6" width="19.29"/>
    <col collapsed="false" customWidth="true" hidden="false" outlineLevel="0" max="27" min="27" style="6" width="41.15"/>
    <col collapsed="false" customWidth="true" hidden="false" outlineLevel="0" max="28" min="28" style="6" width="13.71"/>
    <col collapsed="false" customWidth="true" hidden="false" outlineLevel="0" max="29" min="29" style="6" width="10"/>
    <col collapsed="false" customWidth="true" hidden="false" outlineLevel="0" max="30" min="30" style="6" width="10.42"/>
    <col collapsed="false" customWidth="true" hidden="false" outlineLevel="0" max="31" min="31" style="6" width="28.29"/>
    <col collapsed="false" customWidth="false" hidden="false" outlineLevel="0" max="33" min="32" style="6" width="11.43"/>
    <col collapsed="false" customWidth="true" hidden="false" outlineLevel="0" max="34" min="34" style="6" width="28.29"/>
    <col collapsed="false" customWidth="false" hidden="false" outlineLevel="0" max="16384" min="35" style="6" width="11.43"/>
  </cols>
  <sheetData>
    <row r="6" customFormat="false" ht="17.9" hidden="false" customHeight="true" outlineLevel="0" collapsed="false">
      <c r="B6" s="7"/>
      <c r="C6" s="8" t="s">
        <v>3</v>
      </c>
      <c r="D6" s="8"/>
      <c r="E6" s="9"/>
      <c r="F6" s="9"/>
      <c r="G6" s="9"/>
      <c r="H6" s="9"/>
      <c r="I6" s="9"/>
      <c r="J6" s="9"/>
      <c r="K6" s="9"/>
      <c r="L6" s="9"/>
      <c r="M6" s="9"/>
      <c r="N6" s="9"/>
      <c r="O6" s="9"/>
      <c r="P6" s="10"/>
      <c r="Q6" s="10"/>
      <c r="R6" s="10"/>
      <c r="S6" s="10"/>
      <c r="T6" s="10"/>
      <c r="U6" s="10"/>
      <c r="V6" s="10"/>
      <c r="W6" s="10"/>
      <c r="X6" s="10"/>
      <c r="Y6" s="10"/>
      <c r="Z6" s="10"/>
      <c r="AA6" s="10"/>
      <c r="AB6" s="9"/>
      <c r="AC6" s="9"/>
      <c r="AD6" s="9"/>
      <c r="AE6" s="9"/>
      <c r="AF6" s="9"/>
      <c r="AG6" s="9"/>
    </row>
    <row r="7" customFormat="false" ht="41.25" hidden="false" customHeight="true" outlineLevel="0" collapsed="false">
      <c r="B7" s="7"/>
      <c r="C7" s="11" t="s">
        <v>2</v>
      </c>
      <c r="D7" s="11"/>
      <c r="E7" s="9"/>
      <c r="F7" s="9"/>
      <c r="G7" s="9"/>
      <c r="H7" s="9"/>
      <c r="I7" s="9"/>
      <c r="J7" s="9"/>
      <c r="K7" s="9"/>
      <c r="L7" s="9"/>
      <c r="M7" s="9"/>
      <c r="N7" s="9"/>
      <c r="O7" s="9"/>
      <c r="P7" s="9"/>
      <c r="Q7" s="9"/>
      <c r="R7" s="9"/>
      <c r="S7" s="9"/>
      <c r="T7" s="9"/>
      <c r="U7" s="9"/>
      <c r="V7" s="9"/>
      <c r="W7" s="9"/>
      <c r="X7" s="9"/>
      <c r="Y7" s="9"/>
      <c r="Z7" s="9"/>
      <c r="AA7" s="9"/>
      <c r="AB7" s="9"/>
      <c r="AC7" s="9"/>
      <c r="AD7" s="9"/>
      <c r="AE7" s="9"/>
      <c r="AF7" s="9"/>
      <c r="AG7" s="9"/>
    </row>
    <row r="8" s="12" customFormat="true" ht="23.25" hidden="false" customHeight="true" outlineLevel="0" collapsed="false">
      <c r="B8" s="13"/>
      <c r="C8" s="14"/>
      <c r="D8" s="15" t="s">
        <v>4</v>
      </c>
      <c r="E8" s="16" t="s">
        <v>5</v>
      </c>
      <c r="F8" s="16"/>
      <c r="G8" s="16"/>
      <c r="H8" s="16"/>
      <c r="I8" s="16"/>
      <c r="J8" s="16"/>
      <c r="K8" s="16"/>
      <c r="L8" s="16"/>
      <c r="M8" s="15" t="s">
        <v>6</v>
      </c>
      <c r="N8" s="17" t="s">
        <v>7</v>
      </c>
      <c r="O8" s="17" t="s">
        <v>8</v>
      </c>
      <c r="P8" s="15" t="s">
        <v>9</v>
      </c>
      <c r="Q8" s="15" t="s">
        <v>10</v>
      </c>
      <c r="R8" s="15"/>
      <c r="S8" s="15"/>
      <c r="T8" s="15"/>
      <c r="U8" s="15"/>
      <c r="V8" s="15"/>
      <c r="W8" s="15"/>
      <c r="X8" s="15"/>
      <c r="Y8" s="15"/>
      <c r="Z8" s="15" t="s">
        <v>11</v>
      </c>
      <c r="AA8" s="15"/>
      <c r="AB8" s="15"/>
      <c r="AC8" s="15"/>
      <c r="AD8" s="15" t="s">
        <v>12</v>
      </c>
      <c r="AE8" s="15" t="s">
        <v>13</v>
      </c>
      <c r="AF8" s="15" t="s">
        <v>14</v>
      </c>
      <c r="AG8" s="15"/>
      <c r="AH8" s="18" t="s">
        <v>15</v>
      </c>
    </row>
    <row r="9" s="12" customFormat="true" ht="15.75" hidden="true" customHeight="true" outlineLevel="0" collapsed="false">
      <c r="B9" s="13"/>
      <c r="C9" s="14"/>
      <c r="D9" s="15"/>
      <c r="E9" s="19"/>
      <c r="F9" s="20"/>
      <c r="G9" s="19"/>
      <c r="H9" s="20"/>
      <c r="I9" s="19"/>
      <c r="J9" s="20"/>
      <c r="K9" s="19"/>
      <c r="L9" s="20"/>
      <c r="M9" s="15"/>
      <c r="N9" s="17"/>
      <c r="O9" s="17"/>
      <c r="P9" s="15"/>
      <c r="Q9" s="15"/>
      <c r="R9" s="15"/>
      <c r="S9" s="15"/>
      <c r="T9" s="15"/>
      <c r="U9" s="15"/>
      <c r="V9" s="15"/>
      <c r="W9" s="15"/>
      <c r="X9" s="15"/>
      <c r="Y9" s="15"/>
      <c r="Z9" s="15"/>
      <c r="AA9" s="15"/>
      <c r="AB9" s="15"/>
      <c r="AC9" s="15"/>
      <c r="AD9" s="15"/>
      <c r="AE9" s="15"/>
      <c r="AF9" s="15"/>
      <c r="AG9" s="15"/>
      <c r="AH9" s="18"/>
    </row>
    <row r="10" s="21" customFormat="true" ht="48" hidden="false" customHeight="true" outlineLevel="0" collapsed="false">
      <c r="B10" s="22"/>
      <c r="C10" s="14"/>
      <c r="D10" s="15"/>
      <c r="E10" s="23" t="str">
        <f aca="false">TRIM(Paramètres!$D$5)</f>
        <v>Image de marque</v>
      </c>
      <c r="F10" s="24" t="s">
        <v>16</v>
      </c>
      <c r="G10" s="23" t="str">
        <f aca="false">TRIM(Paramètres!$G$5)</f>
        <v>Aspect financier</v>
      </c>
      <c r="H10" s="24" t="s">
        <v>16</v>
      </c>
      <c r="I10" s="23" t="str">
        <f aca="false">TRIM(Paramètres!$J$5)</f>
        <v>Aspect réglementaire</v>
      </c>
      <c r="J10" s="24" t="s">
        <v>16</v>
      </c>
      <c r="K10" s="23" t="str">
        <f aca="false">TRIM(Paramètres!$M$5)</f>
        <v>Tiers</v>
      </c>
      <c r="L10" s="24" t="s">
        <v>16</v>
      </c>
      <c r="M10" s="15"/>
      <c r="N10" s="17"/>
      <c r="O10" s="17"/>
      <c r="P10" s="15"/>
      <c r="Q10" s="24" t="s">
        <v>17</v>
      </c>
      <c r="R10" s="24" t="s">
        <v>18</v>
      </c>
      <c r="S10" s="25" t="s">
        <v>19</v>
      </c>
      <c r="T10" s="25"/>
      <c r="U10" s="25" t="s">
        <v>18</v>
      </c>
      <c r="V10" s="25" t="s">
        <v>20</v>
      </c>
      <c r="W10" s="25" t="s">
        <v>20</v>
      </c>
      <c r="X10" s="25" t="s">
        <v>21</v>
      </c>
      <c r="Y10" s="25" t="s">
        <v>22</v>
      </c>
      <c r="Z10" s="24" t="s">
        <v>23</v>
      </c>
      <c r="AA10" s="24" t="s">
        <v>24</v>
      </c>
      <c r="AB10" s="24" t="s">
        <v>25</v>
      </c>
      <c r="AC10" s="24" t="s">
        <v>26</v>
      </c>
      <c r="AD10" s="15"/>
      <c r="AE10" s="15"/>
      <c r="AF10" s="24" t="s">
        <v>27</v>
      </c>
      <c r="AG10" s="24" t="s">
        <v>28</v>
      </c>
      <c r="AH10" s="18"/>
    </row>
    <row r="11" customFormat="false" ht="84.75" hidden="false" customHeight="true" outlineLevel="0" collapsed="false">
      <c r="B11" s="7"/>
      <c r="C11" s="26"/>
      <c r="D11" s="27" t="s">
        <v>29</v>
      </c>
      <c r="E11" s="28" t="s">
        <v>30</v>
      </c>
      <c r="F11" s="29" t="n">
        <f aca="false">IFERROR(INDEX(Paramètres!$C$7:$C$14,MATCH(E11,Paramètres!$D$7:$D$14,0),1),"")</f>
        <v>3</v>
      </c>
      <c r="G11" s="28" t="s">
        <v>31</v>
      </c>
      <c r="H11" s="29" t="n">
        <f aca="false">IFERROR(INDEX(Paramètres!$F$7:$F$14,MATCH(G11,Paramètres!$G$7:$G$14,0),1),"")</f>
        <v>4</v>
      </c>
      <c r="I11" s="28" t="s">
        <v>32</v>
      </c>
      <c r="J11" s="29" t="n">
        <f aca="false">IFERROR(INDEX(Paramètres!$I$7:$I$14,MATCH(I11,Paramètres!$J$7:$J$14,0),1),"")</f>
        <v>4</v>
      </c>
      <c r="K11" s="28" t="s">
        <v>33</v>
      </c>
      <c r="L11" s="29" t="n">
        <f aca="false">IFERROR(INDEX(Paramètres!$L$7:$L$14,MATCH(K11,Paramètres!$M$7:$M$14,0),1),"")</f>
        <v>3</v>
      </c>
      <c r="M11" s="30" t="n">
        <f aca="true">IFERROR(AVERAGE(OFFSET(D11,0,1,1,COLUMN()-5)),"")</f>
        <v>3.5</v>
      </c>
      <c r="N11" s="30" t="str">
        <f aca="false">IFERROR(VLOOKUP('Registre des risques'!M11,Paramètres!$C$30:$G$39,5,TRUE()),"")</f>
        <v>C</v>
      </c>
      <c r="O11" s="31" t="s">
        <v>34</v>
      </c>
      <c r="P11" s="29" t="str">
        <f aca="true" t="array" ref="P11:P11">IFERROR(INDEX(codeProb,MATCH(O11,elementsFreq,0)),"")</f>
        <v>D</v>
      </c>
      <c r="Q11" s="32" t="str">
        <f aca="false">IFERROR(VLOOKUP(N11&amp;P11,evalRisque,2,0),"")</f>
        <v>Critique</v>
      </c>
      <c r="R11" s="29" t="n">
        <f aca="false">IFERROR(INDEX(Paramètres!$M$18:$M$117,MATCH('Registre des risques'!Q11,Paramètres!$J$18:$J$117,0)),"")</f>
        <v>4</v>
      </c>
      <c r="S11" s="28" t="s">
        <v>35</v>
      </c>
      <c r="T11" s="28" t="str">
        <f aca="false">IFERROR(INDEX(#REF!,MATCH('Registre des risques'!S11,#REF!,0)),"")</f>
        <v/>
      </c>
      <c r="U11" s="28" t="str">
        <f aca="false">IFERROR(INDEX(#REF!,MATCH('Registre des risques'!T11,#REF!,0)),"")</f>
        <v/>
      </c>
      <c r="V11" s="28" t="str">
        <f aca="false">IFERROR(INDEX(#REF!,MATCH('Registre des risques'!R11&amp;'Registre des risques'!U11,#REF!,0)),"")</f>
        <v/>
      </c>
      <c r="W11" s="28" t="str">
        <f aca="false">IFERROR(INDEX(#REF!,MATCH('Registre des risques'!V11,#REF!,0)),"")</f>
        <v/>
      </c>
      <c r="X11" s="28" t="str">
        <f aca="false">IFERROR(INDEX(#REF!,MATCH('Registre des risques'!R11&amp;'Registre des risques'!U11,#REF!,0))&amp;" "&amp;INDEX(#REF!,MATCH('Registre des risques'!R11&amp;'Registre des risques'!U11,#REF!,0)),"")</f>
        <v/>
      </c>
      <c r="Y11" s="28" t="str">
        <f aca="false">IFERROR(INDEX(#REF!,MATCH('Registre des risques'!X11,#REF!,0)),"")</f>
        <v/>
      </c>
      <c r="Z11" s="31" t="s">
        <v>36</v>
      </c>
      <c r="AA11" s="33" t="s">
        <v>37</v>
      </c>
      <c r="AB11" s="33" t="s">
        <v>38</v>
      </c>
      <c r="AC11" s="34" t="n">
        <v>44378</v>
      </c>
      <c r="AD11" s="33" t="s">
        <v>39</v>
      </c>
      <c r="AE11" s="35" t="s">
        <v>40</v>
      </c>
      <c r="AF11" s="36"/>
      <c r="AG11" s="37"/>
      <c r="AH11" s="38"/>
    </row>
    <row r="12" customFormat="false" ht="58.5" hidden="false" customHeight="true" outlineLevel="0" collapsed="false">
      <c r="B12" s="7"/>
      <c r="C12" s="26"/>
      <c r="D12" s="27" t="s">
        <v>41</v>
      </c>
      <c r="E12" s="28" t="s">
        <v>42</v>
      </c>
      <c r="F12" s="29" t="n">
        <f aca="false">IFERROR(INDEX(Paramètres!$C$7:$C$14,MATCH(E12,Paramètres!$D$7:$D$14,0),1),"")</f>
        <v>0</v>
      </c>
      <c r="G12" s="28" t="s">
        <v>42</v>
      </c>
      <c r="H12" s="29" t="n">
        <f aca="false">IFERROR(INDEX(Paramètres!$F$7:$F$14,MATCH(G12,Paramètres!$G$7:$G$14,0),1),"")</f>
        <v>0</v>
      </c>
      <c r="I12" s="28" t="s">
        <v>42</v>
      </c>
      <c r="J12" s="29" t="n">
        <f aca="false">IFERROR(INDEX(Paramètres!$I$7:$I$14,MATCH(I12,Paramètres!$J$7:$J$14,0),1),"")</f>
        <v>0</v>
      </c>
      <c r="K12" s="28" t="s">
        <v>43</v>
      </c>
      <c r="L12" s="29" t="n">
        <f aca="false">IFERROR(INDEX(Paramètres!$L$7:$L$14,MATCH(K12,Paramètres!$M$7:$M$14,0),1),"")</f>
        <v>1</v>
      </c>
      <c r="M12" s="30" t="n">
        <f aca="true">IFERROR(AVERAGE(OFFSET(D12,0,1,1,COLUMN()-5)),"")</f>
        <v>0.25</v>
      </c>
      <c r="N12" s="29" t="str">
        <f aca="false">IFERROR(VLOOKUP('Registre des risques'!M12,Paramètres!$C$30:$G$39,5,TRUE()),"")</f>
        <v/>
      </c>
      <c r="O12" s="31" t="s">
        <v>44</v>
      </c>
      <c r="P12" s="29" t="str">
        <f aca="true" t="array" ref="P12:P12">IFERROR(INDEX(codeProb,MATCH(O12,elementsFreq,0)),"")</f>
        <v>B</v>
      </c>
      <c r="Q12" s="32" t="str">
        <f aca="false">IFERROR(VLOOKUP(N12&amp;P12,evalRisque,2,0),"")</f>
        <v/>
      </c>
      <c r="R12" s="29" t="str">
        <f aca="false">IFERROR(INDEX(Paramètres!$M$18:$M$117,MATCH('Registre des risques'!Q12,Paramètres!$J$18:$J$117,0)),"")</f>
        <v/>
      </c>
      <c r="S12" s="28"/>
      <c r="T12" s="28"/>
      <c r="U12" s="28"/>
      <c r="V12" s="28"/>
      <c r="W12" s="28"/>
      <c r="X12" s="28"/>
      <c r="Y12" s="28"/>
      <c r="Z12" s="31" t="s">
        <v>36</v>
      </c>
      <c r="AA12" s="33" t="s">
        <v>45</v>
      </c>
      <c r="AB12" s="33" t="s">
        <v>38</v>
      </c>
      <c r="AC12" s="34" t="s">
        <v>46</v>
      </c>
      <c r="AD12" s="33" t="s">
        <v>47</v>
      </c>
      <c r="AE12" s="35" t="s">
        <v>48</v>
      </c>
      <c r="AF12" s="36"/>
      <c r="AG12" s="36"/>
      <c r="AH12" s="38"/>
    </row>
    <row r="13" customFormat="false" ht="40.5" hidden="false" customHeight="true" outlineLevel="0" collapsed="false">
      <c r="B13" s="7"/>
      <c r="C13" s="26"/>
      <c r="D13" s="27" t="s">
        <v>49</v>
      </c>
      <c r="E13" s="28" t="s">
        <v>50</v>
      </c>
      <c r="F13" s="29" t="n">
        <f aca="false">IFERROR(INDEX(Paramètres!$C$7:$C$14,MATCH(E13,Paramètres!$D$7:$D$14,0),1),"")</f>
        <v>4</v>
      </c>
      <c r="G13" s="28" t="s">
        <v>51</v>
      </c>
      <c r="H13" s="29" t="n">
        <f aca="false">IFERROR(INDEX(Paramètres!$F$7:$F$14,MATCH(G13,Paramètres!$G$7:$G$14,0),1),"")</f>
        <v>2</v>
      </c>
      <c r="I13" s="28" t="s">
        <v>52</v>
      </c>
      <c r="J13" s="29" t="n">
        <f aca="false">IFERROR(INDEX(Paramètres!$I$7:$I$14,MATCH(I13,Paramètres!$J$7:$J$14,0),1),"")</f>
        <v>2</v>
      </c>
      <c r="K13" s="28" t="s">
        <v>53</v>
      </c>
      <c r="L13" s="29" t="n">
        <f aca="false">IFERROR(INDEX(Paramètres!$L$7:$L$14,MATCH(K13,Paramètres!$M$7:$M$14,0),1),"")</f>
        <v>4</v>
      </c>
      <c r="M13" s="30" t="n">
        <f aca="true">IFERROR(AVERAGE(OFFSET(D13,0,1,1,COLUMN()-5)),"")</f>
        <v>3</v>
      </c>
      <c r="N13" s="29" t="str">
        <f aca="false">IFERROR(VLOOKUP('Registre des risques'!M13,Paramètres!$C$30:$G$39,5,TRUE()),"")</f>
        <v>C</v>
      </c>
      <c r="O13" s="31" t="s">
        <v>54</v>
      </c>
      <c r="P13" s="29" t="str">
        <f aca="true" t="array" ref="P13:P13">IFERROR(INDEX(codeProb,MATCH(O13,elementsFreq,0)),"")</f>
        <v>A</v>
      </c>
      <c r="Q13" s="32" t="str">
        <f aca="false">IFERROR(VLOOKUP(N13&amp;P13,evalRisque,2,0),"")</f>
        <v>Elevé</v>
      </c>
      <c r="R13" s="29" t="n">
        <f aca="false">IFERROR(INDEX(Paramètres!$M$18:$M$117,MATCH('Registre des risques'!Q13,Paramètres!$J$18:$J$117,0)),"")</f>
        <v>3</v>
      </c>
      <c r="S13" s="28"/>
      <c r="T13" s="28"/>
      <c r="U13" s="28"/>
      <c r="V13" s="28"/>
      <c r="W13" s="28"/>
      <c r="X13" s="28"/>
      <c r="Y13" s="28"/>
      <c r="Z13" s="31" t="s">
        <v>36</v>
      </c>
      <c r="AA13" s="33" t="s">
        <v>55</v>
      </c>
      <c r="AB13" s="33" t="s">
        <v>56</v>
      </c>
      <c r="AC13" s="33" t="s">
        <v>57</v>
      </c>
      <c r="AD13" s="33" t="s">
        <v>58</v>
      </c>
      <c r="AE13" s="35" t="s">
        <v>59</v>
      </c>
      <c r="AF13" s="36"/>
      <c r="AG13" s="36"/>
      <c r="AH13" s="38"/>
    </row>
    <row r="14" customFormat="false" ht="58.5" hidden="false" customHeight="true" outlineLevel="0" collapsed="false">
      <c r="B14" s="7"/>
      <c r="C14" s="26"/>
      <c r="D14" s="39" t="s">
        <v>60</v>
      </c>
      <c r="E14" s="28" t="s">
        <v>50</v>
      </c>
      <c r="F14" s="29" t="n">
        <f aca="false">IFERROR(INDEX(Paramètres!$C$7:$C$14,MATCH(E14,Paramètres!$D$7:$D$14,0),1),"")</f>
        <v>4</v>
      </c>
      <c r="G14" s="28" t="s">
        <v>61</v>
      </c>
      <c r="H14" s="29" t="n">
        <f aca="false">IFERROR(INDEX(Paramètres!$F$7:$F$14,MATCH(G14,Paramètres!$G$7:$G$14,0),1),"")</f>
        <v>3</v>
      </c>
      <c r="I14" s="28" t="s">
        <v>42</v>
      </c>
      <c r="J14" s="29" t="n">
        <f aca="false">IFERROR(INDEX(Paramètres!$I$7:$I$14,MATCH(I14,Paramètres!$J$7:$J$14,0),1),"")</f>
        <v>0</v>
      </c>
      <c r="K14" s="28" t="s">
        <v>53</v>
      </c>
      <c r="L14" s="29" t="n">
        <f aca="false">IFERROR(INDEX(Paramètres!$L$7:$L$14,MATCH(K14,Paramètres!$M$7:$M$14,0),1),"")</f>
        <v>4</v>
      </c>
      <c r="M14" s="30" t="n">
        <f aca="true">IFERROR(AVERAGE(OFFSET(D14,0,1,1,COLUMN()-5)),"")</f>
        <v>2.75</v>
      </c>
      <c r="N14" s="29" t="str">
        <f aca="false">IFERROR(VLOOKUP('Registre des risques'!M14,Paramètres!$C$30:$G$39,5,TRUE()),"")</f>
        <v>B</v>
      </c>
      <c r="O14" s="31" t="s">
        <v>44</v>
      </c>
      <c r="P14" s="29" t="str">
        <f aca="true" t="array" ref="P14:P14">IFERROR(INDEX(codeProb,MATCH(O14,elementsFreq,0)),"")</f>
        <v>B</v>
      </c>
      <c r="Q14" s="32" t="str">
        <f aca="false">IFERROR(VLOOKUP(N14&amp;P14,evalRisque,2,0),"")</f>
        <v>Elevé</v>
      </c>
      <c r="R14" s="29" t="n">
        <f aca="false">IFERROR(INDEX(Paramètres!$M$18:$M$117,MATCH('Registre des risques'!Q14,Paramètres!$J$18:$J$117,0)),"")</f>
        <v>3</v>
      </c>
      <c r="S14" s="28"/>
      <c r="T14" s="28"/>
      <c r="U14" s="28"/>
      <c r="V14" s="28"/>
      <c r="W14" s="28"/>
      <c r="X14" s="28"/>
      <c r="Y14" s="28"/>
      <c r="Z14" s="31" t="s">
        <v>62</v>
      </c>
      <c r="AA14" s="33" t="s">
        <v>63</v>
      </c>
      <c r="AB14" s="33" t="s">
        <v>38</v>
      </c>
      <c r="AC14" s="33" t="s">
        <v>57</v>
      </c>
      <c r="AD14" s="33" t="s">
        <v>58</v>
      </c>
      <c r="AE14" s="35" t="s">
        <v>64</v>
      </c>
      <c r="AF14" s="36"/>
      <c r="AG14" s="36"/>
      <c r="AH14" s="38"/>
    </row>
    <row r="15" customFormat="false" ht="66" hidden="false" customHeight="true" outlineLevel="0" collapsed="false">
      <c r="B15" s="7"/>
      <c r="C15" s="26"/>
      <c r="D15" s="39" t="s">
        <v>65</v>
      </c>
      <c r="E15" s="28" t="s">
        <v>50</v>
      </c>
      <c r="F15" s="29" t="n">
        <f aca="false">IFERROR(INDEX(Paramètres!$C$7:$C$14,MATCH(E15,Paramètres!$D$7:$D$14,0),1),"")</f>
        <v>4</v>
      </c>
      <c r="G15" s="28" t="s">
        <v>51</v>
      </c>
      <c r="H15" s="29" t="n">
        <f aca="false">IFERROR(INDEX(Paramètres!$F$7:$F$14,MATCH(G15,Paramètres!$G$7:$G$14,0),1),"")</f>
        <v>2</v>
      </c>
      <c r="I15" s="28" t="s">
        <v>42</v>
      </c>
      <c r="J15" s="29" t="n">
        <f aca="false">IFERROR(INDEX(Paramètres!$I$7:$I$14,MATCH(I15,Paramètres!$J$7:$J$14,0),1),"")</f>
        <v>0</v>
      </c>
      <c r="K15" s="28" t="s">
        <v>53</v>
      </c>
      <c r="L15" s="29" t="n">
        <f aca="false">IFERROR(INDEX(Paramètres!$L$7:$L$14,MATCH(K15,Paramètres!$M$7:$M$14,0),1),"")</f>
        <v>4</v>
      </c>
      <c r="M15" s="30" t="n">
        <f aca="true">IFERROR(AVERAGE(OFFSET(D15,0,1,1,COLUMN()-5)),"")</f>
        <v>2.5</v>
      </c>
      <c r="N15" s="29" t="str">
        <f aca="false">IFERROR(VLOOKUP('Registre des risques'!M15,Paramètres!$C$30:$G$39,5,TRUE()),"")</f>
        <v>B</v>
      </c>
      <c r="O15" s="31" t="s">
        <v>54</v>
      </c>
      <c r="P15" s="29" t="str">
        <f aca="true" t="array" ref="P15:P15">IFERROR(INDEX(codeProb,MATCH(O15,elementsFreq,0)),"")</f>
        <v>A</v>
      </c>
      <c r="Q15" s="32" t="str">
        <f aca="false">IFERROR(VLOOKUP(N15&amp;P15,evalRisque,2,0),"")</f>
        <v>Modéré</v>
      </c>
      <c r="R15" s="29" t="n">
        <f aca="false">IFERROR(INDEX(Paramètres!$M$18:$M$117,MATCH('Registre des risques'!Q15,Paramètres!$J$18:$J$117,0)),"")</f>
        <v>2</v>
      </c>
      <c r="S15" s="28"/>
      <c r="T15" s="28"/>
      <c r="U15" s="28"/>
      <c r="V15" s="28"/>
      <c r="W15" s="28"/>
      <c r="X15" s="28"/>
      <c r="Y15" s="28"/>
      <c r="Z15" s="31" t="s">
        <v>36</v>
      </c>
      <c r="AA15" s="33" t="s">
        <v>66</v>
      </c>
      <c r="AB15" s="33" t="s">
        <v>67</v>
      </c>
      <c r="AC15" s="34" t="n">
        <v>44469</v>
      </c>
      <c r="AD15" s="33"/>
      <c r="AE15" s="35" t="s">
        <v>68</v>
      </c>
      <c r="AF15" s="36"/>
      <c r="AG15" s="36"/>
      <c r="AH15" s="38"/>
    </row>
    <row r="16" customFormat="false" ht="40.5" hidden="false" customHeight="true" outlineLevel="0" collapsed="false">
      <c r="B16" s="7"/>
      <c r="C16" s="26"/>
      <c r="D16" s="39"/>
      <c r="E16" s="28"/>
      <c r="F16" s="29"/>
      <c r="G16" s="28"/>
      <c r="H16" s="29"/>
      <c r="I16" s="28"/>
      <c r="J16" s="29"/>
      <c r="K16" s="28"/>
      <c r="L16" s="29"/>
      <c r="M16" s="30"/>
      <c r="N16" s="29"/>
      <c r="O16" s="31"/>
      <c r="P16" s="29"/>
      <c r="Q16" s="32"/>
      <c r="R16" s="29"/>
      <c r="S16" s="28"/>
      <c r="T16" s="28"/>
      <c r="U16" s="28"/>
      <c r="V16" s="28"/>
      <c r="W16" s="28"/>
      <c r="X16" s="28"/>
      <c r="Y16" s="28"/>
      <c r="Z16" s="31"/>
      <c r="AA16" s="33"/>
      <c r="AB16" s="33"/>
      <c r="AC16" s="33"/>
      <c r="AD16" s="33"/>
      <c r="AE16" s="35"/>
      <c r="AF16" s="36"/>
      <c r="AG16" s="36"/>
      <c r="AH16" s="38"/>
    </row>
    <row r="17" customFormat="false" ht="40.5" hidden="false" customHeight="true" outlineLevel="0" collapsed="false">
      <c r="B17" s="7"/>
      <c r="C17" s="26"/>
      <c r="D17" s="39"/>
      <c r="E17" s="28"/>
      <c r="F17" s="29"/>
      <c r="G17" s="28"/>
      <c r="H17" s="29"/>
      <c r="I17" s="28"/>
      <c r="J17" s="29"/>
      <c r="K17" s="28"/>
      <c r="L17" s="29"/>
      <c r="M17" s="30"/>
      <c r="N17" s="29"/>
      <c r="O17" s="31"/>
      <c r="P17" s="29"/>
      <c r="Q17" s="32"/>
      <c r="R17" s="29"/>
      <c r="S17" s="28"/>
      <c r="T17" s="28"/>
      <c r="U17" s="28"/>
      <c r="V17" s="28"/>
      <c r="W17" s="28"/>
      <c r="X17" s="28"/>
      <c r="Y17" s="28"/>
      <c r="Z17" s="31"/>
      <c r="AA17" s="33"/>
      <c r="AB17" s="33"/>
      <c r="AC17" s="33"/>
      <c r="AD17" s="33"/>
      <c r="AE17" s="35"/>
      <c r="AF17" s="36"/>
      <c r="AG17" s="36"/>
      <c r="AH17" s="38"/>
    </row>
    <row r="18" customFormat="false" ht="54" hidden="false" customHeight="true" outlineLevel="0" collapsed="false">
      <c r="B18" s="7"/>
      <c r="C18" s="26"/>
      <c r="D18" s="39"/>
      <c r="E18" s="28"/>
      <c r="F18" s="29"/>
      <c r="G18" s="28"/>
      <c r="H18" s="29"/>
      <c r="I18" s="28"/>
      <c r="J18" s="29"/>
      <c r="K18" s="28"/>
      <c r="L18" s="29"/>
      <c r="M18" s="30"/>
      <c r="N18" s="29"/>
      <c r="O18" s="31"/>
      <c r="P18" s="29"/>
      <c r="Q18" s="32"/>
      <c r="R18" s="29"/>
      <c r="S18" s="28"/>
      <c r="T18" s="28"/>
      <c r="U18" s="28"/>
      <c r="V18" s="28"/>
      <c r="W18" s="28"/>
      <c r="X18" s="28"/>
      <c r="Y18" s="28"/>
      <c r="Z18" s="31"/>
      <c r="AA18" s="33"/>
      <c r="AB18" s="33"/>
      <c r="AC18" s="33"/>
      <c r="AD18" s="33"/>
      <c r="AE18" s="35"/>
      <c r="AF18" s="36"/>
      <c r="AG18" s="36"/>
      <c r="AH18" s="38"/>
    </row>
    <row r="19" customFormat="false" ht="43.5" hidden="false" customHeight="true" outlineLevel="0" collapsed="false">
      <c r="B19" s="7"/>
      <c r="C19" s="26"/>
      <c r="D19" s="39"/>
      <c r="E19" s="28"/>
      <c r="F19" s="29"/>
      <c r="G19" s="28"/>
      <c r="H19" s="29"/>
      <c r="I19" s="28"/>
      <c r="J19" s="29"/>
      <c r="K19" s="28"/>
      <c r="L19" s="29"/>
      <c r="M19" s="30"/>
      <c r="N19" s="29"/>
      <c r="O19" s="31"/>
      <c r="P19" s="29"/>
      <c r="Q19" s="32"/>
      <c r="R19" s="29"/>
      <c r="S19" s="28"/>
      <c r="T19" s="28"/>
      <c r="U19" s="28"/>
      <c r="V19" s="28"/>
      <c r="W19" s="28"/>
      <c r="X19" s="28"/>
      <c r="Y19" s="28"/>
      <c r="Z19" s="31"/>
      <c r="AA19" s="33"/>
      <c r="AB19" s="33"/>
      <c r="AC19" s="33"/>
      <c r="AD19" s="33"/>
      <c r="AE19" s="35"/>
      <c r="AF19" s="36"/>
      <c r="AG19" s="36"/>
      <c r="AH19" s="38"/>
    </row>
    <row r="20" customFormat="false" ht="84.75" hidden="false" customHeight="true" outlineLevel="0" collapsed="false">
      <c r="B20" s="7"/>
      <c r="C20" s="26"/>
      <c r="D20" s="40"/>
      <c r="E20" s="28"/>
      <c r="F20" s="29"/>
      <c r="G20" s="28"/>
      <c r="H20" s="29"/>
      <c r="I20" s="28"/>
      <c r="J20" s="29"/>
      <c r="K20" s="28"/>
      <c r="L20" s="29"/>
      <c r="M20" s="30"/>
      <c r="N20" s="29"/>
      <c r="O20" s="31"/>
      <c r="P20" s="29"/>
      <c r="Q20" s="32"/>
      <c r="R20" s="29"/>
      <c r="S20" s="28"/>
      <c r="T20" s="28"/>
      <c r="U20" s="28"/>
      <c r="V20" s="28"/>
      <c r="W20" s="28"/>
      <c r="X20" s="28"/>
      <c r="Y20" s="28"/>
      <c r="Z20" s="31"/>
      <c r="AA20" s="33"/>
      <c r="AB20" s="33"/>
      <c r="AC20" s="33"/>
      <c r="AD20" s="33"/>
      <c r="AE20" s="28"/>
      <c r="AF20" s="36"/>
      <c r="AG20" s="36"/>
      <c r="AH20" s="38"/>
    </row>
    <row r="21" customFormat="false" ht="48.75" hidden="false" customHeight="true" outlineLevel="0" collapsed="false">
      <c r="B21" s="7"/>
      <c r="C21" s="26"/>
      <c r="D21" s="31"/>
      <c r="E21" s="28"/>
      <c r="F21" s="29"/>
      <c r="G21" s="28"/>
      <c r="H21" s="29"/>
      <c r="I21" s="28"/>
      <c r="J21" s="29"/>
      <c r="K21" s="28"/>
      <c r="L21" s="29"/>
      <c r="M21" s="30"/>
      <c r="N21" s="29"/>
      <c r="O21" s="31"/>
      <c r="P21" s="29"/>
      <c r="Q21" s="32"/>
      <c r="R21" s="29"/>
      <c r="S21" s="28"/>
      <c r="T21" s="28"/>
      <c r="U21" s="28"/>
      <c r="V21" s="28"/>
      <c r="W21" s="28"/>
      <c r="X21" s="28"/>
      <c r="Y21" s="28"/>
      <c r="Z21" s="31"/>
      <c r="AA21" s="28"/>
      <c r="AB21" s="28"/>
      <c r="AC21" s="41"/>
      <c r="AD21" s="33"/>
      <c r="AE21" s="28"/>
      <c r="AF21" s="36"/>
      <c r="AG21" s="36"/>
      <c r="AH21" s="38"/>
    </row>
    <row r="22" customFormat="false" ht="48.75" hidden="false" customHeight="true" outlineLevel="0" collapsed="false">
      <c r="B22" s="7"/>
      <c r="C22" s="26"/>
      <c r="D22" s="31"/>
      <c r="E22" s="28"/>
      <c r="F22" s="29"/>
      <c r="G22" s="28"/>
      <c r="H22" s="29"/>
      <c r="I22" s="28"/>
      <c r="J22" s="29"/>
      <c r="K22" s="28"/>
      <c r="L22" s="29"/>
      <c r="M22" s="30"/>
      <c r="N22" s="29"/>
      <c r="O22" s="31"/>
      <c r="P22" s="29"/>
      <c r="Q22" s="32"/>
      <c r="R22" s="29"/>
      <c r="S22" s="28"/>
      <c r="T22" s="28"/>
      <c r="U22" s="28"/>
      <c r="V22" s="28"/>
      <c r="W22" s="28"/>
      <c r="X22" s="28"/>
      <c r="Y22" s="28"/>
      <c r="Z22" s="31"/>
      <c r="AA22" s="28"/>
      <c r="AB22" s="28"/>
      <c r="AC22" s="41"/>
      <c r="AD22" s="33"/>
      <c r="AE22" s="28"/>
      <c r="AF22" s="36"/>
      <c r="AG22" s="36"/>
      <c r="AH22" s="38"/>
    </row>
    <row r="23" customFormat="false" ht="48.75" hidden="false" customHeight="true" outlineLevel="0" collapsed="false">
      <c r="B23" s="7"/>
      <c r="C23" s="26"/>
      <c r="D23" s="31"/>
      <c r="E23" s="28"/>
      <c r="F23" s="29"/>
      <c r="G23" s="28"/>
      <c r="H23" s="29"/>
      <c r="I23" s="28"/>
      <c r="J23" s="29"/>
      <c r="K23" s="28"/>
      <c r="L23" s="29"/>
      <c r="M23" s="30"/>
      <c r="N23" s="29"/>
      <c r="O23" s="31"/>
      <c r="P23" s="29"/>
      <c r="Q23" s="32"/>
      <c r="R23" s="29"/>
      <c r="S23" s="28"/>
      <c r="T23" s="28"/>
      <c r="U23" s="28"/>
      <c r="V23" s="28"/>
      <c r="W23" s="28"/>
      <c r="X23" s="28"/>
      <c r="Y23" s="28"/>
      <c r="Z23" s="31"/>
      <c r="AA23" s="28"/>
      <c r="AB23" s="28"/>
      <c r="AC23" s="41"/>
      <c r="AD23" s="33"/>
      <c r="AE23" s="28"/>
      <c r="AF23" s="36"/>
      <c r="AG23" s="36"/>
      <c r="AH23" s="38"/>
    </row>
    <row r="24" customFormat="false" ht="48.75" hidden="false" customHeight="true" outlineLevel="0" collapsed="false">
      <c r="B24" s="7"/>
      <c r="C24" s="26"/>
      <c r="D24" s="31"/>
      <c r="E24" s="28"/>
      <c r="F24" s="29"/>
      <c r="G24" s="28"/>
      <c r="H24" s="29"/>
      <c r="I24" s="28"/>
      <c r="J24" s="29"/>
      <c r="K24" s="28"/>
      <c r="L24" s="29"/>
      <c r="M24" s="30"/>
      <c r="N24" s="29"/>
      <c r="O24" s="31"/>
      <c r="P24" s="29"/>
      <c r="Q24" s="32"/>
      <c r="R24" s="29"/>
      <c r="S24" s="28"/>
      <c r="T24" s="28"/>
      <c r="U24" s="28"/>
      <c r="V24" s="28"/>
      <c r="W24" s="28"/>
      <c r="X24" s="28"/>
      <c r="Y24" s="28"/>
      <c r="Z24" s="31"/>
      <c r="AA24" s="28"/>
      <c r="AB24" s="28"/>
      <c r="AC24" s="41"/>
      <c r="AD24" s="33"/>
      <c r="AE24" s="28"/>
      <c r="AF24" s="36"/>
      <c r="AG24" s="36"/>
      <c r="AH24" s="38"/>
    </row>
    <row r="25" s="42" customFormat="true" ht="75" hidden="false" customHeight="true" outlineLevel="0" collapsed="false">
      <c r="B25" s="43"/>
      <c r="C25" s="26"/>
      <c r="D25" s="31"/>
      <c r="E25" s="28"/>
      <c r="F25" s="29"/>
      <c r="G25" s="28"/>
      <c r="H25" s="29"/>
      <c r="I25" s="28"/>
      <c r="J25" s="29"/>
      <c r="K25" s="28"/>
      <c r="L25" s="29"/>
      <c r="M25" s="30"/>
      <c r="N25" s="29"/>
      <c r="O25" s="31"/>
      <c r="P25" s="29"/>
      <c r="Q25" s="32"/>
      <c r="R25" s="29"/>
      <c r="S25" s="31"/>
      <c r="T25" s="31"/>
      <c r="U25" s="31"/>
      <c r="V25" s="31"/>
      <c r="W25" s="31"/>
      <c r="X25" s="31"/>
      <c r="Y25" s="31"/>
      <c r="Z25" s="31"/>
      <c r="AA25" s="44"/>
      <c r="AB25" s="44"/>
      <c r="AC25" s="45"/>
      <c r="AD25" s="44"/>
      <c r="AE25" s="31"/>
      <c r="AF25" s="36"/>
      <c r="AG25" s="36"/>
      <c r="AH25" s="46"/>
    </row>
    <row r="26" s="42" customFormat="true" ht="75" hidden="false" customHeight="true" outlineLevel="0" collapsed="false">
      <c r="B26" s="43"/>
      <c r="C26" s="26"/>
      <c r="D26" s="31"/>
      <c r="E26" s="28"/>
      <c r="F26" s="29"/>
      <c r="G26" s="28"/>
      <c r="H26" s="29"/>
      <c r="I26" s="28"/>
      <c r="J26" s="29"/>
      <c r="K26" s="28"/>
      <c r="L26" s="29"/>
      <c r="M26" s="30"/>
      <c r="N26" s="29"/>
      <c r="O26" s="31"/>
      <c r="P26" s="29"/>
      <c r="Q26" s="32"/>
      <c r="R26" s="29"/>
      <c r="S26" s="31"/>
      <c r="T26" s="31"/>
      <c r="U26" s="31"/>
      <c r="V26" s="31"/>
      <c r="W26" s="31"/>
      <c r="X26" s="31"/>
      <c r="Y26" s="31"/>
      <c r="Z26" s="31"/>
      <c r="AA26" s="44"/>
      <c r="AB26" s="44"/>
      <c r="AC26" s="45"/>
      <c r="AD26" s="44"/>
      <c r="AE26" s="31"/>
      <c r="AF26" s="36"/>
      <c r="AG26" s="36"/>
      <c r="AH26" s="46"/>
    </row>
    <row r="27" s="42" customFormat="true" ht="75" hidden="false" customHeight="true" outlineLevel="0" collapsed="false">
      <c r="B27" s="43"/>
      <c r="C27" s="26"/>
      <c r="D27" s="31"/>
      <c r="E27" s="28"/>
      <c r="F27" s="29"/>
      <c r="G27" s="28"/>
      <c r="H27" s="29"/>
      <c r="I27" s="28"/>
      <c r="J27" s="29"/>
      <c r="K27" s="28"/>
      <c r="L27" s="29"/>
      <c r="M27" s="30"/>
      <c r="N27" s="29"/>
      <c r="O27" s="31"/>
      <c r="P27" s="29"/>
      <c r="Q27" s="32"/>
      <c r="R27" s="29"/>
      <c r="S27" s="31"/>
      <c r="T27" s="31"/>
      <c r="U27" s="31"/>
      <c r="V27" s="31"/>
      <c r="W27" s="31"/>
      <c r="X27" s="31"/>
      <c r="Y27" s="31"/>
      <c r="Z27" s="31"/>
      <c r="AA27" s="44"/>
      <c r="AB27" s="44"/>
      <c r="AC27" s="45"/>
      <c r="AD27" s="44"/>
      <c r="AE27" s="31"/>
      <c r="AF27" s="36"/>
      <c r="AG27" s="36"/>
      <c r="AH27" s="46"/>
    </row>
    <row r="28" s="42" customFormat="true" ht="75" hidden="false" customHeight="true" outlineLevel="0" collapsed="false">
      <c r="B28" s="43"/>
      <c r="C28" s="26"/>
      <c r="D28" s="31"/>
      <c r="E28" s="28"/>
      <c r="F28" s="29"/>
      <c r="G28" s="28"/>
      <c r="H28" s="29"/>
      <c r="I28" s="28"/>
      <c r="J28" s="29"/>
      <c r="K28" s="28"/>
      <c r="L28" s="29"/>
      <c r="M28" s="30"/>
      <c r="N28" s="29"/>
      <c r="O28" s="31"/>
      <c r="P28" s="29"/>
      <c r="Q28" s="32"/>
      <c r="R28" s="29"/>
      <c r="S28" s="31"/>
      <c r="T28" s="31"/>
      <c r="U28" s="31"/>
      <c r="V28" s="31"/>
      <c r="W28" s="31"/>
      <c r="X28" s="31"/>
      <c r="Y28" s="31"/>
      <c r="Z28" s="31"/>
      <c r="AA28" s="44"/>
      <c r="AB28" s="44"/>
      <c r="AC28" s="45"/>
      <c r="AD28" s="44"/>
      <c r="AE28" s="31"/>
      <c r="AF28" s="36"/>
      <c r="AG28" s="36"/>
      <c r="AH28" s="46"/>
    </row>
    <row r="29" s="42" customFormat="true" ht="75" hidden="false" customHeight="true" outlineLevel="0" collapsed="false">
      <c r="B29" s="43"/>
      <c r="C29" s="26"/>
      <c r="D29" s="31"/>
      <c r="E29" s="28"/>
      <c r="F29" s="29"/>
      <c r="G29" s="28"/>
      <c r="H29" s="29"/>
      <c r="I29" s="28"/>
      <c r="J29" s="29"/>
      <c r="K29" s="28"/>
      <c r="L29" s="29"/>
      <c r="M29" s="30"/>
      <c r="N29" s="29"/>
      <c r="O29" s="31"/>
      <c r="P29" s="29"/>
      <c r="Q29" s="32"/>
      <c r="R29" s="29"/>
      <c r="S29" s="31"/>
      <c r="T29" s="31"/>
      <c r="U29" s="31"/>
      <c r="V29" s="31"/>
      <c r="W29" s="31"/>
      <c r="X29" s="31"/>
      <c r="Y29" s="31"/>
      <c r="Z29" s="31"/>
      <c r="AA29" s="44"/>
      <c r="AB29" s="44"/>
      <c r="AC29" s="45"/>
      <c r="AD29" s="44"/>
      <c r="AE29" s="31"/>
      <c r="AF29" s="36"/>
      <c r="AG29" s="36"/>
      <c r="AH29" s="46"/>
    </row>
    <row r="30" s="42" customFormat="true" ht="75" hidden="false" customHeight="true" outlineLevel="0" collapsed="false">
      <c r="B30" s="43"/>
      <c r="C30" s="26"/>
      <c r="D30" s="31"/>
      <c r="E30" s="28"/>
      <c r="F30" s="29"/>
      <c r="G30" s="28"/>
      <c r="H30" s="29"/>
      <c r="I30" s="28"/>
      <c r="J30" s="29"/>
      <c r="K30" s="28"/>
      <c r="L30" s="29"/>
      <c r="M30" s="30"/>
      <c r="N30" s="29"/>
      <c r="O30" s="31"/>
      <c r="P30" s="29"/>
      <c r="Q30" s="32"/>
      <c r="R30" s="29"/>
      <c r="S30" s="31"/>
      <c r="T30" s="31"/>
      <c r="U30" s="31"/>
      <c r="V30" s="31"/>
      <c r="W30" s="31"/>
      <c r="X30" s="31"/>
      <c r="Y30" s="31"/>
      <c r="Z30" s="31"/>
      <c r="AA30" s="44"/>
      <c r="AB30" s="44"/>
      <c r="AC30" s="45"/>
      <c r="AD30" s="44"/>
      <c r="AE30" s="31"/>
      <c r="AF30" s="36"/>
      <c r="AG30" s="36"/>
      <c r="AH30" s="46"/>
    </row>
    <row r="31" s="42" customFormat="true" ht="75" hidden="false" customHeight="true" outlineLevel="0" collapsed="false">
      <c r="B31" s="43"/>
      <c r="C31" s="26"/>
      <c r="D31" s="31"/>
      <c r="E31" s="28"/>
      <c r="F31" s="29"/>
      <c r="G31" s="28"/>
      <c r="H31" s="29"/>
      <c r="I31" s="28"/>
      <c r="J31" s="29"/>
      <c r="K31" s="28"/>
      <c r="L31" s="29"/>
      <c r="M31" s="30"/>
      <c r="N31" s="29"/>
      <c r="O31" s="31"/>
      <c r="P31" s="29"/>
      <c r="Q31" s="32"/>
      <c r="R31" s="29"/>
      <c r="S31" s="31"/>
      <c r="T31" s="31"/>
      <c r="U31" s="31"/>
      <c r="V31" s="31"/>
      <c r="W31" s="31"/>
      <c r="X31" s="31"/>
      <c r="Y31" s="31"/>
      <c r="Z31" s="31"/>
      <c r="AA31" s="44"/>
      <c r="AB31" s="44"/>
      <c r="AC31" s="45"/>
      <c r="AD31" s="44"/>
      <c r="AE31" s="31"/>
      <c r="AF31" s="36"/>
      <c r="AG31" s="36"/>
      <c r="AH31" s="46"/>
    </row>
    <row r="32" s="42" customFormat="true" ht="75" hidden="false" customHeight="true" outlineLevel="0" collapsed="false">
      <c r="B32" s="43"/>
      <c r="C32" s="26"/>
      <c r="D32" s="31"/>
      <c r="E32" s="28"/>
      <c r="F32" s="29"/>
      <c r="G32" s="28"/>
      <c r="H32" s="29"/>
      <c r="I32" s="28"/>
      <c r="J32" s="29"/>
      <c r="K32" s="28"/>
      <c r="L32" s="29"/>
      <c r="M32" s="30"/>
      <c r="N32" s="29"/>
      <c r="O32" s="31"/>
      <c r="P32" s="29"/>
      <c r="Q32" s="32"/>
      <c r="R32" s="29"/>
      <c r="S32" s="31"/>
      <c r="T32" s="31"/>
      <c r="U32" s="31"/>
      <c r="V32" s="31"/>
      <c r="W32" s="31"/>
      <c r="X32" s="31"/>
      <c r="Y32" s="31"/>
      <c r="Z32" s="31"/>
      <c r="AA32" s="44"/>
      <c r="AB32" s="44"/>
      <c r="AC32" s="45"/>
      <c r="AD32" s="44"/>
      <c r="AE32" s="31"/>
      <c r="AF32" s="36"/>
      <c r="AG32" s="36"/>
      <c r="AH32" s="46"/>
    </row>
    <row r="33" s="42" customFormat="true" ht="75" hidden="false" customHeight="true" outlineLevel="0" collapsed="false">
      <c r="B33" s="43"/>
      <c r="C33" s="26"/>
      <c r="D33" s="31"/>
      <c r="E33" s="28"/>
      <c r="F33" s="29"/>
      <c r="G33" s="28"/>
      <c r="H33" s="29"/>
      <c r="I33" s="28"/>
      <c r="J33" s="29"/>
      <c r="K33" s="28"/>
      <c r="L33" s="29"/>
      <c r="M33" s="30"/>
      <c r="N33" s="29"/>
      <c r="O33" s="31"/>
      <c r="P33" s="29"/>
      <c r="Q33" s="32"/>
      <c r="R33" s="29"/>
      <c r="S33" s="31"/>
      <c r="T33" s="31"/>
      <c r="U33" s="31"/>
      <c r="V33" s="31"/>
      <c r="W33" s="31"/>
      <c r="X33" s="31"/>
      <c r="Y33" s="31"/>
      <c r="Z33" s="31"/>
      <c r="AA33" s="44"/>
      <c r="AB33" s="44"/>
      <c r="AC33" s="45"/>
      <c r="AD33" s="44"/>
      <c r="AE33" s="31"/>
      <c r="AF33" s="36"/>
      <c r="AG33" s="36"/>
      <c r="AH33" s="46"/>
    </row>
    <row r="34" s="42" customFormat="true" ht="75" hidden="false" customHeight="true" outlineLevel="0" collapsed="false">
      <c r="B34" s="43"/>
      <c r="C34" s="26"/>
      <c r="D34" s="31"/>
      <c r="E34" s="28"/>
      <c r="F34" s="29"/>
      <c r="G34" s="28"/>
      <c r="H34" s="29"/>
      <c r="I34" s="28"/>
      <c r="J34" s="29"/>
      <c r="K34" s="28"/>
      <c r="L34" s="29"/>
      <c r="M34" s="30"/>
      <c r="N34" s="29"/>
      <c r="O34" s="31"/>
      <c r="P34" s="29"/>
      <c r="Q34" s="32"/>
      <c r="R34" s="29"/>
      <c r="S34" s="31"/>
      <c r="T34" s="31"/>
      <c r="U34" s="31"/>
      <c r="V34" s="31"/>
      <c r="W34" s="31"/>
      <c r="X34" s="31"/>
      <c r="Y34" s="31"/>
      <c r="Z34" s="31"/>
      <c r="AA34" s="44"/>
      <c r="AB34" s="44"/>
      <c r="AC34" s="45"/>
      <c r="AD34" s="44"/>
      <c r="AE34" s="31"/>
      <c r="AF34" s="36"/>
      <c r="AG34" s="36"/>
      <c r="AH34" s="46"/>
    </row>
    <row r="35" s="42" customFormat="true" ht="75" hidden="false" customHeight="true" outlineLevel="0" collapsed="false">
      <c r="B35" s="43"/>
      <c r="C35" s="26"/>
      <c r="D35" s="31"/>
      <c r="E35" s="28"/>
      <c r="F35" s="29"/>
      <c r="G35" s="28"/>
      <c r="H35" s="29"/>
      <c r="I35" s="28"/>
      <c r="J35" s="29"/>
      <c r="K35" s="28"/>
      <c r="L35" s="29"/>
      <c r="M35" s="30"/>
      <c r="N35" s="29"/>
      <c r="O35" s="31"/>
      <c r="P35" s="29"/>
      <c r="Q35" s="32"/>
      <c r="R35" s="29"/>
      <c r="S35" s="31"/>
      <c r="T35" s="31"/>
      <c r="U35" s="31"/>
      <c r="V35" s="31"/>
      <c r="W35" s="31"/>
      <c r="X35" s="31"/>
      <c r="Y35" s="31"/>
      <c r="Z35" s="31"/>
      <c r="AA35" s="44"/>
      <c r="AB35" s="44"/>
      <c r="AC35" s="45"/>
      <c r="AD35" s="44"/>
      <c r="AE35" s="31"/>
      <c r="AF35" s="36"/>
      <c r="AG35" s="36"/>
      <c r="AH35" s="46"/>
    </row>
    <row r="36" s="42" customFormat="true" ht="75" hidden="false" customHeight="true" outlineLevel="0" collapsed="false">
      <c r="B36" s="43"/>
      <c r="C36" s="26"/>
      <c r="D36" s="31"/>
      <c r="E36" s="28"/>
      <c r="F36" s="29"/>
      <c r="G36" s="28"/>
      <c r="H36" s="29"/>
      <c r="I36" s="28"/>
      <c r="J36" s="29"/>
      <c r="K36" s="28"/>
      <c r="L36" s="29"/>
      <c r="M36" s="30"/>
      <c r="N36" s="29"/>
      <c r="O36" s="31"/>
      <c r="P36" s="29"/>
      <c r="Q36" s="32"/>
      <c r="R36" s="29"/>
      <c r="S36" s="31"/>
      <c r="T36" s="31"/>
      <c r="U36" s="31"/>
      <c r="V36" s="31"/>
      <c r="W36" s="31"/>
      <c r="X36" s="31"/>
      <c r="Y36" s="31"/>
      <c r="Z36" s="31"/>
      <c r="AA36" s="44"/>
      <c r="AB36" s="44"/>
      <c r="AC36" s="45"/>
      <c r="AD36" s="44"/>
      <c r="AE36" s="31"/>
      <c r="AF36" s="36"/>
      <c r="AG36" s="36"/>
      <c r="AH36" s="46"/>
    </row>
    <row r="37" s="42" customFormat="true" ht="75" hidden="false" customHeight="true" outlineLevel="0" collapsed="false">
      <c r="B37" s="43"/>
      <c r="C37" s="26"/>
      <c r="D37" s="31"/>
      <c r="E37" s="28"/>
      <c r="F37" s="29"/>
      <c r="G37" s="28"/>
      <c r="H37" s="29"/>
      <c r="I37" s="28"/>
      <c r="J37" s="29"/>
      <c r="K37" s="28"/>
      <c r="L37" s="29"/>
      <c r="M37" s="30"/>
      <c r="N37" s="29"/>
      <c r="O37" s="31"/>
      <c r="P37" s="29"/>
      <c r="Q37" s="32"/>
      <c r="R37" s="29"/>
      <c r="S37" s="31"/>
      <c r="T37" s="31"/>
      <c r="U37" s="31"/>
      <c r="V37" s="31"/>
      <c r="W37" s="31"/>
      <c r="X37" s="31"/>
      <c r="Y37" s="31"/>
      <c r="Z37" s="31"/>
      <c r="AA37" s="44"/>
      <c r="AB37" s="44"/>
      <c r="AC37" s="45"/>
      <c r="AD37" s="44"/>
      <c r="AE37" s="31"/>
      <c r="AF37" s="36"/>
      <c r="AG37" s="36"/>
      <c r="AH37" s="46"/>
    </row>
    <row r="38" s="42" customFormat="true" ht="75" hidden="false" customHeight="true" outlineLevel="0" collapsed="false">
      <c r="B38" s="43"/>
      <c r="C38" s="26"/>
      <c r="D38" s="31"/>
      <c r="E38" s="28"/>
      <c r="F38" s="29"/>
      <c r="G38" s="28"/>
      <c r="H38" s="29"/>
      <c r="I38" s="28"/>
      <c r="J38" s="29"/>
      <c r="K38" s="28"/>
      <c r="L38" s="29"/>
      <c r="M38" s="30"/>
      <c r="N38" s="29"/>
      <c r="O38" s="31"/>
      <c r="P38" s="29"/>
      <c r="Q38" s="32"/>
      <c r="R38" s="29"/>
      <c r="S38" s="31"/>
      <c r="T38" s="31"/>
      <c r="U38" s="31"/>
      <c r="V38" s="31"/>
      <c r="W38" s="31"/>
      <c r="X38" s="31"/>
      <c r="Y38" s="31"/>
      <c r="Z38" s="31"/>
      <c r="AA38" s="44"/>
      <c r="AB38" s="44"/>
      <c r="AC38" s="45"/>
      <c r="AD38" s="44"/>
      <c r="AE38" s="31"/>
      <c r="AF38" s="36"/>
      <c r="AG38" s="36"/>
      <c r="AH38" s="46"/>
    </row>
    <row r="39" s="42" customFormat="true" ht="75" hidden="false" customHeight="true" outlineLevel="0" collapsed="false">
      <c r="B39" s="43"/>
      <c r="C39" s="26"/>
      <c r="D39" s="31"/>
      <c r="E39" s="28"/>
      <c r="F39" s="29"/>
      <c r="G39" s="28"/>
      <c r="H39" s="29"/>
      <c r="I39" s="28"/>
      <c r="J39" s="29"/>
      <c r="K39" s="28"/>
      <c r="L39" s="29"/>
      <c r="M39" s="30"/>
      <c r="N39" s="29"/>
      <c r="O39" s="31"/>
      <c r="P39" s="29"/>
      <c r="Q39" s="32"/>
      <c r="R39" s="29"/>
      <c r="S39" s="31"/>
      <c r="T39" s="31"/>
      <c r="U39" s="31"/>
      <c r="V39" s="31"/>
      <c r="W39" s="31"/>
      <c r="X39" s="31"/>
      <c r="Y39" s="31"/>
      <c r="Z39" s="31"/>
      <c r="AA39" s="44"/>
      <c r="AB39" s="44"/>
      <c r="AC39" s="45"/>
      <c r="AD39" s="44"/>
      <c r="AE39" s="31"/>
      <c r="AF39" s="36"/>
      <c r="AG39" s="36"/>
      <c r="AH39" s="46"/>
    </row>
    <row r="40" customFormat="false" ht="15" hidden="false" customHeight="false" outlineLevel="0" collapsed="false">
      <c r="A40" s="47"/>
      <c r="B40" s="47"/>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row>
    <row r="41" customFormat="false" ht="15" hidden="false" customHeight="false" outlineLevel="0" collapsed="false">
      <c r="A41" s="47"/>
      <c r="B41" s="47"/>
      <c r="C41" s="47"/>
      <c r="D41" s="47"/>
      <c r="E41" s="47"/>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row>
    <row r="42" customFormat="false" ht="15" hidden="false" customHeight="false" outlineLevel="0" collapsed="false">
      <c r="A42" s="47"/>
      <c r="B42" s="47"/>
      <c r="C42" s="47"/>
      <c r="D42" s="47"/>
      <c r="E42" s="47"/>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row>
    <row r="43" customFormat="false" ht="15" hidden="false" customHeight="false" outlineLevel="0" collapsed="false">
      <c r="A43" s="47"/>
      <c r="B43" s="47"/>
      <c r="C43" s="47"/>
      <c r="D43" s="47"/>
      <c r="E43" s="47"/>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row>
  </sheetData>
  <mergeCells count="21">
    <mergeCell ref="C6:D6"/>
    <mergeCell ref="P6:AA6"/>
    <mergeCell ref="C7:D7"/>
    <mergeCell ref="C8:C10"/>
    <mergeCell ref="D8:D10"/>
    <mergeCell ref="E8:L8"/>
    <mergeCell ref="M8:M10"/>
    <mergeCell ref="N8:N10"/>
    <mergeCell ref="O8:O10"/>
    <mergeCell ref="P8:P10"/>
    <mergeCell ref="Q8:Y9"/>
    <mergeCell ref="Z8:AC9"/>
    <mergeCell ref="AD8:AD10"/>
    <mergeCell ref="AE8:AE10"/>
    <mergeCell ref="AF8:AG9"/>
    <mergeCell ref="AH8:AH10"/>
    <mergeCell ref="S10:T10"/>
    <mergeCell ref="C11:C20"/>
    <mergeCell ref="C21:C25"/>
    <mergeCell ref="C26:C33"/>
    <mergeCell ref="C34:C39"/>
  </mergeCells>
  <conditionalFormatting sqref="Z11:Z39">
    <cfRule type="expression" priority="2" aboveAverage="0" equalAverage="0" bottom="0" percent="0" rank="0" text="" dxfId="0">
      <formula>$Z11="A transférer"</formula>
    </cfRule>
    <cfRule type="expression" priority="3" aboveAverage="0" equalAverage="0" bottom="0" percent="0" rank="0" text="" dxfId="1">
      <formula>$Z11="A éliminer"</formula>
    </cfRule>
    <cfRule type="expression" priority="4" aboveAverage="0" equalAverage="0" bottom="0" percent="0" rank="0" text="" dxfId="2">
      <formula>$Z11="A atténuer"</formula>
    </cfRule>
    <cfRule type="expression" priority="5" aboveAverage="0" equalAverage="0" bottom="0" percent="0" rank="0" text="" dxfId="3">
      <formula>$Z11="Accepter"</formula>
    </cfRule>
  </conditionalFormatting>
  <conditionalFormatting sqref="Q11:Q39">
    <cfRule type="cellIs" priority="6" operator="equal" aboveAverage="0" equalAverage="0" bottom="0" percent="0" rank="0" text="" dxfId="4">
      <formula>"Critique"</formula>
    </cfRule>
    <cfRule type="cellIs" priority="7" operator="equal" aboveAverage="0" equalAverage="0" bottom="0" percent="0" rank="0" text="" dxfId="5">
      <formula>"Elevé"</formula>
    </cfRule>
    <cfRule type="cellIs" priority="8" operator="equal" aboveAverage="0" equalAverage="0" bottom="0" percent="0" rank="0" text="" dxfId="6">
      <formula>"Modéré"</formula>
    </cfRule>
    <cfRule type="cellIs" priority="9" operator="equal" aboveAverage="0" equalAverage="0" bottom="0" percent="0" rank="0" text="" dxfId="7">
      <formula>"Non significatif"</formula>
    </cfRule>
  </conditionalFormatting>
  <dataValidations count="10">
    <dataValidation allowBlank="true" errorStyle="stop" operator="between" showDropDown="false" showErrorMessage="true" showInputMessage="true" sqref="O11:O39" type="list">
      <formula1>elementsFreq</formula1>
      <formula2>0</formula2>
    </dataValidation>
    <dataValidation allowBlank="true" errorStyle="stop" operator="between" showDropDown="false" showErrorMessage="true" showInputMessage="true" sqref="AD11:AD39" type="list">
      <formula1>listEtat</formula1>
      <formula2>0</formula2>
    </dataValidation>
    <dataValidation allowBlank="true" errorStyle="stop" operator="between" showDropDown="false" showErrorMessage="true" showInputMessage="true" sqref="Z11:Z39" type="list">
      <formula1>listReponses</formula1>
      <formula2>0</formula2>
    </dataValidation>
    <dataValidation allowBlank="true" errorStyle="stop" operator="between" showDropDown="false" showErrorMessage="true" showInputMessage="true" sqref="E11:E39" type="list">
      <formula1>plageDynamique1</formula1>
      <formula2>0</formula2>
    </dataValidation>
    <dataValidation allowBlank="true" errorStyle="stop" operator="between" showDropDown="false" showErrorMessage="true" showInputMessage="true" sqref="G11:G39" type="list">
      <formula1>plageDynamique2</formula1>
      <formula2>0</formula2>
    </dataValidation>
    <dataValidation allowBlank="true" errorStyle="stop" operator="between" showDropDown="false" showErrorMessage="true" showInputMessage="true" sqref="I11:I39" type="list">
      <formula1>plageDynamique3</formula1>
      <formula2>0</formula2>
    </dataValidation>
    <dataValidation allowBlank="true" errorStyle="stop" operator="between" showDropDown="false" showErrorMessage="true" showInputMessage="true" sqref="K11:K39" type="list">
      <formula1>plageDynamique4</formula1>
      <formula2>0</formula2>
    </dataValidation>
    <dataValidation allowBlank="true" errorStyle="stop" operator="between" showDropDown="false" showErrorMessage="true" showInputMessage="true" sqref="S21:S49 O40:O49" type="list">
      <formula1>#ref!</formula1>
      <formula2>0</formula2>
    </dataValidation>
    <dataValidation allowBlank="true" errorStyle="stop" operator="between" showDropDown="false" showErrorMessage="true" showInputMessage="true" sqref="Z1:Z6 Z40:Z1039" type="list">
      <formula1>Dashboard!$F$4:$F$7</formula1>
      <formula2>0</formula2>
    </dataValidation>
    <dataValidation allowBlank="true" errorStyle="stop" operator="between" showDropDown="false" showErrorMessage="true" showInputMessage="true" sqref="E50 G50 I50 K50" type="list">
      <formula1>Paramètres!$D$7:$D$11</formula1>
      <formula2>0</formula2>
    </dataValidation>
  </dataValidations>
  <hyperlinks>
    <hyperlink ref="E8" location="Paramètres!A5" display="Critères et leur niveaux d'impact"/>
    <hyperlink ref="N8" location="Paramètres!A20" display="Code Impact"/>
    <hyperlink ref="O8" location="Paramètres!A14" display="Fréquence"/>
  </hyperlinks>
  <printOptions headings="false" gridLines="false" gridLinesSet="true" horizontalCentered="false" verticalCentered="false"/>
  <pageMargins left="0.7" right="0.7" top="0.75" bottom="0.75" header="0.511811023622047" footer="0.511811023622047"/>
  <pageSetup paperSize="9"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5">
              <controlPr defaultSize="0" print="false" autoFill="0" autoPict="0" macro="matriceRisques.effIcaCE">
                <anchor moveWithCells="true" sizeWithCells="false">
                  <from>
                    <xdr:col>31</xdr:col>
                    <xdr:colOff>237960</xdr:colOff>
                    <xdr:row>10</xdr:row>
                    <xdr:rowOff>363240</xdr:rowOff>
                  </from>
                  <to>
                    <xdr:col>32</xdr:col>
                    <xdr:colOff>-253080</xdr:colOff>
                    <xdr:row>11</xdr:row>
                    <xdr:rowOff>-360720</xdr:rowOff>
                  </to>
                </anchor>
              </controlPr>
            </control>
          </mc:Choice>
        </mc:AlternateContent>
        <mc:AlternateContent xmlns:mc="http://schemas.openxmlformats.org/markup-compatibility/2006">
          <mc:Choice Requires="x14">
            <control shapeId="1002" r:id="rId4" name="Button 6">
              <controlPr defaultSize="0" print="false" autoFill="0" autoPict="0" macro="matriceRisques.PaseffIcaCE">
                <anchor moveWithCells="true" sizeWithCells="false">
                  <from>
                    <xdr:col>32</xdr:col>
                    <xdr:colOff>228600</xdr:colOff>
                    <xdr:row>10</xdr:row>
                    <xdr:rowOff>363240</xdr:rowOff>
                  </from>
                  <to>
                    <xdr:col>33</xdr:col>
                    <xdr:colOff>-262080</xdr:colOff>
                    <xdr:row>11</xdr:row>
                    <xdr:rowOff>-360720</xdr:rowOff>
                  </to>
                </anchor>
              </controlPr>
            </control>
          </mc:Choice>
        </mc:AlternateContent>
        <mc:AlternateContent xmlns:mc="http://schemas.openxmlformats.org/markup-compatibility/2006">
          <mc:Choice Requires="x14">
            <control shapeId="1003" r:id="rId5" name="Button 9">
              <controlPr defaultSize="0" print="false" autoFill="0" autoPict="0" macro="matriceRisques.effIcaCE">
                <anchor moveWithCells="true" sizeWithCells="false">
                  <from>
                    <xdr:col>31</xdr:col>
                    <xdr:colOff>237960</xdr:colOff>
                    <xdr:row>12</xdr:row>
                    <xdr:rowOff>86760</xdr:rowOff>
                  </from>
                  <to>
                    <xdr:col>32</xdr:col>
                    <xdr:colOff>-253080</xdr:colOff>
                    <xdr:row>13</xdr:row>
                    <xdr:rowOff>-141480</xdr:rowOff>
                  </to>
                </anchor>
              </controlPr>
            </control>
          </mc:Choice>
        </mc:AlternateContent>
        <mc:AlternateContent xmlns:mc="http://schemas.openxmlformats.org/markup-compatibility/2006">
          <mc:Choice Requires="x14">
            <control shapeId="1004" r:id="rId6" name="Button 10">
              <controlPr defaultSize="0" print="false" autoFill="0" autoPict="0" macro="matriceRisques.PaseffIcaCE">
                <anchor moveWithCells="true" sizeWithCells="false">
                  <from>
                    <xdr:col>32</xdr:col>
                    <xdr:colOff>228600</xdr:colOff>
                    <xdr:row>12</xdr:row>
                    <xdr:rowOff>86760</xdr:rowOff>
                  </from>
                  <to>
                    <xdr:col>33</xdr:col>
                    <xdr:colOff>-262080</xdr:colOff>
                    <xdr:row>13</xdr:row>
                    <xdr:rowOff>-141480</xdr:rowOff>
                  </to>
                </anchor>
              </controlPr>
            </control>
          </mc:Choice>
        </mc:AlternateContent>
        <mc:AlternateContent xmlns:mc="http://schemas.openxmlformats.org/markup-compatibility/2006">
          <mc:Choice Requires="x14">
            <control shapeId="1005" r:id="rId7" name="Button 11">
              <controlPr defaultSize="0" print="false" autoFill="0" autoPict="0" macro="matriceRisques.effIcaCE">
                <anchor moveWithCells="true" sizeWithCells="false">
                  <from>
                    <xdr:col>31</xdr:col>
                    <xdr:colOff>237960</xdr:colOff>
                    <xdr:row>13</xdr:row>
                    <xdr:rowOff>191880</xdr:rowOff>
                  </from>
                  <to>
                    <xdr:col>32</xdr:col>
                    <xdr:colOff>-253080</xdr:colOff>
                    <xdr:row>14</xdr:row>
                    <xdr:rowOff>-198720</xdr:rowOff>
                  </to>
                </anchor>
              </controlPr>
            </control>
          </mc:Choice>
        </mc:AlternateContent>
        <mc:AlternateContent xmlns:mc="http://schemas.openxmlformats.org/markup-compatibility/2006">
          <mc:Choice Requires="x14">
            <control shapeId="1006" r:id="rId8" name="Button 12">
              <controlPr defaultSize="0" print="false" autoFill="0" autoPict="0" macro="matriceRisques.PaseffIcaCE">
                <anchor moveWithCells="true" sizeWithCells="false">
                  <from>
                    <xdr:col>32</xdr:col>
                    <xdr:colOff>228600</xdr:colOff>
                    <xdr:row>13</xdr:row>
                    <xdr:rowOff>191880</xdr:rowOff>
                  </from>
                  <to>
                    <xdr:col>33</xdr:col>
                    <xdr:colOff>-262080</xdr:colOff>
                    <xdr:row>14</xdr:row>
                    <xdr:rowOff>-198720</xdr:rowOff>
                  </to>
                </anchor>
              </controlPr>
            </control>
          </mc:Choice>
        </mc:AlternateContent>
        <mc:AlternateContent xmlns:mc="http://schemas.openxmlformats.org/markup-compatibility/2006">
          <mc:Choice Requires="x14">
            <control shapeId="1007" r:id="rId9" name="Button 13">
              <controlPr defaultSize="0" print="false" autoFill="0" autoPict="0" macro="matriceRisques.effIcaCE">
                <anchor moveWithCells="true" sizeWithCells="false">
                  <from>
                    <xdr:col>31</xdr:col>
                    <xdr:colOff>237960</xdr:colOff>
                    <xdr:row>14</xdr:row>
                    <xdr:rowOff>248760</xdr:rowOff>
                  </from>
                  <to>
                    <xdr:col>32</xdr:col>
                    <xdr:colOff>-253080</xdr:colOff>
                    <xdr:row>15</xdr:row>
                    <xdr:rowOff>-236880</xdr:rowOff>
                  </to>
                </anchor>
              </controlPr>
            </control>
          </mc:Choice>
        </mc:AlternateContent>
        <mc:AlternateContent xmlns:mc="http://schemas.openxmlformats.org/markup-compatibility/2006">
          <mc:Choice Requires="x14">
            <control shapeId="1008" r:id="rId10" name="Button 14">
              <controlPr defaultSize="0" print="false" autoFill="0" autoPict="0" macro="matriceRisques.PaseffIcaCE">
                <anchor moveWithCells="true" sizeWithCells="false">
                  <from>
                    <xdr:col>32</xdr:col>
                    <xdr:colOff>228600</xdr:colOff>
                    <xdr:row>14</xdr:row>
                    <xdr:rowOff>248760</xdr:rowOff>
                  </from>
                  <to>
                    <xdr:col>33</xdr:col>
                    <xdr:colOff>-262080</xdr:colOff>
                    <xdr:row>15</xdr:row>
                    <xdr:rowOff>-236880</xdr:rowOff>
                  </to>
                </anchor>
              </controlPr>
            </control>
          </mc:Choice>
        </mc:AlternateContent>
        <mc:AlternateContent xmlns:mc="http://schemas.openxmlformats.org/markup-compatibility/2006">
          <mc:Choice Requires="x14">
            <control shapeId="1009" r:id="rId11" name="Button 15">
              <controlPr defaultSize="0" print="false" autoFill="0" autoPict="0" macro="matriceRisques.effIcaCE">
                <anchor moveWithCells="true" sizeWithCells="false">
                  <from>
                    <xdr:col>31</xdr:col>
                    <xdr:colOff>237960</xdr:colOff>
                    <xdr:row>15</xdr:row>
                    <xdr:rowOff>106200</xdr:rowOff>
                  </from>
                  <to>
                    <xdr:col>32</xdr:col>
                    <xdr:colOff>-253080</xdr:colOff>
                    <xdr:row>16</xdr:row>
                    <xdr:rowOff>-151200</xdr:rowOff>
                  </to>
                </anchor>
              </controlPr>
            </control>
          </mc:Choice>
        </mc:AlternateContent>
        <mc:AlternateContent xmlns:mc="http://schemas.openxmlformats.org/markup-compatibility/2006">
          <mc:Choice Requires="x14">
            <control shapeId="1010" r:id="rId12" name="Button 16">
              <controlPr defaultSize="0" print="false" autoFill="0" autoPict="0" macro="matriceRisques.PaseffIcaCE">
                <anchor moveWithCells="true" sizeWithCells="false">
                  <from>
                    <xdr:col>32</xdr:col>
                    <xdr:colOff>228600</xdr:colOff>
                    <xdr:row>15</xdr:row>
                    <xdr:rowOff>106200</xdr:rowOff>
                  </from>
                  <to>
                    <xdr:col>33</xdr:col>
                    <xdr:colOff>-262080</xdr:colOff>
                    <xdr:row>16</xdr:row>
                    <xdr:rowOff>-151200</xdr:rowOff>
                  </to>
                </anchor>
              </controlPr>
            </control>
          </mc:Choice>
        </mc:AlternateContent>
        <mc:AlternateContent xmlns:mc="http://schemas.openxmlformats.org/markup-compatibility/2006">
          <mc:Choice Requires="x14">
            <control shapeId="1011" r:id="rId13" name="Button 17">
              <controlPr defaultSize="0" print="false" autoFill="0" autoPict="0" macro="matriceRisques.effIcaCE">
                <anchor moveWithCells="true" sizeWithCells="false">
                  <from>
                    <xdr:col>31</xdr:col>
                    <xdr:colOff>237960</xdr:colOff>
                    <xdr:row>16</xdr:row>
                    <xdr:rowOff>134640</xdr:rowOff>
                  </from>
                  <to>
                    <xdr:col>32</xdr:col>
                    <xdr:colOff>-253080</xdr:colOff>
                    <xdr:row>17</xdr:row>
                    <xdr:rowOff>-113040</xdr:rowOff>
                  </to>
                </anchor>
              </controlPr>
            </control>
          </mc:Choice>
        </mc:AlternateContent>
        <mc:AlternateContent xmlns:mc="http://schemas.openxmlformats.org/markup-compatibility/2006">
          <mc:Choice Requires="x14">
            <control shapeId="1012" r:id="rId14" name="Button 18">
              <controlPr defaultSize="0" print="false" autoFill="0" autoPict="0" macro="matriceRisques.PaseffIcaCE">
                <anchor moveWithCells="true" sizeWithCells="false">
                  <from>
                    <xdr:col>32</xdr:col>
                    <xdr:colOff>228600</xdr:colOff>
                    <xdr:row>16</xdr:row>
                    <xdr:rowOff>134640</xdr:rowOff>
                  </from>
                  <to>
                    <xdr:col>33</xdr:col>
                    <xdr:colOff>-262080</xdr:colOff>
                    <xdr:row>17</xdr:row>
                    <xdr:rowOff>-113040</xdr:rowOff>
                  </to>
                </anchor>
              </controlPr>
            </control>
          </mc:Choice>
        </mc:AlternateContent>
        <mc:AlternateContent xmlns:mc="http://schemas.openxmlformats.org/markup-compatibility/2006">
          <mc:Choice Requires="x14">
            <control shapeId="1013" r:id="rId15" name="Button 19">
              <controlPr defaultSize="0" print="false" autoFill="0" autoPict="0" macro="matriceRisques.effIcaCE">
                <anchor moveWithCells="true" sizeWithCells="false">
                  <from>
                    <xdr:col>31</xdr:col>
                    <xdr:colOff>237960</xdr:colOff>
                    <xdr:row>17</xdr:row>
                    <xdr:rowOff>210600</xdr:rowOff>
                  </from>
                  <to>
                    <xdr:col>32</xdr:col>
                    <xdr:colOff>-253080</xdr:colOff>
                    <xdr:row>18</xdr:row>
                    <xdr:rowOff>-180000</xdr:rowOff>
                  </to>
                </anchor>
              </controlPr>
            </control>
          </mc:Choice>
        </mc:AlternateContent>
        <mc:AlternateContent xmlns:mc="http://schemas.openxmlformats.org/markup-compatibility/2006">
          <mc:Choice Requires="x14">
            <control shapeId="1014" r:id="rId16" name="Button 20">
              <controlPr defaultSize="0" print="false" autoFill="0" autoPict="0" macro="matriceRisques.PaseffIcaCE">
                <anchor moveWithCells="true" sizeWithCells="false">
                  <from>
                    <xdr:col>32</xdr:col>
                    <xdr:colOff>228600</xdr:colOff>
                    <xdr:row>17</xdr:row>
                    <xdr:rowOff>210600</xdr:rowOff>
                  </from>
                  <to>
                    <xdr:col>33</xdr:col>
                    <xdr:colOff>-262080</xdr:colOff>
                    <xdr:row>18</xdr:row>
                    <xdr:rowOff>-180000</xdr:rowOff>
                  </to>
                </anchor>
              </controlPr>
            </control>
          </mc:Choice>
        </mc:AlternateContent>
        <mc:AlternateContent xmlns:mc="http://schemas.openxmlformats.org/markup-compatibility/2006">
          <mc:Choice Requires="x14">
            <control shapeId="1015" r:id="rId17" name="Button 21">
              <controlPr defaultSize="0" print="false" autoFill="0" autoPict="0" macro="matriceRisques.effIcaCE">
                <anchor moveWithCells="true" sizeWithCells="false">
                  <from>
                    <xdr:col>31</xdr:col>
                    <xdr:colOff>237960</xdr:colOff>
                    <xdr:row>18</xdr:row>
                    <xdr:rowOff>96480</xdr:rowOff>
                  </from>
                  <to>
                    <xdr:col>32</xdr:col>
                    <xdr:colOff>-253080</xdr:colOff>
                    <xdr:row>19</xdr:row>
                    <xdr:rowOff>-160920</xdr:rowOff>
                  </to>
                </anchor>
              </controlPr>
            </control>
          </mc:Choice>
        </mc:AlternateContent>
        <mc:AlternateContent xmlns:mc="http://schemas.openxmlformats.org/markup-compatibility/2006">
          <mc:Choice Requires="x14">
            <control shapeId="1016" r:id="rId18" name="Button 22">
              <controlPr defaultSize="0" print="false" autoFill="0" autoPict="0" macro="matriceRisques.PaseffIcaCE">
                <anchor moveWithCells="true" sizeWithCells="false">
                  <from>
                    <xdr:col>32</xdr:col>
                    <xdr:colOff>228600</xdr:colOff>
                    <xdr:row>18</xdr:row>
                    <xdr:rowOff>96480</xdr:rowOff>
                  </from>
                  <to>
                    <xdr:col>33</xdr:col>
                    <xdr:colOff>-262080</xdr:colOff>
                    <xdr:row>19</xdr:row>
                    <xdr:rowOff>-160920</xdr:rowOff>
                  </to>
                </anchor>
              </controlPr>
            </control>
          </mc:Choice>
        </mc:AlternateContent>
        <mc:AlternateContent xmlns:mc="http://schemas.openxmlformats.org/markup-compatibility/2006">
          <mc:Choice Requires="x14">
            <control shapeId="1017" r:id="rId19" name="Button 23">
              <controlPr defaultSize="0" print="false" autoFill="0" autoPict="0" macro="matriceRisques.effIcaCE">
                <anchor moveWithCells="true" sizeWithCells="false">
                  <from>
                    <xdr:col>31</xdr:col>
                    <xdr:colOff>237960</xdr:colOff>
                    <xdr:row>19</xdr:row>
                    <xdr:rowOff>363240</xdr:rowOff>
                  </from>
                  <to>
                    <xdr:col>32</xdr:col>
                    <xdr:colOff>-253080</xdr:colOff>
                    <xdr:row>20</xdr:row>
                    <xdr:rowOff>-360360</xdr:rowOff>
                  </to>
                </anchor>
              </controlPr>
            </control>
          </mc:Choice>
        </mc:AlternateContent>
        <mc:AlternateContent xmlns:mc="http://schemas.openxmlformats.org/markup-compatibility/2006">
          <mc:Choice Requires="x14">
            <control shapeId="1018" r:id="rId20" name="Button 24">
              <controlPr defaultSize="0" print="false" autoFill="0" autoPict="0" macro="matriceRisques.PaseffIcaCE">
                <anchor moveWithCells="true" sizeWithCells="false">
                  <from>
                    <xdr:col>32</xdr:col>
                    <xdr:colOff>228600</xdr:colOff>
                    <xdr:row>19</xdr:row>
                    <xdr:rowOff>363240</xdr:rowOff>
                  </from>
                  <to>
                    <xdr:col>33</xdr:col>
                    <xdr:colOff>-262080</xdr:colOff>
                    <xdr:row>20</xdr:row>
                    <xdr:rowOff>-360360</xdr:rowOff>
                  </to>
                </anchor>
              </controlPr>
            </control>
          </mc:Choice>
        </mc:AlternateContent>
        <mc:AlternateContent xmlns:mc="http://schemas.openxmlformats.org/markup-compatibility/2006">
          <mc:Choice Requires="x14">
            <control shapeId="1019" r:id="rId21" name="Button 25">
              <controlPr defaultSize="0" print="false" autoFill="0" autoPict="0" macro="matriceRisques.effIcaCE">
                <anchor moveWithCells="true" sizeWithCells="false">
                  <from>
                    <xdr:col>31</xdr:col>
                    <xdr:colOff>237960</xdr:colOff>
                    <xdr:row>20</xdr:row>
                    <xdr:rowOff>191520</xdr:rowOff>
                  </from>
                  <to>
                    <xdr:col>32</xdr:col>
                    <xdr:colOff>-253080</xdr:colOff>
                    <xdr:row>21</xdr:row>
                    <xdr:rowOff>-199080</xdr:rowOff>
                  </to>
                </anchor>
              </controlPr>
            </control>
          </mc:Choice>
        </mc:AlternateContent>
        <mc:AlternateContent xmlns:mc="http://schemas.openxmlformats.org/markup-compatibility/2006">
          <mc:Choice Requires="x14">
            <control shapeId="1020" r:id="rId22" name="Button 26">
              <controlPr defaultSize="0" print="false" autoFill="0" autoPict="0" macro="matriceRisques.PaseffIcaCE">
                <anchor moveWithCells="true" sizeWithCells="false">
                  <from>
                    <xdr:col>32</xdr:col>
                    <xdr:colOff>228600</xdr:colOff>
                    <xdr:row>20</xdr:row>
                    <xdr:rowOff>191520</xdr:rowOff>
                  </from>
                  <to>
                    <xdr:col>33</xdr:col>
                    <xdr:colOff>-262080</xdr:colOff>
                    <xdr:row>21</xdr:row>
                    <xdr:rowOff>-199080</xdr:rowOff>
                  </to>
                </anchor>
              </controlPr>
            </control>
          </mc:Choice>
        </mc:AlternateContent>
        <mc:AlternateContent xmlns:mc="http://schemas.openxmlformats.org/markup-compatibility/2006">
          <mc:Choice Requires="x14">
            <control shapeId="1021" r:id="rId23" name="Button 27">
              <controlPr defaultSize="0" print="false" autoFill="0" autoPict="0" macro="matriceRisques.effIcaCE">
                <anchor moveWithCells="true" sizeWithCells="false">
                  <from>
                    <xdr:col>31</xdr:col>
                    <xdr:colOff>237960</xdr:colOff>
                    <xdr:row>21</xdr:row>
                    <xdr:rowOff>153720</xdr:rowOff>
                  </from>
                  <to>
                    <xdr:col>32</xdr:col>
                    <xdr:colOff>-253080</xdr:colOff>
                    <xdr:row>22</xdr:row>
                    <xdr:rowOff>-236880</xdr:rowOff>
                  </to>
                </anchor>
              </controlPr>
            </control>
          </mc:Choice>
        </mc:AlternateContent>
        <mc:AlternateContent xmlns:mc="http://schemas.openxmlformats.org/markup-compatibility/2006">
          <mc:Choice Requires="x14">
            <control shapeId="1022" r:id="rId24" name="Button 28">
              <controlPr defaultSize="0" print="false" autoFill="0" autoPict="0" macro="matriceRisques.PaseffIcaCE">
                <anchor moveWithCells="true" sizeWithCells="false">
                  <from>
                    <xdr:col>32</xdr:col>
                    <xdr:colOff>228600</xdr:colOff>
                    <xdr:row>21</xdr:row>
                    <xdr:rowOff>153720</xdr:rowOff>
                  </from>
                  <to>
                    <xdr:col>33</xdr:col>
                    <xdr:colOff>-262080</xdr:colOff>
                    <xdr:row>22</xdr:row>
                    <xdr:rowOff>-236880</xdr:rowOff>
                  </to>
                </anchor>
              </controlPr>
            </control>
          </mc:Choice>
        </mc:AlternateContent>
        <mc:AlternateContent xmlns:mc="http://schemas.openxmlformats.org/markup-compatibility/2006">
          <mc:Choice Requires="x14">
            <control shapeId="1023" r:id="rId25" name="Button 29">
              <controlPr defaultSize="0" print="false" autoFill="0" autoPict="0" macro="matriceRisques.effIcaCE">
                <anchor moveWithCells="true" sizeWithCells="false">
                  <from>
                    <xdr:col>31</xdr:col>
                    <xdr:colOff>237960</xdr:colOff>
                    <xdr:row>22</xdr:row>
                    <xdr:rowOff>191520</xdr:rowOff>
                  </from>
                  <to>
                    <xdr:col>32</xdr:col>
                    <xdr:colOff>-253080</xdr:colOff>
                    <xdr:row>23</xdr:row>
                    <xdr:rowOff>-199080</xdr:rowOff>
                  </to>
                </anchor>
              </controlPr>
            </control>
          </mc:Choice>
        </mc:AlternateContent>
        <mc:AlternateContent xmlns:mc="http://schemas.openxmlformats.org/markup-compatibility/2006">
          <mc:Choice Requires="x14">
            <control shapeId="1024" r:id="rId26" name="Button 30">
              <controlPr defaultSize="0" print="false" autoFill="0" autoPict="0" macro="matriceRisques.PaseffIcaCE">
                <anchor moveWithCells="true" sizeWithCells="false">
                  <from>
                    <xdr:col>32</xdr:col>
                    <xdr:colOff>228600</xdr:colOff>
                    <xdr:row>22</xdr:row>
                    <xdr:rowOff>191520</xdr:rowOff>
                  </from>
                  <to>
                    <xdr:col>33</xdr:col>
                    <xdr:colOff>-262080</xdr:colOff>
                    <xdr:row>23</xdr:row>
                    <xdr:rowOff>-199080</xdr:rowOff>
                  </to>
                </anchor>
              </controlPr>
            </control>
          </mc:Choice>
        </mc:AlternateContent>
        <mc:AlternateContent xmlns:mc="http://schemas.openxmlformats.org/markup-compatibility/2006">
          <mc:Choice Requires="x14">
            <control shapeId="1025" r:id="rId27" name="Button 31">
              <controlPr defaultSize="0" print="false" autoFill="0" autoPict="0" macro="matriceRisques.effIcaCE">
                <anchor moveWithCells="true" sizeWithCells="false">
                  <from>
                    <xdr:col>31</xdr:col>
                    <xdr:colOff>237960</xdr:colOff>
                    <xdr:row>23</xdr:row>
                    <xdr:rowOff>182160</xdr:rowOff>
                  </from>
                  <to>
                    <xdr:col>32</xdr:col>
                    <xdr:colOff>-253080</xdr:colOff>
                    <xdr:row>24</xdr:row>
                    <xdr:rowOff>-208080</xdr:rowOff>
                  </to>
                </anchor>
              </controlPr>
            </control>
          </mc:Choice>
        </mc:AlternateContent>
        <mc:AlternateContent xmlns:mc="http://schemas.openxmlformats.org/markup-compatibility/2006">
          <mc:Choice Requires="x14">
            <control shapeId="1026" r:id="rId28" name="Button 32">
              <controlPr defaultSize="0" print="false" autoFill="0" autoPict="0" macro="matriceRisques.PaseffIcaCE">
                <anchor moveWithCells="true" sizeWithCells="false">
                  <from>
                    <xdr:col>32</xdr:col>
                    <xdr:colOff>228600</xdr:colOff>
                    <xdr:row>23</xdr:row>
                    <xdr:rowOff>182160</xdr:rowOff>
                  </from>
                  <to>
                    <xdr:col>33</xdr:col>
                    <xdr:colOff>-262080</xdr:colOff>
                    <xdr:row>24</xdr:row>
                    <xdr:rowOff>-208080</xdr:rowOff>
                  </to>
                </anchor>
              </controlPr>
            </control>
          </mc:Choice>
        </mc:AlternateContent>
        <mc:AlternateContent xmlns:mc="http://schemas.openxmlformats.org/markup-compatibility/2006">
          <mc:Choice Requires="x14">
            <control shapeId="1027" r:id="rId29" name="Button 33">
              <controlPr defaultSize="0" print="false" autoFill="0" autoPict="0" macro="matriceRisques.effIcaCE">
                <anchor moveWithCells="true" sizeWithCells="false">
                  <from>
                    <xdr:col>31</xdr:col>
                    <xdr:colOff>237960</xdr:colOff>
                    <xdr:row>24</xdr:row>
                    <xdr:rowOff>363600</xdr:rowOff>
                  </from>
                  <to>
                    <xdr:col>32</xdr:col>
                    <xdr:colOff>-253080</xdr:colOff>
                    <xdr:row>25</xdr:row>
                    <xdr:rowOff>-236520</xdr:rowOff>
                  </to>
                </anchor>
              </controlPr>
            </control>
          </mc:Choice>
        </mc:AlternateContent>
        <mc:AlternateContent xmlns:mc="http://schemas.openxmlformats.org/markup-compatibility/2006">
          <mc:Choice Requires="x14">
            <control shapeId="1028" r:id="rId30" name="Button 34">
              <controlPr defaultSize="0" print="false" autoFill="0" autoPict="0" macro="matriceRisques.PaseffIcaCE">
                <anchor moveWithCells="true" sizeWithCells="false">
                  <from>
                    <xdr:col>32</xdr:col>
                    <xdr:colOff>228600</xdr:colOff>
                    <xdr:row>24</xdr:row>
                    <xdr:rowOff>363600</xdr:rowOff>
                  </from>
                  <to>
                    <xdr:col>33</xdr:col>
                    <xdr:colOff>-262080</xdr:colOff>
                    <xdr:row>25</xdr:row>
                    <xdr:rowOff>-236520</xdr:rowOff>
                  </to>
                </anchor>
              </controlPr>
            </control>
          </mc:Choice>
        </mc:AlternateContent>
        <mc:AlternateContent xmlns:mc="http://schemas.openxmlformats.org/markup-compatibility/2006">
          <mc:Choice Requires="x14">
            <control shapeId="1029" r:id="rId31" name="Button 35">
              <controlPr defaultSize="0" print="false" autoFill="0" autoPict="0" macro="matriceRisques.effIcaCE">
                <anchor moveWithCells="true" sizeWithCells="false">
                  <from>
                    <xdr:col>31</xdr:col>
                    <xdr:colOff>237960</xdr:colOff>
                    <xdr:row>25</xdr:row>
                    <xdr:rowOff>363240</xdr:rowOff>
                  </from>
                  <to>
                    <xdr:col>32</xdr:col>
                    <xdr:colOff>-253080</xdr:colOff>
                    <xdr:row>26</xdr:row>
                    <xdr:rowOff>-236880</xdr:rowOff>
                  </to>
                </anchor>
              </controlPr>
            </control>
          </mc:Choice>
        </mc:AlternateContent>
        <mc:AlternateContent xmlns:mc="http://schemas.openxmlformats.org/markup-compatibility/2006">
          <mc:Choice Requires="x14">
            <control shapeId="1030" r:id="rId32" name="Button 36">
              <controlPr defaultSize="0" print="false" autoFill="0" autoPict="0" macro="matriceRisques.PaseffIcaCE">
                <anchor moveWithCells="true" sizeWithCells="false">
                  <from>
                    <xdr:col>32</xdr:col>
                    <xdr:colOff>228600</xdr:colOff>
                    <xdr:row>25</xdr:row>
                    <xdr:rowOff>363240</xdr:rowOff>
                  </from>
                  <to>
                    <xdr:col>33</xdr:col>
                    <xdr:colOff>-262080</xdr:colOff>
                    <xdr:row>26</xdr:row>
                    <xdr:rowOff>-236880</xdr:rowOff>
                  </to>
                </anchor>
              </controlPr>
            </control>
          </mc:Choice>
        </mc:AlternateContent>
        <mc:AlternateContent xmlns:mc="http://schemas.openxmlformats.org/markup-compatibility/2006">
          <mc:Choice Requires="x14">
            <control shapeId="1031" r:id="rId33" name="Button 37">
              <controlPr defaultSize="0" print="false" autoFill="0" autoPict="0" macro="matriceRisques.effIcaCE">
                <anchor moveWithCells="true" sizeWithCells="false">
                  <from>
                    <xdr:col>31</xdr:col>
                    <xdr:colOff>237960</xdr:colOff>
                    <xdr:row>26</xdr:row>
                    <xdr:rowOff>363240</xdr:rowOff>
                  </from>
                  <to>
                    <xdr:col>32</xdr:col>
                    <xdr:colOff>-253080</xdr:colOff>
                    <xdr:row>27</xdr:row>
                    <xdr:rowOff>-236880</xdr:rowOff>
                  </to>
                </anchor>
              </controlPr>
            </control>
          </mc:Choice>
        </mc:AlternateContent>
        <mc:AlternateContent xmlns:mc="http://schemas.openxmlformats.org/markup-compatibility/2006">
          <mc:Choice Requires="x14">
            <control shapeId="1032" r:id="rId34" name="Button 38">
              <controlPr defaultSize="0" print="false" autoFill="0" autoPict="0" macro="matriceRisques.PaseffIcaCE">
                <anchor moveWithCells="true" sizeWithCells="false">
                  <from>
                    <xdr:col>32</xdr:col>
                    <xdr:colOff>228600</xdr:colOff>
                    <xdr:row>26</xdr:row>
                    <xdr:rowOff>363240</xdr:rowOff>
                  </from>
                  <to>
                    <xdr:col>33</xdr:col>
                    <xdr:colOff>-262080</xdr:colOff>
                    <xdr:row>27</xdr:row>
                    <xdr:rowOff>-236880</xdr:rowOff>
                  </to>
                </anchor>
              </controlPr>
            </control>
          </mc:Choice>
        </mc:AlternateContent>
        <mc:AlternateContent xmlns:mc="http://schemas.openxmlformats.org/markup-compatibility/2006">
          <mc:Choice Requires="x14">
            <control shapeId="1033" r:id="rId35" name="Button 39">
              <controlPr defaultSize="0" print="false" autoFill="0" autoPict="0" macro="matriceRisques.effIcaCE">
                <anchor moveWithCells="true" sizeWithCells="false">
                  <from>
                    <xdr:col>31</xdr:col>
                    <xdr:colOff>237960</xdr:colOff>
                    <xdr:row>27</xdr:row>
                    <xdr:rowOff>363240</xdr:rowOff>
                  </from>
                  <to>
                    <xdr:col>32</xdr:col>
                    <xdr:colOff>-253080</xdr:colOff>
                    <xdr:row>28</xdr:row>
                    <xdr:rowOff>-236880</xdr:rowOff>
                  </to>
                </anchor>
              </controlPr>
            </control>
          </mc:Choice>
        </mc:AlternateContent>
        <mc:AlternateContent xmlns:mc="http://schemas.openxmlformats.org/markup-compatibility/2006">
          <mc:Choice Requires="x14">
            <control shapeId="1034" r:id="rId36" name="Button 40">
              <controlPr defaultSize="0" print="false" autoFill="0" autoPict="0" macro="matriceRisques.PaseffIcaCE">
                <anchor moveWithCells="true" sizeWithCells="false">
                  <from>
                    <xdr:col>32</xdr:col>
                    <xdr:colOff>228600</xdr:colOff>
                    <xdr:row>27</xdr:row>
                    <xdr:rowOff>363240</xdr:rowOff>
                  </from>
                  <to>
                    <xdr:col>33</xdr:col>
                    <xdr:colOff>-262080</xdr:colOff>
                    <xdr:row>28</xdr:row>
                    <xdr:rowOff>-236880</xdr:rowOff>
                  </to>
                </anchor>
              </controlPr>
            </control>
          </mc:Choice>
        </mc:AlternateContent>
        <mc:AlternateContent xmlns:mc="http://schemas.openxmlformats.org/markup-compatibility/2006">
          <mc:Choice Requires="x14">
            <control shapeId="1035" r:id="rId37" name="Button 41">
              <controlPr defaultSize="0" print="false" autoFill="0" autoPict="0" macro="matriceRisques.effIcaCE">
                <anchor moveWithCells="true" sizeWithCells="false">
                  <from>
                    <xdr:col>31</xdr:col>
                    <xdr:colOff>237960</xdr:colOff>
                    <xdr:row>28</xdr:row>
                    <xdr:rowOff>363240</xdr:rowOff>
                  </from>
                  <to>
                    <xdr:col>32</xdr:col>
                    <xdr:colOff>-253080</xdr:colOff>
                    <xdr:row>29</xdr:row>
                    <xdr:rowOff>-236880</xdr:rowOff>
                  </to>
                </anchor>
              </controlPr>
            </control>
          </mc:Choice>
        </mc:AlternateContent>
        <mc:AlternateContent xmlns:mc="http://schemas.openxmlformats.org/markup-compatibility/2006">
          <mc:Choice Requires="x14">
            <control shapeId="1036" r:id="rId38" name="Button 42">
              <controlPr defaultSize="0" print="false" autoFill="0" autoPict="0" macro="matriceRisques.PaseffIcaCE">
                <anchor moveWithCells="true" sizeWithCells="false">
                  <from>
                    <xdr:col>32</xdr:col>
                    <xdr:colOff>228600</xdr:colOff>
                    <xdr:row>28</xdr:row>
                    <xdr:rowOff>363240</xdr:rowOff>
                  </from>
                  <to>
                    <xdr:col>33</xdr:col>
                    <xdr:colOff>-262080</xdr:colOff>
                    <xdr:row>29</xdr:row>
                    <xdr:rowOff>-236880</xdr:rowOff>
                  </to>
                </anchor>
              </controlPr>
            </control>
          </mc:Choice>
        </mc:AlternateContent>
        <mc:AlternateContent xmlns:mc="http://schemas.openxmlformats.org/markup-compatibility/2006">
          <mc:Choice Requires="x14">
            <control shapeId="1037" r:id="rId39" name="Button 43">
              <controlPr defaultSize="0" print="false" autoFill="0" autoPict="0" macro="matriceRisques.effIcaCE">
                <anchor moveWithCells="true" sizeWithCells="false">
                  <from>
                    <xdr:col>31</xdr:col>
                    <xdr:colOff>237960</xdr:colOff>
                    <xdr:row>29</xdr:row>
                    <xdr:rowOff>363240</xdr:rowOff>
                  </from>
                  <to>
                    <xdr:col>32</xdr:col>
                    <xdr:colOff>-253080</xdr:colOff>
                    <xdr:row>30</xdr:row>
                    <xdr:rowOff>-236520</xdr:rowOff>
                  </to>
                </anchor>
              </controlPr>
            </control>
          </mc:Choice>
        </mc:AlternateContent>
        <mc:AlternateContent xmlns:mc="http://schemas.openxmlformats.org/markup-compatibility/2006">
          <mc:Choice Requires="x14">
            <control shapeId="1038" r:id="rId40" name="Button 44">
              <controlPr defaultSize="0" print="false" autoFill="0" autoPict="0" macro="matriceRisques.PaseffIcaCE">
                <anchor moveWithCells="true" sizeWithCells="false">
                  <from>
                    <xdr:col>32</xdr:col>
                    <xdr:colOff>228600</xdr:colOff>
                    <xdr:row>29</xdr:row>
                    <xdr:rowOff>363240</xdr:rowOff>
                  </from>
                  <to>
                    <xdr:col>33</xdr:col>
                    <xdr:colOff>-262080</xdr:colOff>
                    <xdr:row>30</xdr:row>
                    <xdr:rowOff>-236520</xdr:rowOff>
                  </to>
                </anchor>
              </controlPr>
            </control>
          </mc:Choice>
        </mc:AlternateContent>
        <mc:AlternateContent xmlns:mc="http://schemas.openxmlformats.org/markup-compatibility/2006">
          <mc:Choice Requires="x14">
            <control shapeId="1039" r:id="rId41" name="Button 45">
              <controlPr defaultSize="0" print="false" autoFill="0" autoPict="0" macro="matriceRisques.effIcaCE">
                <anchor moveWithCells="true" sizeWithCells="false">
                  <from>
                    <xdr:col>31</xdr:col>
                    <xdr:colOff>237960</xdr:colOff>
                    <xdr:row>30</xdr:row>
                    <xdr:rowOff>363600</xdr:rowOff>
                  </from>
                  <to>
                    <xdr:col>32</xdr:col>
                    <xdr:colOff>-253080</xdr:colOff>
                    <xdr:row>31</xdr:row>
                    <xdr:rowOff>-236520</xdr:rowOff>
                  </to>
                </anchor>
              </controlPr>
            </control>
          </mc:Choice>
        </mc:AlternateContent>
        <mc:AlternateContent xmlns:mc="http://schemas.openxmlformats.org/markup-compatibility/2006">
          <mc:Choice Requires="x14">
            <control shapeId="1040" r:id="rId42" name="Button 46">
              <controlPr defaultSize="0" print="false" autoFill="0" autoPict="0" macro="matriceRisques.PaseffIcaCE">
                <anchor moveWithCells="true" sizeWithCells="false">
                  <from>
                    <xdr:col>32</xdr:col>
                    <xdr:colOff>228600</xdr:colOff>
                    <xdr:row>30</xdr:row>
                    <xdr:rowOff>363600</xdr:rowOff>
                  </from>
                  <to>
                    <xdr:col>33</xdr:col>
                    <xdr:colOff>-262080</xdr:colOff>
                    <xdr:row>31</xdr:row>
                    <xdr:rowOff>-236520</xdr:rowOff>
                  </to>
                </anchor>
              </controlPr>
            </control>
          </mc:Choice>
        </mc:AlternateContent>
        <mc:AlternateContent xmlns:mc="http://schemas.openxmlformats.org/markup-compatibility/2006">
          <mc:Choice Requires="x14">
            <control shapeId="1041" r:id="rId43" name="Button 47">
              <controlPr defaultSize="0" print="false" autoFill="0" autoPict="0" macro="matriceRisques.effIcaCE">
                <anchor moveWithCells="true" sizeWithCells="false">
                  <from>
                    <xdr:col>31</xdr:col>
                    <xdr:colOff>237960</xdr:colOff>
                    <xdr:row>31</xdr:row>
                    <xdr:rowOff>363240</xdr:rowOff>
                  </from>
                  <to>
                    <xdr:col>32</xdr:col>
                    <xdr:colOff>-253080</xdr:colOff>
                    <xdr:row>32</xdr:row>
                    <xdr:rowOff>-236880</xdr:rowOff>
                  </to>
                </anchor>
              </controlPr>
            </control>
          </mc:Choice>
        </mc:AlternateContent>
        <mc:AlternateContent xmlns:mc="http://schemas.openxmlformats.org/markup-compatibility/2006">
          <mc:Choice Requires="x14">
            <control shapeId="1042" r:id="rId44" name="Button 48">
              <controlPr defaultSize="0" print="false" autoFill="0" autoPict="0" macro="matriceRisques.PaseffIcaCE">
                <anchor moveWithCells="true" sizeWithCells="false">
                  <from>
                    <xdr:col>32</xdr:col>
                    <xdr:colOff>228600</xdr:colOff>
                    <xdr:row>31</xdr:row>
                    <xdr:rowOff>363240</xdr:rowOff>
                  </from>
                  <to>
                    <xdr:col>33</xdr:col>
                    <xdr:colOff>-262080</xdr:colOff>
                    <xdr:row>32</xdr:row>
                    <xdr:rowOff>-236880</xdr:rowOff>
                  </to>
                </anchor>
              </controlPr>
            </control>
          </mc:Choice>
        </mc:AlternateContent>
        <mc:AlternateContent xmlns:mc="http://schemas.openxmlformats.org/markup-compatibility/2006">
          <mc:Choice Requires="x14">
            <control shapeId="1043" r:id="rId45" name="Button 49">
              <controlPr defaultSize="0" print="false" autoFill="0" autoPict="0" macro="matriceRisques.effIcaCE">
                <anchor moveWithCells="true" sizeWithCells="false">
                  <from>
                    <xdr:col>31</xdr:col>
                    <xdr:colOff>237960</xdr:colOff>
                    <xdr:row>32</xdr:row>
                    <xdr:rowOff>363240</xdr:rowOff>
                  </from>
                  <to>
                    <xdr:col>32</xdr:col>
                    <xdr:colOff>-253080</xdr:colOff>
                    <xdr:row>33</xdr:row>
                    <xdr:rowOff>-236880</xdr:rowOff>
                  </to>
                </anchor>
              </controlPr>
            </control>
          </mc:Choice>
        </mc:AlternateContent>
        <mc:AlternateContent xmlns:mc="http://schemas.openxmlformats.org/markup-compatibility/2006">
          <mc:Choice Requires="x14">
            <control shapeId="1044" r:id="rId46" name="Button 50">
              <controlPr defaultSize="0" print="false" autoFill="0" autoPict="0" macro="matriceRisques.PaseffIcaCE">
                <anchor moveWithCells="true" sizeWithCells="false">
                  <from>
                    <xdr:col>32</xdr:col>
                    <xdr:colOff>228600</xdr:colOff>
                    <xdr:row>32</xdr:row>
                    <xdr:rowOff>363240</xdr:rowOff>
                  </from>
                  <to>
                    <xdr:col>33</xdr:col>
                    <xdr:colOff>-262080</xdr:colOff>
                    <xdr:row>33</xdr:row>
                    <xdr:rowOff>-236880</xdr:rowOff>
                  </to>
                </anchor>
              </controlPr>
            </control>
          </mc:Choice>
        </mc:AlternateContent>
        <mc:AlternateContent xmlns:mc="http://schemas.openxmlformats.org/markup-compatibility/2006">
          <mc:Choice Requires="x14">
            <control shapeId="1045" r:id="rId47" name="Button 51">
              <controlPr defaultSize="0" print="false" autoFill="0" autoPict="0" macro="matriceRisques.effIcaCE">
                <anchor moveWithCells="true" sizeWithCells="false">
                  <from>
                    <xdr:col>31</xdr:col>
                    <xdr:colOff>237960</xdr:colOff>
                    <xdr:row>33</xdr:row>
                    <xdr:rowOff>363240</xdr:rowOff>
                  </from>
                  <to>
                    <xdr:col>32</xdr:col>
                    <xdr:colOff>-253080</xdr:colOff>
                    <xdr:row>34</xdr:row>
                    <xdr:rowOff>-236880</xdr:rowOff>
                  </to>
                </anchor>
              </controlPr>
            </control>
          </mc:Choice>
        </mc:AlternateContent>
        <mc:AlternateContent xmlns:mc="http://schemas.openxmlformats.org/markup-compatibility/2006">
          <mc:Choice Requires="x14">
            <control shapeId="1046" r:id="rId48" name="Button 52">
              <controlPr defaultSize="0" print="false" autoFill="0" autoPict="0" macro="matriceRisques.PaseffIcaCE">
                <anchor moveWithCells="true" sizeWithCells="false">
                  <from>
                    <xdr:col>32</xdr:col>
                    <xdr:colOff>228600</xdr:colOff>
                    <xdr:row>33</xdr:row>
                    <xdr:rowOff>363240</xdr:rowOff>
                  </from>
                  <to>
                    <xdr:col>33</xdr:col>
                    <xdr:colOff>-262080</xdr:colOff>
                    <xdr:row>34</xdr:row>
                    <xdr:rowOff>-236880</xdr:rowOff>
                  </to>
                </anchor>
              </controlPr>
            </control>
          </mc:Choice>
        </mc:AlternateContent>
        <mc:AlternateContent xmlns:mc="http://schemas.openxmlformats.org/markup-compatibility/2006">
          <mc:Choice Requires="x14">
            <control shapeId="1047" r:id="rId49" name="Button 53">
              <controlPr defaultSize="0" print="false" autoFill="0" autoPict="0" macro="matriceRisques.effIcaCE">
                <anchor moveWithCells="true" sizeWithCells="false">
                  <from>
                    <xdr:col>31</xdr:col>
                    <xdr:colOff>237960</xdr:colOff>
                    <xdr:row>34</xdr:row>
                    <xdr:rowOff>363240</xdr:rowOff>
                  </from>
                  <to>
                    <xdr:col>32</xdr:col>
                    <xdr:colOff>-253080</xdr:colOff>
                    <xdr:row>35</xdr:row>
                    <xdr:rowOff>-236880</xdr:rowOff>
                  </to>
                </anchor>
              </controlPr>
            </control>
          </mc:Choice>
        </mc:AlternateContent>
        <mc:AlternateContent xmlns:mc="http://schemas.openxmlformats.org/markup-compatibility/2006">
          <mc:Choice Requires="x14">
            <control shapeId="1048" r:id="rId50" name="Button 54">
              <controlPr defaultSize="0" print="false" autoFill="0" autoPict="0" macro="matriceRisques.PaseffIcaCE">
                <anchor moveWithCells="true" sizeWithCells="false">
                  <from>
                    <xdr:col>32</xdr:col>
                    <xdr:colOff>228600</xdr:colOff>
                    <xdr:row>34</xdr:row>
                    <xdr:rowOff>363240</xdr:rowOff>
                  </from>
                  <to>
                    <xdr:col>33</xdr:col>
                    <xdr:colOff>-262080</xdr:colOff>
                    <xdr:row>35</xdr:row>
                    <xdr:rowOff>-236880</xdr:rowOff>
                  </to>
                </anchor>
              </controlPr>
            </control>
          </mc:Choice>
        </mc:AlternateContent>
        <mc:AlternateContent xmlns:mc="http://schemas.openxmlformats.org/markup-compatibility/2006">
          <mc:Choice Requires="x14">
            <control shapeId="1049" r:id="rId51" name="Button 55">
              <controlPr defaultSize="0" print="false" autoFill="0" autoPict="0" macro="matriceRisques.effIcaCE">
                <anchor moveWithCells="true" sizeWithCells="false">
                  <from>
                    <xdr:col>31</xdr:col>
                    <xdr:colOff>237960</xdr:colOff>
                    <xdr:row>35</xdr:row>
                    <xdr:rowOff>363240</xdr:rowOff>
                  </from>
                  <to>
                    <xdr:col>32</xdr:col>
                    <xdr:colOff>-253080</xdr:colOff>
                    <xdr:row>36</xdr:row>
                    <xdr:rowOff>-236520</xdr:rowOff>
                  </to>
                </anchor>
              </controlPr>
            </control>
          </mc:Choice>
        </mc:AlternateContent>
        <mc:AlternateContent xmlns:mc="http://schemas.openxmlformats.org/markup-compatibility/2006">
          <mc:Choice Requires="x14">
            <control shapeId="1050" r:id="rId52" name="Button 56">
              <controlPr defaultSize="0" print="false" autoFill="0" autoPict="0" macro="matriceRisques.PaseffIcaCE">
                <anchor moveWithCells="true" sizeWithCells="false">
                  <from>
                    <xdr:col>32</xdr:col>
                    <xdr:colOff>228600</xdr:colOff>
                    <xdr:row>35</xdr:row>
                    <xdr:rowOff>363240</xdr:rowOff>
                  </from>
                  <to>
                    <xdr:col>33</xdr:col>
                    <xdr:colOff>-262080</xdr:colOff>
                    <xdr:row>36</xdr:row>
                    <xdr:rowOff>-236520</xdr:rowOff>
                  </to>
                </anchor>
              </controlPr>
            </control>
          </mc:Choice>
        </mc:AlternateContent>
        <mc:AlternateContent xmlns:mc="http://schemas.openxmlformats.org/markup-compatibility/2006">
          <mc:Choice Requires="x14">
            <control shapeId="1051" r:id="rId53" name="Button 57">
              <controlPr defaultSize="0" print="false" autoFill="0" autoPict="0" macro="matriceRisques.effIcaCE">
                <anchor moveWithCells="true" sizeWithCells="false">
                  <from>
                    <xdr:col>31</xdr:col>
                    <xdr:colOff>237960</xdr:colOff>
                    <xdr:row>36</xdr:row>
                    <xdr:rowOff>363600</xdr:rowOff>
                  </from>
                  <to>
                    <xdr:col>32</xdr:col>
                    <xdr:colOff>-253080</xdr:colOff>
                    <xdr:row>37</xdr:row>
                    <xdr:rowOff>-236520</xdr:rowOff>
                  </to>
                </anchor>
              </controlPr>
            </control>
          </mc:Choice>
        </mc:AlternateContent>
        <mc:AlternateContent xmlns:mc="http://schemas.openxmlformats.org/markup-compatibility/2006">
          <mc:Choice Requires="x14">
            <control shapeId="1052" r:id="rId54" name="Button 58">
              <controlPr defaultSize="0" print="false" autoFill="0" autoPict="0" macro="matriceRisques.PaseffIcaCE">
                <anchor moveWithCells="true" sizeWithCells="false">
                  <from>
                    <xdr:col>32</xdr:col>
                    <xdr:colOff>228600</xdr:colOff>
                    <xdr:row>36</xdr:row>
                    <xdr:rowOff>363600</xdr:rowOff>
                  </from>
                  <to>
                    <xdr:col>33</xdr:col>
                    <xdr:colOff>-262080</xdr:colOff>
                    <xdr:row>37</xdr:row>
                    <xdr:rowOff>-236520</xdr:rowOff>
                  </to>
                </anchor>
              </controlPr>
            </control>
          </mc:Choice>
        </mc:AlternateContent>
        <mc:AlternateContent xmlns:mc="http://schemas.openxmlformats.org/markup-compatibility/2006">
          <mc:Choice Requires="x14">
            <control shapeId="1053" r:id="rId55" name="Button 59">
              <controlPr defaultSize="0" print="false" autoFill="0" autoPict="0" macro="matriceRisques.effIcaCE">
                <anchor moveWithCells="true" sizeWithCells="false">
                  <from>
                    <xdr:col>31</xdr:col>
                    <xdr:colOff>237960</xdr:colOff>
                    <xdr:row>37</xdr:row>
                    <xdr:rowOff>363240</xdr:rowOff>
                  </from>
                  <to>
                    <xdr:col>32</xdr:col>
                    <xdr:colOff>-253080</xdr:colOff>
                    <xdr:row>38</xdr:row>
                    <xdr:rowOff>-236880</xdr:rowOff>
                  </to>
                </anchor>
              </controlPr>
            </control>
          </mc:Choice>
        </mc:AlternateContent>
        <mc:AlternateContent xmlns:mc="http://schemas.openxmlformats.org/markup-compatibility/2006">
          <mc:Choice Requires="x14">
            <control shapeId="1054" r:id="rId56" name="Button 60">
              <controlPr defaultSize="0" print="false" autoFill="0" autoPict="0" macro="matriceRisques.PaseffIcaCE">
                <anchor moveWithCells="true" sizeWithCells="false">
                  <from>
                    <xdr:col>32</xdr:col>
                    <xdr:colOff>228600</xdr:colOff>
                    <xdr:row>37</xdr:row>
                    <xdr:rowOff>363240</xdr:rowOff>
                  </from>
                  <to>
                    <xdr:col>33</xdr:col>
                    <xdr:colOff>-262080</xdr:colOff>
                    <xdr:row>38</xdr:row>
                    <xdr:rowOff>-236880</xdr:rowOff>
                  </to>
                </anchor>
              </controlPr>
            </control>
          </mc:Choice>
        </mc:AlternateContent>
        <mc:AlternateContent xmlns:mc="http://schemas.openxmlformats.org/markup-compatibility/2006">
          <mc:Choice Requires="x14">
            <control shapeId="1055" r:id="rId57" name="Button 61">
              <controlPr defaultSize="0" print="false" autoFill="0" autoPict="0" macro="matriceRisques.effIcaCE">
                <anchor moveWithCells="true" sizeWithCells="false">
                  <from>
                    <xdr:col>31</xdr:col>
                    <xdr:colOff>237960</xdr:colOff>
                    <xdr:row>38</xdr:row>
                    <xdr:rowOff>363240</xdr:rowOff>
                  </from>
                  <to>
                    <xdr:col>32</xdr:col>
                    <xdr:colOff>-253080</xdr:colOff>
                    <xdr:row>39</xdr:row>
                    <xdr:rowOff>-236880</xdr:rowOff>
                  </to>
                </anchor>
              </controlPr>
            </control>
          </mc:Choice>
        </mc:AlternateContent>
        <mc:AlternateContent xmlns:mc="http://schemas.openxmlformats.org/markup-compatibility/2006">
          <mc:Choice Requires="x14">
            <control shapeId="1056" r:id="rId58" name="Button 62">
              <controlPr defaultSize="0" print="false" autoFill="0" autoPict="0" macro="matriceRisques.PaseffIcaCE">
                <anchor moveWithCells="true" sizeWithCells="false">
                  <from>
                    <xdr:col>32</xdr:col>
                    <xdr:colOff>228600</xdr:colOff>
                    <xdr:row>38</xdr:row>
                    <xdr:rowOff>363240</xdr:rowOff>
                  </from>
                  <to>
                    <xdr:col>33</xdr:col>
                    <xdr:colOff>-262080</xdr:colOff>
                    <xdr:row>39</xdr:row>
                    <xdr:rowOff>-236880</xdr:rowOff>
                  </to>
                </anchor>
              </controlPr>
            </control>
          </mc:Choice>
        </mc:AlternateContent>
        <mc:AlternateContent xmlns:mc="http://schemas.openxmlformats.org/markup-compatibility/2006">
          <mc:Choice Requires="x14">
            <control shapeId="1057" r:id="rId59" name="Button 227">
              <controlPr defaultSize="0" print="false" autoFill="0" autoPict="0" macro="matriceRisques.effIcaCE">
                <anchor moveWithCells="true" sizeWithCells="false">
                  <from>
                    <xdr:col>31</xdr:col>
                    <xdr:colOff>237960</xdr:colOff>
                    <xdr:row>11</xdr:row>
                    <xdr:rowOff>191520</xdr:rowOff>
                  </from>
                  <to>
                    <xdr:col>32</xdr:col>
                    <xdr:colOff>-253080</xdr:colOff>
                    <xdr:row>12</xdr:row>
                    <xdr:rowOff>-199080</xdr:rowOff>
                  </to>
                </anchor>
              </controlPr>
            </control>
          </mc:Choice>
        </mc:AlternateContent>
        <mc:AlternateContent xmlns:mc="http://schemas.openxmlformats.org/markup-compatibility/2006">
          <mc:Choice Requires="x14">
            <control shapeId="1058" r:id="rId60" name="Button 228">
              <controlPr defaultSize="0" print="false" autoFill="0" autoPict="0" macro="matriceRisques.PaseffIcaCE">
                <anchor moveWithCells="true" sizeWithCells="false">
                  <from>
                    <xdr:col>32</xdr:col>
                    <xdr:colOff>228600</xdr:colOff>
                    <xdr:row>11</xdr:row>
                    <xdr:rowOff>191520</xdr:rowOff>
                  </from>
                  <to>
                    <xdr:col>33</xdr:col>
                    <xdr:colOff>-262080</xdr:colOff>
                    <xdr:row>12</xdr:row>
                    <xdr:rowOff>-199080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5793CE1D-1140-483E-9D86-8963CEE281FF}">
            <xm:f>$AD11=Paramètres!$D$63</xm:f>
            <x14:dxf>
              <font>
                <color rgb="00FFFFFF"/>
              </font>
              <fill>
                <patternFill/>
              </fill>
              <border diagonalUp="false" diagonalDown="false">
                <left style="thin"/>
                <right style="thin"/>
                <top style="thin"/>
                <bottom style="thin"/>
                <diagonal/>
              </border>
            </x14:dxf>
          </x14:cfRule>
          <x14:cfRule type="expression" priority="11" id="{5EA0C678-8F3C-4846-8D82-61FAB0A57B6D}">
            <xm:f>$AD11=Paramètres!$D$62</xm:f>
            <x14:dxf>
              <font>
                <color rgb="FFFF0000"/>
              </font>
              <fill>
                <patternFill>
                  <bgColor rgb="FFA7C0DE"/>
                </patternFill>
              </fill>
            </x14:dxf>
          </x14:cfRule>
          <x14:cfRule type="expression" priority="12" id="{619D9247-E173-4CB0-B590-7FC32FB352AE}">
            <xm:f>$AD11=Paramètres!$D$61</xm:f>
            <x14:dxf>
              <font>
                <color rgb="FFFFFFFF"/>
              </font>
              <fill>
                <patternFill>
                  <bgColor rgb="FF002060"/>
                </patternFill>
              </fill>
            </x14:dxf>
          </x14:cfRule>
          <x14:cfRule type="expression" priority="13" id="{1EC760A5-52C3-40F6-A9AD-11AE90DED484}">
            <xm:f>$AD11=Paramètres!$D$60</xm:f>
            <x14:dxf>
              <fill>
                <patternFill>
                  <bgColor theme="6" tint="0.3999"/>
                </patternFill>
              </fill>
            </x14:dxf>
          </x14:cfRule>
          <x14:cfRule type="expression" priority="14" id="{16A4CD4B-14F4-4A31-9777-9BBFB7AE137D}">
            <xm:f>$AD11=Paramètres!$D$59</xm:f>
            <x14:dxf>
              <fill>
                <patternFill>
                  <bgColor theme="4" tint="0.3999"/>
                </patternFill>
              </fill>
            </x14:dxf>
          </x14:cfRule>
          <x14:cfRule type="expression" priority="15" id="{A0603A5B-4570-4E72-9395-903682C32E30}">
            <xm:f>$AD11=Paramètres!$D$58</xm:f>
            <x14:dxf>
              <fill>
                <patternFill>
                  <bgColor theme="5" tint="0.3999"/>
                </patternFill>
              </fill>
            </x14:dxf>
          </x14:cfRule>
          <x14:cfRule type="expression" priority="16" id="{5A871B4F-3E1C-4B42-A6C9-422BF0D03C70}">
            <xm:f>$AD11=Paramètres!$D$57</xm:f>
            <x14:dxf>
              <font>
                <color rgb="FFFFFFFF"/>
              </font>
              <fill>
                <patternFill>
                  <bgColor rgb="FF00B0F0"/>
                </patternFill>
              </fill>
            </x14:dxf>
          </x14:cfRule>
          <x14:cfRule type="expression" priority="17" id="{1623E684-E9EE-4B73-91D2-B816B67DD0ED}">
            <xm:f>$AD11=Paramètres!$D$56</xm:f>
            <x14:dxf>
              <font>
                <color rgb="FFFFFFFF"/>
              </font>
              <fill>
                <patternFill>
                  <bgColor rgb="FFFF0000"/>
                </patternFill>
              </fill>
            </x14:dxf>
          </x14:cfRule>
          <x14:cfRule type="expression" priority="18" id="{1995F69B-777A-4360-908D-B2AB36B8B0F9}">
            <xm:f>$AD11=Paramètres!$D$55</xm:f>
            <x14:dxf>
              <fill>
                <patternFill>
                  <bgColor rgb="FFFFFF00"/>
                </patternFill>
              </fill>
            </x14:dxf>
          </x14:cfRule>
          <x14:cfRule type="expression" priority="19" id="{47BEC091-2076-4728-88B0-F44F74586222}">
            <xm:f>$AD11=Paramètres!$D$54</xm:f>
            <x14:dxf>
              <font>
                <color rgb="FFFFFFFF"/>
              </font>
              <fill>
                <patternFill>
                  <bgColor rgb="FF00B050"/>
                </patternFill>
              </fill>
            </x14:dxf>
          </x14:cfRule>
          <xm:sqref>AD11:AD39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62BD8A"/>
    <pageSetUpPr fitToPage="false"/>
  </sheetPr>
  <dimension ref="A1:Q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7.5703125" defaultRowHeight="15" zeroHeight="false" outlineLevelRow="0" outlineLevelCol="0"/>
  <cols>
    <col collapsed="false" customWidth="true" hidden="false" outlineLevel="0" max="1" min="1" style="6" width="6.29"/>
    <col collapsed="false" customWidth="true" hidden="false" outlineLevel="0" max="3" min="2" style="42" width="23.14"/>
    <col collapsed="false" customWidth="true" hidden="false" outlineLevel="0" max="4" min="4" style="42" width="21.71"/>
    <col collapsed="false" customWidth="true" hidden="false" outlineLevel="0" max="5" min="5" style="6" width="3.29"/>
    <col collapsed="false" customWidth="true" hidden="false" outlineLevel="0" max="7" min="6" style="42" width="26.29"/>
    <col collapsed="false" customWidth="false" hidden="false" outlineLevel="0" max="8" min="8" style="42" width="17.57"/>
    <col collapsed="false" customWidth="false" hidden="false" outlineLevel="0" max="10" min="9" style="6" width="17.57"/>
    <col collapsed="false" customWidth="false" hidden="false" outlineLevel="0" max="24" min="11" style="48" width="17.57"/>
    <col collapsed="false" customWidth="false" hidden="false" outlineLevel="0" max="16384" min="25" style="49" width="17.57"/>
  </cols>
  <sheetData>
    <row r="1" customFormat="false" ht="93.75" hidden="false" customHeight="true" outlineLevel="0" collapsed="false"/>
    <row r="2" s="48" customFormat="true" ht="16.4" hidden="false" customHeight="false" outlineLevel="0" collapsed="false">
      <c r="A2" s="6"/>
      <c r="B2" s="50"/>
      <c r="C2" s="6"/>
      <c r="D2" s="6"/>
      <c r="E2" s="6"/>
      <c r="F2" s="6"/>
      <c r="G2" s="50"/>
      <c r="H2" s="51"/>
      <c r="I2" s="51" t="s">
        <v>69</v>
      </c>
      <c r="J2" s="51"/>
    </row>
    <row r="3" s="49" customFormat="true" ht="16.4" hidden="false" customHeight="true" outlineLevel="0" collapsed="false">
      <c r="A3" s="42"/>
      <c r="B3" s="52" t="s">
        <v>70</v>
      </c>
      <c r="C3" s="52"/>
      <c r="D3" s="53" t="s">
        <v>71</v>
      </c>
      <c r="E3" s="42"/>
      <c r="F3" s="51" t="s">
        <v>23</v>
      </c>
      <c r="G3" s="54" t="s">
        <v>71</v>
      </c>
      <c r="H3" s="54" t="s">
        <v>39</v>
      </c>
      <c r="I3" s="54" t="s">
        <v>47</v>
      </c>
      <c r="J3" s="54" t="s">
        <v>58</v>
      </c>
    </row>
    <row r="4" customFormat="false" ht="16.4" hidden="false" customHeight="false" outlineLevel="0" collapsed="false">
      <c r="B4" s="55" t="s">
        <v>72</v>
      </c>
      <c r="C4" s="55"/>
      <c r="D4" s="56" t="e">
        <f aca="false">IF(COUNTIF('Registre des risques'!$Q$11:$Q$39,B4)=0,#N/A,COUNTIF('Registre des risques'!$Q$11:$Q$39,B4))</f>
        <v>#N/A</v>
      </c>
      <c r="F4" s="57" t="s">
        <v>36</v>
      </c>
      <c r="G4" s="58" t="n">
        <f aca="false">COUNTIF('Registre des risques'!$Z$11:$Z$39,Dashboard!F4)</f>
        <v>4</v>
      </c>
      <c r="H4" s="58" t="n">
        <f aca="false">COUNTIFS('Registre des risques'!$Z$11:$Z$39,Dashboard!$F4,'Registre des risques'!$AD$11:$AD$39,Dashboard!H$3)</f>
        <v>1</v>
      </c>
      <c r="I4" s="58" t="n">
        <f aca="false">COUNTIFS('Registre des risques'!$Z$11:$Z$39,Dashboard!$F4,'Registre des risques'!$AD$11:$AD$39,Dashboard!I$3)</f>
        <v>1</v>
      </c>
      <c r="J4" s="58" t="n">
        <f aca="false">COUNTIFS('Registre des risques'!$Z$11:$Z$39,Dashboard!$F4,'Registre des risques'!$AD$11:$AD$39,Dashboard!J$3)</f>
        <v>1</v>
      </c>
      <c r="K4" s="59" t="n">
        <f aca="false">COUNTIFS('Registre des risques'!$Z$11:$Z$39,Dashboard!$F4,'Registre des risques'!$AD$11:$AD$39,Dashboard!K$3)</f>
        <v>0</v>
      </c>
      <c r="L4" s="59" t="n">
        <f aca="false">COUNTIFS('Registre des risques'!$Z$11:$Z$39,Dashboard!$F4,'Registre des risques'!$AD$11:$AD$39,Dashboard!L$3)</f>
        <v>0</v>
      </c>
      <c r="M4" s="59" t="n">
        <f aca="false">COUNTIFS('Registre des risques'!$Z$11:$Z$39,Dashboard!$F4,'Registre des risques'!$AD$11:$AD$39,Dashboard!M$3)</f>
        <v>0</v>
      </c>
      <c r="N4" s="59" t="n">
        <f aca="false">COUNTIFS('Registre des risques'!$Z$11:$Z$39,Dashboard!$F4,'Registre des risques'!$AD$11:$AD$39,Dashboard!N$3)</f>
        <v>0</v>
      </c>
      <c r="O4" s="59" t="n">
        <f aca="false">COUNTIFS('Registre des risques'!$Z$11:$Z$39,Dashboard!$F4,'Registre des risques'!$AD$11:$AD$39,Dashboard!O$3)</f>
        <v>0</v>
      </c>
      <c r="P4" s="59" t="n">
        <f aca="false">COUNTIFS('Registre des risques'!$Z$11:$Z$39,Dashboard!$F4,'Registre des risques'!$AD$11:$AD$39,Dashboard!P$3)</f>
        <v>0</v>
      </c>
      <c r="Q4" s="59" t="n">
        <f aca="false">COUNTIFS('Registre des risques'!$Z$11:$Z$39,Dashboard!$F4,'Registre des risques'!$AD$11:$AD$39,Dashboard!Q$3)</f>
        <v>0</v>
      </c>
    </row>
    <row r="5" customFormat="false" ht="16.4" hidden="false" customHeight="false" outlineLevel="0" collapsed="false">
      <c r="B5" s="55" t="s">
        <v>73</v>
      </c>
      <c r="C5" s="55"/>
      <c r="D5" s="56" t="n">
        <f aca="false">IF(COUNTIF('Registre des risques'!$Q$11:$Q$39,B5)=0,#N/A,COUNTIF('Registre des risques'!$Q$11:$Q$39,B5))</f>
        <v>1</v>
      </c>
      <c r="F5" s="57" t="s">
        <v>74</v>
      </c>
      <c r="G5" s="58" t="n">
        <f aca="false">COUNTIF('Registre des risques'!$Z$11:$Z$39,Dashboard!F5)</f>
        <v>0</v>
      </c>
      <c r="H5" s="58" t="n">
        <f aca="false">COUNTIFS('Registre des risques'!$Z$11:$Z$39,Dashboard!$F5,'Registre des risques'!$AD$11:$AD$39,Dashboard!H$3)</f>
        <v>0</v>
      </c>
      <c r="I5" s="58" t="n">
        <f aca="false">COUNTIFS('Registre des risques'!$Z$11:$Z$39,Dashboard!$F5,'Registre des risques'!$AD$11:$AD$39,Dashboard!I$3)</f>
        <v>0</v>
      </c>
      <c r="J5" s="58" t="n">
        <f aca="false">COUNTIFS('Registre des risques'!$Z$11:$Z$39,Dashboard!$F5,'Registre des risques'!$AD$11:$AD$39,Dashboard!J$3)</f>
        <v>0</v>
      </c>
      <c r="K5" s="59" t="n">
        <f aca="false">COUNTIFS('Registre des risques'!$Z$11:$Z$39,Dashboard!$F5,'Registre des risques'!$AD$11:$AD$39,Dashboard!K$3)</f>
        <v>0</v>
      </c>
      <c r="L5" s="59" t="n">
        <f aca="false">COUNTIFS('Registre des risques'!$Z$11:$Z$39,Dashboard!$F5,'Registre des risques'!$AD$11:$AD$39,Dashboard!L$3)</f>
        <v>0</v>
      </c>
      <c r="M5" s="59" t="n">
        <f aca="false">COUNTIFS('Registre des risques'!$Z$11:$Z$39,Dashboard!$F5,'Registre des risques'!$AD$11:$AD$39,Dashboard!M$3)</f>
        <v>0</v>
      </c>
      <c r="N5" s="59" t="n">
        <f aca="false">COUNTIFS('Registre des risques'!$Z$11:$Z$39,Dashboard!$F5,'Registre des risques'!$AD$11:$AD$39,Dashboard!N$3)</f>
        <v>0</v>
      </c>
      <c r="O5" s="59" t="n">
        <f aca="false">COUNTIFS('Registre des risques'!$Z$11:$Z$39,Dashboard!$F5,'Registre des risques'!$AD$11:$AD$39,Dashboard!O$3)</f>
        <v>0</v>
      </c>
      <c r="P5" s="59" t="n">
        <f aca="false">COUNTIFS('Registre des risques'!$Z$11:$Z$39,Dashboard!$F5,'Registre des risques'!$AD$11:$AD$39,Dashboard!P$3)</f>
        <v>0</v>
      </c>
      <c r="Q5" s="59" t="n">
        <f aca="false">COUNTIFS('Registre des risques'!$Z$11:$Z$39,Dashboard!$F5,'Registre des risques'!$AD$11:$AD$39,Dashboard!Q$3)</f>
        <v>0</v>
      </c>
    </row>
    <row r="6" customFormat="false" ht="16.4" hidden="false" customHeight="false" outlineLevel="0" collapsed="false">
      <c r="B6" s="55" t="s">
        <v>75</v>
      </c>
      <c r="C6" s="55"/>
      <c r="D6" s="56" t="n">
        <f aca="false">IF(COUNTIF('Registre des risques'!$Q$11:$Q$39,B6)=0,#N/A,COUNTIF('Registre des risques'!$Q$11:$Q$39,B6))</f>
        <v>2</v>
      </c>
      <c r="F6" s="57" t="s">
        <v>76</v>
      </c>
      <c r="G6" s="58" t="n">
        <f aca="false">COUNTIF('Registre des risques'!$Z$11:$Z$39,Dashboard!F6)</f>
        <v>0</v>
      </c>
      <c r="H6" s="58" t="n">
        <f aca="false">COUNTIFS('Registre des risques'!$Z$11:$Z$39,Dashboard!$F6,'Registre des risques'!$AD$11:$AD$39,Dashboard!H$3)</f>
        <v>0</v>
      </c>
      <c r="I6" s="58" t="n">
        <f aca="false">COUNTIFS('Registre des risques'!$Z$11:$Z$39,Dashboard!$F6,'Registre des risques'!$AD$11:$AD$39,Dashboard!I$3)</f>
        <v>0</v>
      </c>
      <c r="J6" s="58" t="n">
        <f aca="false">COUNTIFS('Registre des risques'!$Z$11:$Z$39,Dashboard!$F6,'Registre des risques'!$AD$11:$AD$39,Dashboard!J$3)</f>
        <v>0</v>
      </c>
      <c r="K6" s="59" t="n">
        <f aca="false">COUNTIFS('Registre des risques'!$Z$11:$Z$39,Dashboard!$F6,'Registre des risques'!$AD$11:$AD$39,Dashboard!K$3)</f>
        <v>0</v>
      </c>
      <c r="L6" s="59" t="n">
        <f aca="false">COUNTIFS('Registre des risques'!$Z$11:$Z$39,Dashboard!$F6,'Registre des risques'!$AD$11:$AD$39,Dashboard!L$3)</f>
        <v>0</v>
      </c>
      <c r="M6" s="59" t="n">
        <f aca="false">COUNTIFS('Registre des risques'!$Z$11:$Z$39,Dashboard!$F6,'Registre des risques'!$AD$11:$AD$39,Dashboard!M$3)</f>
        <v>0</v>
      </c>
      <c r="N6" s="59" t="n">
        <f aca="false">COUNTIFS('Registre des risques'!$Z$11:$Z$39,Dashboard!$F6,'Registre des risques'!$AD$11:$AD$39,Dashboard!N$3)</f>
        <v>0</v>
      </c>
      <c r="O6" s="59" t="n">
        <f aca="false">COUNTIFS('Registre des risques'!$Z$11:$Z$39,Dashboard!$F6,'Registre des risques'!$AD$11:$AD$39,Dashboard!O$3)</f>
        <v>0</v>
      </c>
      <c r="P6" s="59" t="n">
        <f aca="false">COUNTIFS('Registre des risques'!$Z$11:$Z$39,Dashboard!$F6,'Registre des risques'!$AD$11:$AD$39,Dashboard!P$3)</f>
        <v>0</v>
      </c>
      <c r="Q6" s="59" t="n">
        <f aca="false">COUNTIFS('Registre des risques'!$Z$11:$Z$39,Dashboard!$F6,'Registre des risques'!$AD$11:$AD$39,Dashboard!Q$3)</f>
        <v>0</v>
      </c>
    </row>
    <row r="7" customFormat="false" ht="16.4" hidden="false" customHeight="false" outlineLevel="0" collapsed="false">
      <c r="B7" s="55" t="s">
        <v>77</v>
      </c>
      <c r="C7" s="55"/>
      <c r="D7" s="56" t="n">
        <f aca="false">IF(COUNTIF('Registre des risques'!$Q$11:$Q$39,B7)=0,#N/A,COUNTIF('Registre des risques'!$Q$11:$Q$39,B7))</f>
        <v>1</v>
      </c>
      <c r="F7" s="57" t="s">
        <v>62</v>
      </c>
      <c r="G7" s="58" t="n">
        <f aca="false">COUNTIF('Registre des risques'!$Z$11:$Z$39,Dashboard!F7)</f>
        <v>1</v>
      </c>
      <c r="H7" s="58" t="n">
        <f aca="false">COUNTIFS('Registre des risques'!$Z$11:$Z$39,Dashboard!$F7,'Registre des risques'!$AD$11:$AD$39,Dashboard!H$3)</f>
        <v>0</v>
      </c>
      <c r="I7" s="58" t="n">
        <f aca="false">COUNTIFS('Registre des risques'!$Z$11:$Z$39,Dashboard!$F7,'Registre des risques'!$AD$11:$AD$39,Dashboard!I$3)</f>
        <v>0</v>
      </c>
      <c r="J7" s="58" t="n">
        <f aca="false">COUNTIFS('Registre des risques'!$Z$11:$Z$39,Dashboard!$F7,'Registre des risques'!$AD$11:$AD$39,Dashboard!J$3)</f>
        <v>1</v>
      </c>
      <c r="K7" s="59" t="n">
        <f aca="false">COUNTIFS('Registre des risques'!$Z$11:$Z$39,Dashboard!$F7,'Registre des risques'!$AD$11:$AD$39,Dashboard!K$3)</f>
        <v>0</v>
      </c>
      <c r="L7" s="59" t="n">
        <f aca="false">COUNTIFS('Registre des risques'!$Z$11:$Z$39,Dashboard!$F7,'Registre des risques'!$AD$11:$AD$39,Dashboard!L$3)</f>
        <v>0</v>
      </c>
      <c r="M7" s="59" t="n">
        <f aca="false">COUNTIFS('Registre des risques'!$Z$11:$Z$39,Dashboard!$F7,'Registre des risques'!$AD$11:$AD$39,Dashboard!M$3)</f>
        <v>0</v>
      </c>
      <c r="N7" s="59" t="n">
        <f aca="false">COUNTIFS('Registre des risques'!$Z$11:$Z$39,Dashboard!$F7,'Registre des risques'!$AD$11:$AD$39,Dashboard!N$3)</f>
        <v>0</v>
      </c>
      <c r="O7" s="59" t="n">
        <f aca="false">COUNTIFS('Registre des risques'!$Z$11:$Z$39,Dashboard!$F7,'Registre des risques'!$AD$11:$AD$39,Dashboard!O$3)</f>
        <v>0</v>
      </c>
      <c r="P7" s="59" t="n">
        <f aca="false">COUNTIFS('Registre des risques'!$Z$11:$Z$39,Dashboard!$F7,'Registre des risques'!$AD$11:$AD$39,Dashboard!P$3)</f>
        <v>0</v>
      </c>
      <c r="Q7" s="59" t="n">
        <f aca="false">COUNTIFS('Registre des risques'!$Z$11:$Z$39,Dashboard!$F7,'Registre des risques'!$AD$11:$AD$39,Dashboard!Q$3)</f>
        <v>0</v>
      </c>
    </row>
    <row r="8" customFormat="false" ht="17.9" hidden="false" customHeight="false" outlineLevel="0" collapsed="false">
      <c r="B8" s="60"/>
      <c r="C8" s="60"/>
      <c r="D8" s="56" t="e">
        <f aca="false">IF(COUNTIF('Registre des risques'!$Q$11:$Q$39,B8)=0,#N/A,COUNTIF('Registre des risques'!$Q$11:$Q$39,B8))</f>
        <v>#N/A</v>
      </c>
      <c r="F8" s="61"/>
      <c r="G8" s="62" t="n">
        <f aca="false">COUNTIF('Registre des risques'!$Z$11:$Z$39,Dashboard!F8)</f>
        <v>0</v>
      </c>
      <c r="H8" s="62" t="n">
        <f aca="false">COUNTIFS('Registre des risques'!$Z$11:$Z$39,Dashboard!$F8,'Registre des risques'!$AD$11:$AD$39,Dashboard!H$3)</f>
        <v>0</v>
      </c>
      <c r="I8" s="62" t="n">
        <f aca="false">COUNTIFS('Registre des risques'!$Z$11:$Z$39,Dashboard!$F8,'Registre des risques'!$AD$11:$AD$39,Dashboard!I$3)</f>
        <v>0</v>
      </c>
      <c r="J8" s="62" t="n">
        <f aca="false">COUNTIFS('Registre des risques'!$Z$11:$Z$39,Dashboard!$F8,'Registre des risques'!$AD$11:$AD$39,Dashboard!J$3)</f>
        <v>0</v>
      </c>
      <c r="K8" s="59" t="n">
        <f aca="false">COUNTIFS('Registre des risques'!$Z$11:$Z$39,Dashboard!$F8,'Registre des risques'!$AD$11:$AD$39,Dashboard!K$3)</f>
        <v>0</v>
      </c>
      <c r="L8" s="59" t="n">
        <f aca="false">COUNTIFS('Registre des risques'!$Z$11:$Z$39,Dashboard!$F8,'Registre des risques'!$AD$11:$AD$39,Dashboard!L$3)</f>
        <v>0</v>
      </c>
      <c r="M8" s="59" t="n">
        <f aca="false">COUNTIFS('Registre des risques'!$Z$11:$Z$39,Dashboard!$F8,'Registre des risques'!$AD$11:$AD$39,Dashboard!M$3)</f>
        <v>0</v>
      </c>
      <c r="N8" s="59" t="n">
        <f aca="false">COUNTIFS('Registre des risques'!$Z$11:$Z$39,Dashboard!$F8,'Registre des risques'!$AD$11:$AD$39,Dashboard!N$3)</f>
        <v>0</v>
      </c>
      <c r="O8" s="59" t="n">
        <f aca="false">COUNTIFS('Registre des risques'!$Z$11:$Z$39,Dashboard!$F8,'Registre des risques'!$AD$11:$AD$39,Dashboard!O$3)</f>
        <v>0</v>
      </c>
      <c r="P8" s="59" t="n">
        <f aca="false">COUNTIFS('Registre des risques'!$Z$11:$Z$39,Dashboard!$F8,'Registre des risques'!$AD$11:$AD$39,Dashboard!P$3)</f>
        <v>0</v>
      </c>
      <c r="Q8" s="59" t="n">
        <f aca="false">COUNTIFS('Registre des risques'!$Z$11:$Z$39,Dashboard!$F8,'Registre des risques'!$AD$11:$AD$39,Dashboard!Q$3)</f>
        <v>0</v>
      </c>
    </row>
    <row r="9" customFormat="false" ht="15.75" hidden="false" customHeight="false" outlineLevel="0" collapsed="false">
      <c r="B9" s="63"/>
      <c r="C9" s="63"/>
      <c r="D9" s="56" t="e">
        <f aca="false">IF(COUNTIF('Registre des risques'!$Q$11:$Q$39,B9)=0,#N/A,COUNTIF('Registre des risques'!$Q$11:$Q$39,B9))</f>
        <v>#N/A</v>
      </c>
      <c r="F9" s="61"/>
      <c r="G9" s="59" t="n">
        <f aca="false">COUNTIF('Registre des risques'!$Z$11:$Z$39,Dashboard!F9)</f>
        <v>0</v>
      </c>
      <c r="H9" s="64" t="n">
        <f aca="false">COUNTIFS('Registre des risques'!$Z$11:$Z$39,Dashboard!$F9,'Registre des risques'!$AD$11:$AD$39,Dashboard!H$3)</f>
        <v>0</v>
      </c>
      <c r="I9" s="59" t="n">
        <f aca="false">COUNTIFS('Registre des risques'!$Z$11:$Z$39,Dashboard!$F9,'Registre des risques'!$AD$11:$AD$39,Dashboard!I$3)</f>
        <v>0</v>
      </c>
      <c r="J9" s="59" t="n">
        <f aca="false">COUNTIFS('Registre des risques'!$Z$11:$Z$39,Dashboard!$F9,'Registre des risques'!$AD$11:$AD$39,Dashboard!J$3)</f>
        <v>0</v>
      </c>
      <c r="K9" s="59" t="n">
        <f aca="false">COUNTIFS('Registre des risques'!$Z$11:$Z$39,Dashboard!$F9,'Registre des risques'!$AD$11:$AD$39,Dashboard!K$3)</f>
        <v>0</v>
      </c>
      <c r="L9" s="59" t="n">
        <f aca="false">COUNTIFS('Registre des risques'!$Z$11:$Z$39,Dashboard!$F9,'Registre des risques'!$AD$11:$AD$39,Dashboard!L$3)</f>
        <v>0</v>
      </c>
      <c r="M9" s="59" t="n">
        <f aca="false">COUNTIFS('Registre des risques'!$Z$11:$Z$39,Dashboard!$F9,'Registre des risques'!$AD$11:$AD$39,Dashboard!M$3)</f>
        <v>0</v>
      </c>
      <c r="N9" s="59" t="n">
        <f aca="false">COUNTIFS('Registre des risques'!$Z$11:$Z$39,Dashboard!$F9,'Registre des risques'!$AD$11:$AD$39,Dashboard!N$3)</f>
        <v>0</v>
      </c>
      <c r="O9" s="59" t="n">
        <f aca="false">COUNTIFS('Registre des risques'!$Z$11:$Z$39,Dashboard!$F9,'Registre des risques'!$AD$11:$AD$39,Dashboard!O$3)</f>
        <v>0</v>
      </c>
      <c r="P9" s="59" t="n">
        <f aca="false">COUNTIFS('Registre des risques'!$Z$11:$Z$39,Dashboard!$F9,'Registre des risques'!$AD$11:$AD$39,Dashboard!P$3)</f>
        <v>0</v>
      </c>
      <c r="Q9" s="59" t="n">
        <f aca="false">COUNTIFS('Registre des risques'!$Z$11:$Z$39,Dashboard!$F9,'Registre des risques'!$AD$11:$AD$39,Dashboard!Q$3)</f>
        <v>0</v>
      </c>
    </row>
    <row r="10" customFormat="false" ht="15.75" hidden="false" customHeight="false" outlineLevel="0" collapsed="false">
      <c r="B10" s="55"/>
      <c r="C10" s="55"/>
      <c r="D10" s="56" t="e">
        <f aca="false">IF(COUNTIF('Registre des risques'!$Q$11:$Q$39,B10)=0,#N/A,COUNTIF('Registre des risques'!$Q$11:$Q$39,B10))</f>
        <v>#N/A</v>
      </c>
      <c r="F10" s="61"/>
      <c r="G10" s="58" t="n">
        <f aca="false">COUNTIF('Registre des risques'!$Z$11:$Z$39,Dashboard!F10)</f>
        <v>0</v>
      </c>
      <c r="H10" s="59" t="n">
        <f aca="false">COUNTIFS('Registre des risques'!$Z$11:$Z$39,Dashboard!$F10,'Registre des risques'!$AD$11:$AD$39,Dashboard!H$3)</f>
        <v>0</v>
      </c>
      <c r="I10" s="59" t="n">
        <f aca="false">COUNTIFS('Registre des risques'!$Z$11:$Z$39,Dashboard!$F10,'Registre des risques'!$AD$11:$AD$39,Dashboard!I$3)</f>
        <v>0</v>
      </c>
      <c r="J10" s="59" t="n">
        <f aca="false">COUNTIFS('Registre des risques'!$Z$11:$Z$39,Dashboard!$F10,'Registre des risques'!$AD$11:$AD$39,Dashboard!J$3)</f>
        <v>0</v>
      </c>
      <c r="K10" s="59" t="n">
        <f aca="false">COUNTIFS('Registre des risques'!$Z$11:$Z$39,Dashboard!$F10,'Registre des risques'!$AD$11:$AD$39,Dashboard!K$3)</f>
        <v>0</v>
      </c>
      <c r="L10" s="59" t="n">
        <f aca="false">COUNTIFS('Registre des risques'!$Z$11:$Z$39,Dashboard!$F10,'Registre des risques'!$AD$11:$AD$39,Dashboard!L$3)</f>
        <v>0</v>
      </c>
      <c r="M10" s="59" t="n">
        <f aca="false">COUNTIFS('Registre des risques'!$Z$11:$Z$39,Dashboard!$F10,'Registre des risques'!$AD$11:$AD$39,Dashboard!M$3)</f>
        <v>0</v>
      </c>
      <c r="N10" s="59" t="n">
        <f aca="false">COUNTIFS('Registre des risques'!$Z$11:$Z$39,Dashboard!$F10,'Registre des risques'!$AD$11:$AD$39,Dashboard!N$3)</f>
        <v>0</v>
      </c>
      <c r="O10" s="59" t="n">
        <f aca="false">COUNTIFS('Registre des risques'!$Z$11:$Z$39,Dashboard!$F10,'Registre des risques'!$AD$11:$AD$39,Dashboard!O$3)</f>
        <v>0</v>
      </c>
      <c r="P10" s="59" t="n">
        <f aca="false">COUNTIFS('Registre des risques'!$Z$11:$Z$39,Dashboard!$F10,'Registre des risques'!$AD$11:$AD$39,Dashboard!P$3)</f>
        <v>0</v>
      </c>
      <c r="Q10" s="59" t="n">
        <f aca="false">COUNTIFS('Registre des risques'!$Z$11:$Z$39,Dashboard!$F10,'Registre des risques'!$AD$11:$AD$39,Dashboard!Q$3)</f>
        <v>0</v>
      </c>
    </row>
    <row r="11" customFormat="false" ht="15.75" hidden="false" customHeight="false" outlineLevel="0" collapsed="false">
      <c r="B11" s="55"/>
      <c r="C11" s="55"/>
      <c r="D11" s="56" t="e">
        <f aca="false">IF(COUNTIF('Registre des risques'!$Q$11:$Q$39,B11)=0,#N/A,COUNTIF('Registre des risques'!$Q$11:$Q$39,B11))</f>
        <v>#N/A</v>
      </c>
      <c r="F11" s="61"/>
      <c r="G11" s="58" t="n">
        <f aca="false">COUNTIF('Registre des risques'!$Z$11:$Z$39,Dashboard!F11)</f>
        <v>0</v>
      </c>
      <c r="H11" s="59" t="n">
        <f aca="false">COUNTIFS('Registre des risques'!$Z$11:$Z$39,Dashboard!$F11,'Registre des risques'!$AD$11:$AD$39,Dashboard!H$3)</f>
        <v>0</v>
      </c>
      <c r="I11" s="59" t="n">
        <f aca="false">COUNTIFS('Registre des risques'!$Z$11:$Z$39,Dashboard!$F11,'Registre des risques'!$AD$11:$AD$39,Dashboard!I$3)</f>
        <v>0</v>
      </c>
      <c r="J11" s="59" t="n">
        <f aca="false">COUNTIFS('Registre des risques'!$Z$11:$Z$39,Dashboard!$F11,'Registre des risques'!$AD$11:$AD$39,Dashboard!J$3)</f>
        <v>0</v>
      </c>
      <c r="K11" s="59" t="n">
        <f aca="false">COUNTIFS('Registre des risques'!$Z$11:$Z$39,Dashboard!$F11,'Registre des risques'!$AD$11:$AD$39,Dashboard!K$3)</f>
        <v>0</v>
      </c>
      <c r="L11" s="59" t="n">
        <f aca="false">COUNTIFS('Registre des risques'!$Z$11:$Z$39,Dashboard!$F11,'Registre des risques'!$AD$11:$AD$39,Dashboard!L$3)</f>
        <v>0</v>
      </c>
      <c r="M11" s="59" t="n">
        <f aca="false">COUNTIFS('Registre des risques'!$Z$11:$Z$39,Dashboard!$F11,'Registre des risques'!$AD$11:$AD$39,Dashboard!M$3)</f>
        <v>0</v>
      </c>
      <c r="N11" s="59" t="n">
        <f aca="false">COUNTIFS('Registre des risques'!$Z$11:$Z$39,Dashboard!$F11,'Registre des risques'!$AD$11:$AD$39,Dashboard!N$3)</f>
        <v>0</v>
      </c>
      <c r="O11" s="59" t="n">
        <f aca="false">COUNTIFS('Registre des risques'!$Z$11:$Z$39,Dashboard!$F11,'Registre des risques'!$AD$11:$AD$39,Dashboard!O$3)</f>
        <v>0</v>
      </c>
      <c r="P11" s="59" t="n">
        <f aca="false">COUNTIFS('Registre des risques'!$Z$11:$Z$39,Dashboard!$F11,'Registre des risques'!$AD$11:$AD$39,Dashboard!P$3)</f>
        <v>0</v>
      </c>
      <c r="Q11" s="59" t="n">
        <f aca="false">COUNTIFS('Registre des risques'!$Z$11:$Z$39,Dashboard!$F11,'Registre des risques'!$AD$11:$AD$39,Dashboard!Q$3)</f>
        <v>0</v>
      </c>
    </row>
    <row r="12" customFormat="false" ht="15.75" hidden="false" customHeight="false" outlineLevel="0" collapsed="false">
      <c r="B12" s="55"/>
      <c r="C12" s="55"/>
      <c r="D12" s="65" t="e">
        <f aca="false">IF(COUNTIF('Registre des risques'!$Q$11:$Q$39,B12)=0,#N/A,COUNTIF('Registre des risques'!$Q$11:$Q$39,B12))</f>
        <v>#N/A</v>
      </c>
      <c r="F12" s="61"/>
      <c r="G12" s="58" t="n">
        <f aca="false">COUNTIF('Registre des risques'!$Z$11:$Z$39,Dashboard!F12)</f>
        <v>0</v>
      </c>
      <c r="H12" s="59" t="n">
        <f aca="false">COUNTIFS('Registre des risques'!$Z$11:$Z$39,Dashboard!$F12,'Registre des risques'!$AD$11:$AD$39,Dashboard!H$3)</f>
        <v>0</v>
      </c>
      <c r="I12" s="59" t="n">
        <f aca="false">COUNTIFS('Registre des risques'!$Z$11:$Z$39,Dashboard!$F12,'Registre des risques'!$AD$11:$AD$39,Dashboard!I$3)</f>
        <v>0</v>
      </c>
      <c r="J12" s="59" t="n">
        <f aca="false">COUNTIFS('Registre des risques'!$Z$11:$Z$39,Dashboard!$F12,'Registre des risques'!$AD$11:$AD$39,Dashboard!J$3)</f>
        <v>0</v>
      </c>
      <c r="K12" s="59" t="n">
        <f aca="false">COUNTIFS('Registre des risques'!$Z$11:$Z$39,Dashboard!$F12,'Registre des risques'!$AD$11:$AD$39,Dashboard!K$3)</f>
        <v>0</v>
      </c>
      <c r="L12" s="59" t="n">
        <f aca="false">COUNTIFS('Registre des risques'!$Z$11:$Z$39,Dashboard!$F12,'Registre des risques'!$AD$11:$AD$39,Dashboard!L$3)</f>
        <v>0</v>
      </c>
      <c r="M12" s="59" t="n">
        <f aca="false">COUNTIFS('Registre des risques'!$Z$11:$Z$39,Dashboard!$F12,'Registre des risques'!$AD$11:$AD$39,Dashboard!M$3)</f>
        <v>0</v>
      </c>
      <c r="N12" s="59" t="n">
        <f aca="false">COUNTIFS('Registre des risques'!$Z$11:$Z$39,Dashboard!$F12,'Registre des risques'!$AD$11:$AD$39,Dashboard!N$3)</f>
        <v>0</v>
      </c>
      <c r="O12" s="59" t="n">
        <f aca="false">COUNTIFS('Registre des risques'!$Z$11:$Z$39,Dashboard!$F12,'Registre des risques'!$AD$11:$AD$39,Dashboard!O$3)</f>
        <v>0</v>
      </c>
      <c r="P12" s="59" t="n">
        <f aca="false">COUNTIFS('Registre des risques'!$Z$11:$Z$39,Dashboard!$F12,'Registre des risques'!$AD$11:$AD$39,Dashboard!P$3)</f>
        <v>0</v>
      </c>
      <c r="Q12" s="59" t="n">
        <f aca="false">COUNTIFS('Registre des risques'!$Z$11:$Z$39,Dashboard!$F12,'Registre des risques'!$AD$11:$AD$39,Dashboard!Q$3)</f>
        <v>0</v>
      </c>
    </row>
    <row r="13" customFormat="false" ht="15.75" hidden="false" customHeight="false" outlineLevel="0" collapsed="false">
      <c r="B13" s="55"/>
      <c r="C13" s="55"/>
      <c r="D13" s="65" t="e">
        <f aca="false">IF(COUNTIF('Registre des risques'!$Q$11:$Q$39,B13)=0,#N/A,COUNTIF('Registre des risques'!$Q$11:$Q$39,B13))</f>
        <v>#N/A</v>
      </c>
      <c r="F13" s="61"/>
      <c r="G13" s="58" t="n">
        <f aca="false">COUNTIF('Registre des risques'!$Z$11:$Z$39,Dashboard!F13)</f>
        <v>0</v>
      </c>
      <c r="H13" s="59" t="n">
        <f aca="false">COUNTIFS('Registre des risques'!$Z$11:$Z$39,Dashboard!$F13,'Registre des risques'!$AD$11:$AD$39,Dashboard!H$3)</f>
        <v>0</v>
      </c>
      <c r="I13" s="59" t="n">
        <f aca="false">COUNTIFS('Registre des risques'!$Z$11:$Z$39,Dashboard!$F13,'Registre des risques'!$AD$11:$AD$39,Dashboard!I$3)</f>
        <v>0</v>
      </c>
      <c r="J13" s="59" t="n">
        <f aca="false">COUNTIFS('Registre des risques'!$Z$11:$Z$39,Dashboard!$F13,'Registre des risques'!$AD$11:$AD$39,Dashboard!J$3)</f>
        <v>0</v>
      </c>
      <c r="K13" s="59" t="n">
        <f aca="false">COUNTIFS('Registre des risques'!$Z$11:$Z$39,Dashboard!$F13,'Registre des risques'!$AD$11:$AD$39,Dashboard!K$3)</f>
        <v>0</v>
      </c>
      <c r="L13" s="59" t="n">
        <f aca="false">COUNTIFS('Registre des risques'!$Z$11:$Z$39,Dashboard!$F13,'Registre des risques'!$AD$11:$AD$39,Dashboard!L$3)</f>
        <v>0</v>
      </c>
      <c r="M13" s="59" t="n">
        <f aca="false">COUNTIFS('Registre des risques'!$Z$11:$Z$39,Dashboard!$F13,'Registre des risques'!$AD$11:$AD$39,Dashboard!M$3)</f>
        <v>0</v>
      </c>
      <c r="N13" s="59" t="n">
        <f aca="false">COUNTIFS('Registre des risques'!$Z$11:$Z$39,Dashboard!$F13,'Registre des risques'!$AD$11:$AD$39,Dashboard!N$3)</f>
        <v>0</v>
      </c>
      <c r="O13" s="59" t="n">
        <f aca="false">COUNTIFS('Registre des risques'!$Z$11:$Z$39,Dashboard!$F13,'Registre des risques'!$AD$11:$AD$39,Dashboard!O$3)</f>
        <v>0</v>
      </c>
      <c r="P13" s="59" t="n">
        <f aca="false">COUNTIFS('Registre des risques'!$Z$11:$Z$39,Dashboard!$F13,'Registre des risques'!$AD$11:$AD$39,Dashboard!P$3)</f>
        <v>0</v>
      </c>
      <c r="Q13" s="59" t="n">
        <f aca="false">COUNTIFS('Registre des risques'!$Z$11:$Z$39,Dashboard!$F13,'Registre des risques'!$AD$11:$AD$39,Dashboard!Q$3)</f>
        <v>0</v>
      </c>
    </row>
    <row r="14" customFormat="false" ht="17.9" hidden="false" customHeight="false" outlineLevel="0" collapsed="false">
      <c r="B14" s="66" t="s">
        <v>78</v>
      </c>
      <c r="C14" s="67" t="s">
        <v>79</v>
      </c>
      <c r="D14" s="68" t="e">
        <f aca="false">SUMIF(D4:D11,"&lt;&gt;" &amp;"#N/A")</f>
        <v>#N/A</v>
      </c>
      <c r="F14" s="66" t="s">
        <v>78</v>
      </c>
      <c r="G14" s="68" t="n">
        <f aca="false">SUM(G4:G13)</f>
        <v>5</v>
      </c>
      <c r="H14" s="69" t="n">
        <f aca="false">SUM(H4:H13)</f>
        <v>1</v>
      </c>
      <c r="I14" s="69" t="n">
        <f aca="false">SUM(I4:I13)</f>
        <v>1</v>
      </c>
      <c r="J14" s="69" t="n">
        <f aca="false">SUM(J4:J13)</f>
        <v>2</v>
      </c>
      <c r="K14" s="69" t="n">
        <f aca="false">SUM(K4:K13)</f>
        <v>0</v>
      </c>
      <c r="L14" s="69" t="n">
        <f aca="false">SUM(L4:L13)</f>
        <v>0</v>
      </c>
      <c r="M14" s="69" t="n">
        <f aca="false">SUM(M4:M13)</f>
        <v>0</v>
      </c>
      <c r="N14" s="69" t="n">
        <f aca="false">SUM(N4:N13)</f>
        <v>0</v>
      </c>
      <c r="O14" s="69" t="n">
        <f aca="false">SUM(O4:O13)</f>
        <v>0</v>
      </c>
      <c r="P14" s="69" t="n">
        <f aca="false">SUM(P4:P13)</f>
        <v>0</v>
      </c>
      <c r="Q14" s="69" t="n">
        <f aca="false">SUM(Q4:Q13)</f>
        <v>0</v>
      </c>
    </row>
    <row r="15" customFormat="false" ht="15" hidden="false" customHeight="false" outlineLevel="0" collapsed="false">
      <c r="D15" s="6"/>
      <c r="H15" s="6"/>
    </row>
    <row r="16" customFormat="false" ht="15" hidden="false" customHeight="false" outlineLevel="0" collapsed="false">
      <c r="D16" s="6"/>
      <c r="H16" s="6"/>
    </row>
    <row r="17" customFormat="false" ht="15" hidden="false" customHeight="false" outlineLevel="0" collapsed="false">
      <c r="D17" s="6"/>
      <c r="H17" s="6"/>
    </row>
    <row r="18" customFormat="false" ht="15" hidden="false" customHeight="false" outlineLevel="0" collapsed="false">
      <c r="D18" s="6"/>
      <c r="H18" s="6"/>
    </row>
    <row r="19" customFormat="false" ht="15" hidden="false" customHeight="false" outlineLevel="0" collapsed="false">
      <c r="D19" s="6"/>
      <c r="H19" s="6"/>
    </row>
    <row r="20" customFormat="false" ht="15" hidden="false" customHeight="false" outlineLevel="0" collapsed="false">
      <c r="D20" s="6"/>
      <c r="H20" s="6"/>
    </row>
    <row r="21" customFormat="false" ht="15" hidden="false" customHeight="false" outlineLevel="0" collapsed="false">
      <c r="D21" s="6"/>
      <c r="H21" s="6"/>
    </row>
    <row r="22" customFormat="false" ht="15" hidden="false" customHeight="false" outlineLevel="0" collapsed="false">
      <c r="D22" s="6"/>
      <c r="H22" s="6"/>
    </row>
    <row r="23" customFormat="false" ht="15" hidden="false" customHeight="false" outlineLevel="0" collapsed="false">
      <c r="D23" s="6"/>
      <c r="H23" s="6"/>
    </row>
    <row r="24" customFormat="false" ht="15" hidden="false" customHeight="false" outlineLevel="0" collapsed="false">
      <c r="D24" s="6"/>
      <c r="H24" s="6"/>
      <c r="I24" s="6" t="s">
        <v>79</v>
      </c>
    </row>
    <row r="25" customFormat="false" ht="15" hidden="false" customHeight="false" outlineLevel="0" collapsed="false">
      <c r="D25" s="6"/>
      <c r="H25" s="6"/>
    </row>
    <row r="26" customFormat="false" ht="15" hidden="false" customHeight="false" outlineLevel="0" collapsed="false">
      <c r="D26" s="6"/>
      <c r="H26" s="6"/>
    </row>
    <row r="27" customFormat="false" ht="15" hidden="false" customHeight="false" outlineLevel="0" collapsed="false">
      <c r="D27" s="6"/>
      <c r="H27" s="6"/>
    </row>
    <row r="28" customFormat="false" ht="15" hidden="false" customHeight="false" outlineLevel="0" collapsed="false">
      <c r="D28" s="6"/>
      <c r="H28" s="6"/>
    </row>
    <row r="29" customFormat="false" ht="15" hidden="false" customHeight="false" outlineLevel="0" collapsed="false">
      <c r="D29" s="6"/>
      <c r="H29" s="6"/>
    </row>
    <row r="30" s="48" customFormat="true" ht="15" hidden="false" customHeight="false" outlineLevel="0" collapsed="false">
      <c r="A30" s="6"/>
      <c r="B30" s="6"/>
      <c r="C30" s="6"/>
      <c r="D30" s="6"/>
      <c r="E30" s="6"/>
      <c r="F30" s="6"/>
      <c r="G30" s="6"/>
      <c r="H30" s="6"/>
      <c r="I30" s="6"/>
      <c r="J30" s="6"/>
    </row>
    <row r="31" s="48" customFormat="true" ht="15" hidden="false" customHeight="false" outlineLevel="0" collapsed="false">
      <c r="A31" s="6"/>
      <c r="B31" s="6"/>
      <c r="C31" s="6"/>
      <c r="D31" s="6"/>
      <c r="E31" s="6"/>
      <c r="F31" s="6"/>
      <c r="G31" s="6"/>
      <c r="H31" s="6"/>
      <c r="I31" s="6"/>
      <c r="J31" s="6"/>
    </row>
    <row r="32" s="48" customFormat="true" ht="15" hidden="false" customHeight="false" outlineLevel="0" collapsed="false">
      <c r="A32" s="6"/>
      <c r="B32" s="6"/>
      <c r="C32" s="6"/>
      <c r="D32" s="6"/>
      <c r="E32" s="6"/>
      <c r="F32" s="6"/>
      <c r="G32" s="6"/>
      <c r="H32" s="6"/>
      <c r="I32" s="6"/>
      <c r="J32" s="6"/>
    </row>
    <row r="33" s="48" customFormat="true" ht="15" hidden="false" customHeight="false" outlineLevel="0" collapsed="false">
      <c r="A33" s="6"/>
      <c r="B33" s="6"/>
      <c r="C33" s="6"/>
      <c r="D33" s="6"/>
      <c r="E33" s="6"/>
      <c r="F33" s="6"/>
      <c r="G33" s="6"/>
      <c r="H33" s="6"/>
      <c r="I33" s="6"/>
      <c r="J33" s="6"/>
    </row>
    <row r="34" s="48" customFormat="true" ht="15" hidden="false" customHeight="false" outlineLevel="0" collapsed="false">
      <c r="A34" s="6"/>
      <c r="B34" s="6"/>
      <c r="C34" s="6"/>
      <c r="D34" s="6"/>
      <c r="E34" s="6"/>
      <c r="F34" s="6"/>
      <c r="G34" s="6"/>
      <c r="H34" s="6"/>
      <c r="I34" s="6"/>
      <c r="J34" s="6"/>
    </row>
    <row r="35" s="48" customFormat="true" ht="15" hidden="false" customHeight="false" outlineLevel="0" collapsed="false">
      <c r="A35" s="6"/>
      <c r="B35" s="6"/>
      <c r="C35" s="6"/>
      <c r="D35" s="6"/>
      <c r="E35" s="6"/>
      <c r="F35" s="6"/>
      <c r="G35" s="6"/>
      <c r="H35" s="6"/>
      <c r="I35" s="6"/>
      <c r="J35" s="6"/>
    </row>
    <row r="36" s="48" customFormat="true" ht="15" hidden="false" customHeight="false" outlineLevel="0" collapsed="false">
      <c r="A36" s="6"/>
      <c r="B36" s="6"/>
      <c r="C36" s="6"/>
      <c r="D36" s="6"/>
      <c r="E36" s="6"/>
      <c r="F36" s="6"/>
      <c r="G36" s="6"/>
      <c r="H36" s="6"/>
      <c r="I36" s="6"/>
      <c r="J36" s="6"/>
    </row>
    <row r="37" s="48" customFormat="true" ht="15" hidden="false" customHeight="false" outlineLevel="0" collapsed="false">
      <c r="A37" s="6"/>
      <c r="B37" s="6"/>
      <c r="C37" s="6"/>
      <c r="D37" s="6"/>
      <c r="E37" s="6"/>
      <c r="F37" s="6"/>
      <c r="G37" s="6"/>
      <c r="H37" s="6"/>
      <c r="I37" s="6"/>
      <c r="J37" s="6"/>
    </row>
    <row r="38" s="48" customFormat="true" ht="15" hidden="false" customHeight="false" outlineLevel="0" collapsed="false">
      <c r="A38" s="6"/>
      <c r="B38" s="6"/>
      <c r="C38" s="6"/>
      <c r="D38" s="6"/>
      <c r="E38" s="6"/>
      <c r="F38" s="6"/>
      <c r="G38" s="6"/>
      <c r="H38" s="6"/>
      <c r="I38" s="6"/>
      <c r="J38" s="6"/>
    </row>
    <row r="39" s="48" customFormat="true" ht="15" hidden="false" customHeight="false" outlineLevel="0" collapsed="false">
      <c r="A39" s="6"/>
      <c r="B39" s="6"/>
      <c r="C39" s="6"/>
      <c r="D39" s="6"/>
      <c r="E39" s="6"/>
      <c r="F39" s="6"/>
      <c r="G39" s="6"/>
      <c r="H39" s="6"/>
      <c r="I39" s="6"/>
      <c r="J39" s="6"/>
    </row>
    <row r="40" s="48" customFormat="true" ht="15" hidden="false" customHeight="false" outlineLevel="0" collapsed="false">
      <c r="A40" s="6"/>
      <c r="B40" s="6"/>
      <c r="C40" s="6"/>
      <c r="D40" s="6"/>
      <c r="E40" s="6"/>
      <c r="F40" s="6"/>
      <c r="G40" s="6"/>
      <c r="H40" s="6"/>
      <c r="I40" s="6"/>
      <c r="J40" s="6"/>
    </row>
    <row r="41" s="48" customFormat="true" ht="15" hidden="false" customHeight="false" outlineLevel="0" collapsed="false">
      <c r="A41" s="6"/>
      <c r="B41" s="6"/>
      <c r="C41" s="6"/>
      <c r="D41" s="6"/>
      <c r="E41" s="6"/>
      <c r="F41" s="6"/>
      <c r="G41" s="6"/>
      <c r="H41" s="6"/>
      <c r="I41" s="6"/>
      <c r="J41" s="6"/>
    </row>
    <row r="42" s="48" customFormat="true" ht="15" hidden="false" customHeight="false" outlineLevel="0" collapsed="false">
      <c r="A42" s="6"/>
      <c r="B42" s="6"/>
      <c r="C42" s="6"/>
      <c r="D42" s="6"/>
      <c r="E42" s="6"/>
      <c r="F42" s="6"/>
      <c r="G42" s="6"/>
      <c r="H42" s="6"/>
      <c r="I42" s="6"/>
      <c r="J42" s="6"/>
    </row>
    <row r="43" s="48" customFormat="true" ht="15" hidden="false" customHeight="false" outlineLevel="0" collapsed="false">
      <c r="A43" s="6"/>
      <c r="B43" s="6"/>
      <c r="C43" s="6"/>
      <c r="D43" s="6"/>
      <c r="E43" s="6"/>
      <c r="F43" s="6"/>
      <c r="G43" s="6"/>
      <c r="H43" s="6"/>
      <c r="I43" s="6"/>
      <c r="J43" s="6"/>
    </row>
    <row r="44" s="48" customFormat="true" ht="15" hidden="false" customHeight="false" outlineLevel="0" collapsed="false">
      <c r="A44" s="6"/>
      <c r="B44" s="6"/>
      <c r="C44" s="6"/>
      <c r="D44" s="6"/>
      <c r="E44" s="6"/>
      <c r="F44" s="6"/>
      <c r="G44" s="6"/>
      <c r="H44" s="6"/>
      <c r="I44" s="6"/>
      <c r="J44" s="6"/>
    </row>
    <row r="45" s="48" customFormat="true" ht="15" hidden="false" customHeight="false" outlineLevel="0" collapsed="false">
      <c r="A45" s="6"/>
      <c r="B45" s="6"/>
      <c r="C45" s="6"/>
      <c r="D45" s="6"/>
      <c r="E45" s="6"/>
      <c r="F45" s="6"/>
      <c r="G45" s="6"/>
      <c r="H45" s="6"/>
      <c r="I45" s="6"/>
      <c r="J45" s="6"/>
    </row>
    <row r="46" s="48" customFormat="true" ht="15" hidden="false" customHeight="false" outlineLevel="0" collapsed="false">
      <c r="A46" s="6"/>
      <c r="B46" s="6"/>
      <c r="C46" s="6"/>
      <c r="D46" s="6"/>
      <c r="E46" s="6"/>
      <c r="F46" s="6"/>
      <c r="G46" s="6"/>
      <c r="H46" s="6"/>
      <c r="I46" s="6"/>
      <c r="J46" s="6"/>
    </row>
    <row r="47" s="48" customFormat="true" ht="15" hidden="false" customHeight="false" outlineLevel="0" collapsed="false">
      <c r="A47" s="6"/>
      <c r="B47" s="6"/>
      <c r="C47" s="6"/>
      <c r="D47" s="6"/>
      <c r="E47" s="6"/>
      <c r="F47" s="6"/>
      <c r="G47" s="6"/>
      <c r="H47" s="6"/>
      <c r="I47" s="6"/>
      <c r="J47" s="6"/>
    </row>
    <row r="48" s="48" customFormat="true" ht="15" hidden="false" customHeight="false" outlineLevel="0" collapsed="false">
      <c r="A48" s="6"/>
      <c r="B48" s="6"/>
      <c r="C48" s="6"/>
      <c r="D48" s="6"/>
      <c r="E48" s="6"/>
      <c r="F48" s="6"/>
      <c r="G48" s="6"/>
      <c r="H48" s="6"/>
      <c r="I48" s="6"/>
      <c r="J48" s="6"/>
    </row>
    <row r="49" s="48" customFormat="true" ht="15" hidden="false" customHeight="false" outlineLevel="0" collapsed="false">
      <c r="A49" s="6"/>
      <c r="B49" s="6"/>
      <c r="C49" s="6"/>
      <c r="D49" s="6"/>
      <c r="E49" s="6"/>
      <c r="F49" s="6"/>
      <c r="G49" s="6"/>
      <c r="H49" s="6"/>
      <c r="I49" s="6"/>
      <c r="J49" s="6"/>
    </row>
    <row r="50" s="48" customFormat="true" ht="15" hidden="false" customHeight="false" outlineLevel="0" collapsed="false">
      <c r="A50" s="6"/>
      <c r="B50" s="6"/>
      <c r="C50" s="6"/>
      <c r="D50" s="6"/>
      <c r="E50" s="6"/>
      <c r="F50" s="6"/>
      <c r="G50" s="6"/>
      <c r="H50" s="6"/>
      <c r="I50" s="6"/>
      <c r="J50" s="6"/>
    </row>
    <row r="51" s="48" customFormat="true" ht="15" hidden="false" customHeight="false" outlineLevel="0" collapsed="false">
      <c r="A51" s="6"/>
      <c r="B51" s="6"/>
      <c r="C51" s="6"/>
      <c r="D51" s="6"/>
      <c r="E51" s="6"/>
      <c r="F51" s="6"/>
      <c r="G51" s="6"/>
      <c r="H51" s="6"/>
      <c r="I51" s="6"/>
      <c r="J51" s="6"/>
    </row>
    <row r="52" s="48" customFormat="true" ht="15" hidden="false" customHeight="false" outlineLevel="0" collapsed="false">
      <c r="A52" s="6"/>
      <c r="B52" s="6"/>
      <c r="C52" s="6"/>
      <c r="D52" s="6"/>
      <c r="E52" s="6"/>
      <c r="F52" s="6"/>
      <c r="G52" s="6"/>
      <c r="H52" s="6"/>
      <c r="I52" s="6"/>
      <c r="J52" s="6"/>
    </row>
    <row r="53" s="48" customFormat="true" ht="15" hidden="false" customHeight="false" outlineLevel="0" collapsed="false">
      <c r="A53" s="6"/>
      <c r="B53" s="6"/>
      <c r="C53" s="6"/>
      <c r="D53" s="6"/>
      <c r="E53" s="6"/>
      <c r="F53" s="6"/>
      <c r="G53" s="6"/>
      <c r="H53" s="6"/>
      <c r="I53" s="6"/>
      <c r="J53" s="6"/>
    </row>
    <row r="54" s="48" customFormat="true" ht="15" hidden="false" customHeight="false" outlineLevel="0" collapsed="false">
      <c r="A54" s="6"/>
      <c r="B54" s="6"/>
      <c r="C54" s="6"/>
      <c r="D54" s="6"/>
      <c r="E54" s="6"/>
      <c r="F54" s="6"/>
      <c r="G54" s="6"/>
      <c r="H54" s="6"/>
      <c r="I54" s="6"/>
      <c r="J54" s="6"/>
    </row>
    <row r="55" s="48" customFormat="true" ht="15" hidden="false" customHeight="false" outlineLevel="0" collapsed="false">
      <c r="A55" s="6"/>
      <c r="B55" s="6"/>
      <c r="C55" s="6"/>
      <c r="D55" s="6"/>
      <c r="E55" s="6"/>
      <c r="F55" s="6"/>
      <c r="G55" s="6"/>
      <c r="H55" s="6"/>
      <c r="I55" s="6"/>
      <c r="J55" s="6"/>
    </row>
    <row r="56" s="48" customFormat="true" ht="15" hidden="false" customHeight="false" outlineLevel="0" collapsed="false">
      <c r="A56" s="6"/>
      <c r="B56" s="6"/>
      <c r="C56" s="6"/>
      <c r="D56" s="6"/>
      <c r="E56" s="6"/>
      <c r="F56" s="6"/>
      <c r="G56" s="6"/>
      <c r="H56" s="6"/>
      <c r="I56" s="6"/>
      <c r="J56" s="6"/>
    </row>
    <row r="57" s="48" customFormat="true" ht="15" hidden="false" customHeight="false" outlineLevel="0" collapsed="false">
      <c r="A57" s="6"/>
      <c r="B57" s="6"/>
      <c r="C57" s="6"/>
      <c r="D57" s="6"/>
      <c r="E57" s="6"/>
      <c r="F57" s="6"/>
      <c r="G57" s="6"/>
      <c r="H57" s="6"/>
      <c r="I57" s="6"/>
      <c r="J57" s="6"/>
    </row>
    <row r="58" s="48" customFormat="true" ht="15" hidden="false" customHeight="false" outlineLevel="0" collapsed="false">
      <c r="A58" s="6"/>
      <c r="B58" s="6"/>
      <c r="C58" s="6"/>
      <c r="D58" s="6"/>
      <c r="E58" s="6"/>
      <c r="F58" s="6"/>
      <c r="G58" s="6"/>
      <c r="H58" s="6"/>
      <c r="I58" s="6"/>
      <c r="J58" s="6"/>
    </row>
    <row r="59" s="48" customFormat="true" ht="15" hidden="false" customHeight="false" outlineLevel="0" collapsed="false">
      <c r="A59" s="6"/>
      <c r="B59" s="6"/>
      <c r="C59" s="6"/>
      <c r="D59" s="6"/>
      <c r="E59" s="6"/>
      <c r="F59" s="6"/>
      <c r="G59" s="6"/>
      <c r="H59" s="6"/>
      <c r="I59" s="6"/>
      <c r="J59" s="6"/>
    </row>
    <row r="60" s="48" customFormat="true" ht="15" hidden="false" customHeight="false" outlineLevel="0" collapsed="false">
      <c r="A60" s="6"/>
      <c r="B60" s="6"/>
      <c r="C60" s="6"/>
      <c r="D60" s="6"/>
      <c r="E60" s="6"/>
      <c r="F60" s="6"/>
      <c r="G60" s="6"/>
      <c r="H60" s="6"/>
      <c r="I60" s="6"/>
      <c r="J60" s="6"/>
    </row>
    <row r="61" s="48" customFormat="true" ht="15" hidden="false" customHeight="false" outlineLevel="0" collapsed="false">
      <c r="A61" s="6"/>
      <c r="B61" s="6"/>
      <c r="C61" s="6"/>
      <c r="D61" s="6"/>
      <c r="E61" s="6"/>
      <c r="F61" s="6"/>
      <c r="G61" s="6"/>
      <c r="H61" s="6"/>
      <c r="I61" s="6"/>
      <c r="J61" s="6"/>
    </row>
    <row r="62" customFormat="false" ht="15" hidden="false" customHeight="false" outlineLevel="0" collapsed="false">
      <c r="H62" s="6"/>
    </row>
    <row r="63" customFormat="false" ht="15" hidden="false" customHeight="false" outlineLevel="0" collapsed="false">
      <c r="H63" s="6"/>
    </row>
    <row r="64" customFormat="false" ht="15" hidden="false" customHeight="false" outlineLevel="0" collapsed="false">
      <c r="H64" s="6"/>
    </row>
    <row r="65" customFormat="false" ht="15" hidden="false" customHeight="false" outlineLevel="0" collapsed="false">
      <c r="H65" s="6"/>
    </row>
    <row r="66" customFormat="false" ht="15" hidden="false" customHeight="false" outlineLevel="0" collapsed="false">
      <c r="H66" s="6"/>
    </row>
    <row r="67" customFormat="false" ht="15" hidden="false" customHeight="false" outlineLevel="0" collapsed="false">
      <c r="H67" s="6"/>
    </row>
  </sheetData>
  <mergeCells count="11">
    <mergeCell ref="B3:C3"/>
    <mergeCell ref="B4:C4"/>
    <mergeCell ref="B5:C5"/>
    <mergeCell ref="B6:C6"/>
    <mergeCell ref="B7:C7"/>
    <mergeCell ref="B8:C8"/>
    <mergeCell ref="B9:C9"/>
    <mergeCell ref="B10:C10"/>
    <mergeCell ref="B11:C11"/>
    <mergeCell ref="B12:C12"/>
    <mergeCell ref="B13:C13"/>
  </mergeCells>
  <conditionalFormatting sqref="F4:F13">
    <cfRule type="expression" priority="2" aboveAverage="0" equalAverage="0" bottom="0" percent="0" rank="0" text="" dxfId="18">
      <formula>F4="A transférer"</formula>
    </cfRule>
    <cfRule type="expression" priority="3" aboveAverage="0" equalAverage="0" bottom="0" percent="0" rank="0" text="" dxfId="19">
      <formula>F4="A éliminer"</formula>
    </cfRule>
    <cfRule type="expression" priority="4" aboveAverage="0" equalAverage="0" bottom="0" percent="0" rank="0" text="" dxfId="20">
      <formula>F4="A atténuer"</formula>
    </cfRule>
    <cfRule type="expression" priority="5" aboveAverage="0" equalAverage="0" bottom="0" percent="0" rank="0" text="" dxfId="21">
      <formula>F4="Accepter"</formula>
    </cfRule>
  </conditionalFormatting>
  <conditionalFormatting sqref="B4:D13">
    <cfRule type="expression" priority="6" aboveAverage="0" equalAverage="0" bottom="0" percent="0" rank="0" text="" dxfId="22">
      <formula>COUNTA($B4:$D4)&gt;1</formula>
    </cfRule>
  </conditionalFormatting>
  <conditionalFormatting sqref="F8:F13">
    <cfRule type="expression" priority="7" aboveAverage="0" equalAverage="0" bottom="0" percent="0" rank="0" text="" dxfId="23">
      <formula>LEN($F8)&gt;0</formula>
    </cfRule>
  </conditionalFormatting>
  <conditionalFormatting sqref="H2:Q2">
    <cfRule type="expression" priority="8" aboveAverage="0" equalAverage="0" bottom="0" percent="0" rank="0" text="" dxfId="24">
      <formula>LEN(H$3)&gt;0</formula>
    </cfRule>
  </conditionalFormatting>
  <conditionalFormatting sqref="G4:Q13">
    <cfRule type="expression" priority="9" aboveAverage="0" equalAverage="0" bottom="0" percent="0" rank="0" text="" dxfId="25">
      <formula>COUNTA(G$3,$F4)=2</formula>
    </cfRule>
  </conditionalFormatting>
  <conditionalFormatting sqref="D4:D13">
    <cfRule type="expression" priority="10" aboveAverage="0" equalAverage="0" bottom="0" percent="0" rank="0" text="" dxfId="26">
      <formula>TYPE($D4)=16</formula>
    </cfRule>
  </conditionalFormatting>
  <conditionalFormatting sqref="D14">
    <cfRule type="expression" priority="11" aboveAverage="0" equalAverage="0" bottom="0" percent="0" rank="0" text="" dxfId="27">
      <formula>D$14&lt;&gt;0</formula>
    </cfRule>
  </conditionalFormatting>
  <conditionalFormatting sqref="B14:C14">
    <cfRule type="expression" priority="12" aboveAverage="0" equalAverage="0" bottom="0" percent="0" rank="0" text="" dxfId="28">
      <formula>B$14&lt;&gt;0</formula>
    </cfRule>
  </conditionalFormatting>
  <conditionalFormatting sqref="F14:Q14">
    <cfRule type="expression" priority="13" aboveAverage="0" equalAverage="0" bottom="0" percent="0" rank="0" text="" dxfId="29">
      <formula>F$14&lt;&gt;0</formula>
    </cfRule>
  </conditionalFormatting>
  <conditionalFormatting sqref="A3:XFD3">
    <cfRule type="expression" priority="14" aboveAverage="0" equalAverage="0" bottom="0" percent="0" rank="0" text="" dxfId="30">
      <formula>LEN(A$3)&gt;0</formula>
    </cfRule>
  </conditionalFormatting>
  <printOptions headings="false" gridLines="false" gridLinesSet="true" horizontalCentered="false" verticalCentered="false"/>
  <pageMargins left="0.25" right="0.25" top="0.75" bottom="0.75" header="0.511811023622047" footer="0.511811023622047"/>
  <pageSetup paperSize="9" scale="7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C1:M134"/>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 activeCellId="0" sqref="A1"/>
    </sheetView>
  </sheetViews>
  <sheetFormatPr defaultColWidth="42.5703125" defaultRowHeight="15" zeroHeight="false" outlineLevelRow="0" outlineLevelCol="0"/>
  <cols>
    <col collapsed="false" customWidth="true" hidden="false" outlineLevel="0" max="1" min="1" style="70" width="28.86"/>
    <col collapsed="false" customWidth="true" hidden="false" outlineLevel="0" max="2" min="2" style="70" width="5.14"/>
    <col collapsed="false" customWidth="true" hidden="false" outlineLevel="0" max="3" min="3" style="71" width="13.71"/>
    <col collapsed="false" customWidth="false" hidden="false" outlineLevel="0" max="4" min="4" style="70" width="42.57"/>
    <col collapsed="false" customWidth="true" hidden="false" outlineLevel="0" max="5" min="5" style="71" width="3.29"/>
    <col collapsed="false" customWidth="true" hidden="false" outlineLevel="0" max="6" min="6" style="70" width="8"/>
    <col collapsed="false" customWidth="false" hidden="false" outlineLevel="0" max="7" min="7" style="70" width="42.57"/>
    <col collapsed="false" customWidth="true" hidden="false" outlineLevel="0" max="8" min="8" style="71" width="3.29"/>
    <col collapsed="false" customWidth="true" hidden="false" outlineLevel="0" max="9" min="9" style="70" width="8"/>
    <col collapsed="false" customWidth="false" hidden="false" outlineLevel="0" max="10" min="10" style="70" width="42.57"/>
    <col collapsed="false" customWidth="true" hidden="false" outlineLevel="0" max="11" min="11" style="71" width="3.29"/>
    <col collapsed="false" customWidth="true" hidden="false" outlineLevel="0" max="12" min="12" style="71" width="8"/>
    <col collapsed="false" customWidth="false" hidden="false" outlineLevel="0" max="13" min="13" style="70" width="42.57"/>
    <col collapsed="false" customWidth="true" hidden="false" outlineLevel="0" max="14" min="14" style="71" width="3.29"/>
    <col collapsed="false" customWidth="true" hidden="false" outlineLevel="0" max="15" min="15" style="70" width="8"/>
    <col collapsed="false" customWidth="false" hidden="false" outlineLevel="0" max="16" min="16" style="70" width="42.57"/>
    <col collapsed="false" customWidth="true" hidden="false" outlineLevel="0" max="17" min="17" style="71" width="3.29"/>
    <col collapsed="false" customWidth="true" hidden="false" outlineLevel="0" max="18" min="18" style="70" width="8"/>
    <col collapsed="false" customWidth="false" hidden="false" outlineLevel="0" max="19" min="19" style="70" width="42.57"/>
    <col collapsed="false" customWidth="true" hidden="false" outlineLevel="0" max="20" min="20" style="71" width="3.29"/>
    <col collapsed="false" customWidth="true" hidden="false" outlineLevel="0" max="21" min="21" style="70" width="8"/>
    <col collapsed="false" customWidth="false" hidden="false" outlineLevel="0" max="22" min="22" style="70" width="42.57"/>
    <col collapsed="false" customWidth="true" hidden="false" outlineLevel="0" max="23" min="23" style="71" width="3.29"/>
    <col collapsed="false" customWidth="true" hidden="false" outlineLevel="0" max="24" min="24" style="70" width="8"/>
    <col collapsed="false" customWidth="false" hidden="false" outlineLevel="0" max="25" min="25" style="70" width="42.57"/>
    <col collapsed="false" customWidth="true" hidden="false" outlineLevel="0" max="26" min="26" style="71" width="3.29"/>
    <col collapsed="false" customWidth="true" hidden="false" outlineLevel="0" max="27" min="27" style="70" width="8"/>
    <col collapsed="false" customWidth="false" hidden="false" outlineLevel="0" max="28" min="28" style="70" width="42.57"/>
    <col collapsed="false" customWidth="true" hidden="false" outlineLevel="0" max="29" min="29" style="71" width="3.29"/>
    <col collapsed="false" customWidth="true" hidden="false" outlineLevel="0" max="30" min="30" style="70" width="8"/>
    <col collapsed="false" customWidth="false" hidden="false" outlineLevel="0" max="31" min="31" style="70" width="42.57"/>
    <col collapsed="false" customWidth="true" hidden="false" outlineLevel="0" max="32" min="32" style="71" width="3.29"/>
    <col collapsed="false" customWidth="true" hidden="false" outlineLevel="0" max="33" min="33" style="70" width="8"/>
    <col collapsed="false" customWidth="false" hidden="false" outlineLevel="0" max="34" min="34" style="70" width="42.57"/>
    <col collapsed="false" customWidth="true" hidden="false" outlineLevel="0" max="35" min="35" style="70" width="3.29"/>
    <col collapsed="false" customWidth="true" hidden="false" outlineLevel="0" max="36" min="36" style="70" width="8"/>
    <col collapsed="false" customWidth="false" hidden="false" outlineLevel="0" max="37" min="37" style="70" width="42.57"/>
    <col collapsed="false" customWidth="true" hidden="false" outlineLevel="0" max="38" min="38" style="70" width="3.29"/>
    <col collapsed="false" customWidth="true" hidden="false" outlineLevel="0" max="39" min="39" style="70" width="8"/>
    <col collapsed="false" customWidth="false" hidden="false" outlineLevel="0" max="40" min="40" style="70" width="42.57"/>
    <col collapsed="false" customWidth="true" hidden="false" outlineLevel="0" max="41" min="41" style="70" width="3.29"/>
    <col collapsed="false" customWidth="true" hidden="false" outlineLevel="0" max="42" min="42" style="70" width="8"/>
    <col collapsed="false" customWidth="false" hidden="false" outlineLevel="0" max="43" min="43" style="70" width="42.57"/>
    <col collapsed="false" customWidth="true" hidden="false" outlineLevel="0" max="44" min="44" style="70" width="3.29"/>
    <col collapsed="false" customWidth="true" hidden="false" outlineLevel="0" max="45" min="45" style="70" width="8"/>
    <col collapsed="false" customWidth="false" hidden="false" outlineLevel="0" max="46" min="46" style="70" width="42.57"/>
    <col collapsed="false" customWidth="true" hidden="false" outlineLevel="0" max="47" min="47" style="70" width="3.29"/>
    <col collapsed="false" customWidth="true" hidden="false" outlineLevel="0" max="48" min="48" style="70" width="8"/>
    <col collapsed="false" customWidth="false" hidden="false" outlineLevel="0" max="49" min="49" style="70" width="42.57"/>
    <col collapsed="false" customWidth="true" hidden="false" outlineLevel="0" max="50" min="50" style="70" width="3.29"/>
    <col collapsed="false" customWidth="true" hidden="false" outlineLevel="0" max="51" min="51" style="70" width="8"/>
    <col collapsed="false" customWidth="false" hidden="false" outlineLevel="0" max="52" min="52" style="70" width="42.57"/>
    <col collapsed="false" customWidth="true" hidden="false" outlineLevel="0" max="53" min="53" style="70" width="3.29"/>
    <col collapsed="false" customWidth="true" hidden="false" outlineLevel="0" max="54" min="54" style="70" width="8"/>
    <col collapsed="false" customWidth="false" hidden="false" outlineLevel="0" max="55" min="55" style="70" width="42.57"/>
    <col collapsed="false" customWidth="true" hidden="false" outlineLevel="0" max="56" min="56" style="70" width="3.29"/>
    <col collapsed="false" customWidth="true" hidden="false" outlineLevel="0" max="57" min="57" style="70" width="8"/>
    <col collapsed="false" customWidth="false" hidden="false" outlineLevel="0" max="58" min="58" style="70" width="42.57"/>
    <col collapsed="false" customWidth="true" hidden="false" outlineLevel="0" max="59" min="59" style="70" width="3.29"/>
    <col collapsed="false" customWidth="true" hidden="false" outlineLevel="0" max="60" min="60" style="70" width="8"/>
    <col collapsed="false" customWidth="false" hidden="false" outlineLevel="0" max="61" min="61" style="70" width="42.57"/>
    <col collapsed="false" customWidth="true" hidden="false" outlineLevel="0" max="62" min="62" style="70" width="3.29"/>
    <col collapsed="false" customWidth="true" hidden="false" outlineLevel="0" max="63" min="63" style="70" width="8"/>
    <col collapsed="false" customWidth="false" hidden="false" outlineLevel="0" max="64" min="64" style="70" width="42.57"/>
    <col collapsed="false" customWidth="true" hidden="false" outlineLevel="0" max="65" min="65" style="70" width="3.29"/>
    <col collapsed="false" customWidth="true" hidden="false" outlineLevel="0" max="66" min="66" style="70" width="8"/>
    <col collapsed="false" customWidth="false" hidden="false" outlineLevel="0" max="67" min="67" style="70" width="42.57"/>
    <col collapsed="false" customWidth="true" hidden="false" outlineLevel="0" max="68" min="68" style="70" width="3.29"/>
    <col collapsed="false" customWidth="true" hidden="false" outlineLevel="0" max="69" min="69" style="70" width="8"/>
    <col collapsed="false" customWidth="false" hidden="false" outlineLevel="0" max="70" min="70" style="70" width="42.57"/>
    <col collapsed="false" customWidth="true" hidden="false" outlineLevel="0" max="71" min="71" style="70" width="3.29"/>
    <col collapsed="false" customWidth="true" hidden="false" outlineLevel="0" max="72" min="72" style="70" width="8"/>
    <col collapsed="false" customWidth="false" hidden="false" outlineLevel="0" max="73" min="73" style="70" width="42.57"/>
    <col collapsed="false" customWidth="true" hidden="false" outlineLevel="0" max="74" min="74" style="70" width="3.29"/>
    <col collapsed="false" customWidth="true" hidden="false" outlineLevel="0" max="75" min="75" style="70" width="8"/>
    <col collapsed="false" customWidth="false" hidden="false" outlineLevel="0" max="76" min="76" style="70" width="42.57"/>
    <col collapsed="false" customWidth="true" hidden="false" outlineLevel="0" max="77" min="77" style="70" width="3.29"/>
    <col collapsed="false" customWidth="true" hidden="false" outlineLevel="0" max="78" min="78" style="70" width="8"/>
    <col collapsed="false" customWidth="false" hidden="false" outlineLevel="0" max="79" min="79" style="70" width="42.57"/>
    <col collapsed="false" customWidth="true" hidden="false" outlineLevel="0" max="80" min="80" style="70" width="3.29"/>
    <col collapsed="false" customWidth="true" hidden="false" outlineLevel="0" max="81" min="81" style="70" width="8"/>
    <col collapsed="false" customWidth="false" hidden="false" outlineLevel="0" max="82" min="82" style="70" width="42.57"/>
    <col collapsed="false" customWidth="true" hidden="false" outlineLevel="0" max="83" min="83" style="70" width="3.29"/>
    <col collapsed="false" customWidth="true" hidden="false" outlineLevel="0" max="84" min="84" style="70" width="8"/>
    <col collapsed="false" customWidth="false" hidden="false" outlineLevel="0" max="85" min="85" style="70" width="42.57"/>
    <col collapsed="false" customWidth="true" hidden="false" outlineLevel="0" max="86" min="86" style="70" width="3.29"/>
    <col collapsed="false" customWidth="true" hidden="false" outlineLevel="0" max="87" min="87" style="70" width="8"/>
    <col collapsed="false" customWidth="false" hidden="false" outlineLevel="0" max="88" min="88" style="70" width="42.57"/>
    <col collapsed="false" customWidth="true" hidden="false" outlineLevel="0" max="89" min="89" style="70" width="3.29"/>
    <col collapsed="false" customWidth="true" hidden="false" outlineLevel="0" max="90" min="90" style="70" width="8"/>
    <col collapsed="false" customWidth="false" hidden="false" outlineLevel="0" max="91" min="91" style="70" width="42.57"/>
    <col collapsed="false" customWidth="true" hidden="false" outlineLevel="0" max="92" min="92" style="70" width="3.29"/>
    <col collapsed="false" customWidth="true" hidden="false" outlineLevel="0" max="93" min="93" style="70" width="8"/>
    <col collapsed="false" customWidth="false" hidden="false" outlineLevel="0" max="94" min="94" style="70" width="42.57"/>
    <col collapsed="false" customWidth="true" hidden="false" outlineLevel="0" max="95" min="95" style="70" width="3.29"/>
    <col collapsed="false" customWidth="true" hidden="false" outlineLevel="0" max="96" min="96" style="70" width="8"/>
    <col collapsed="false" customWidth="false" hidden="false" outlineLevel="0" max="97" min="97" style="70" width="42.57"/>
    <col collapsed="false" customWidth="true" hidden="false" outlineLevel="0" max="98" min="98" style="70" width="3.29"/>
    <col collapsed="false" customWidth="true" hidden="false" outlineLevel="0" max="99" min="99" style="70" width="8"/>
    <col collapsed="false" customWidth="false" hidden="false" outlineLevel="0" max="100" min="100" style="70" width="42.57"/>
    <col collapsed="false" customWidth="true" hidden="false" outlineLevel="0" max="101" min="101" style="70" width="3.29"/>
    <col collapsed="false" customWidth="true" hidden="false" outlineLevel="0" max="102" min="102" style="70" width="8"/>
    <col collapsed="false" customWidth="false" hidden="false" outlineLevel="0" max="103" min="103" style="70" width="42.57"/>
    <col collapsed="false" customWidth="true" hidden="false" outlineLevel="0" max="104" min="104" style="70" width="3.29"/>
    <col collapsed="false" customWidth="true" hidden="false" outlineLevel="0" max="105" min="105" style="70" width="8"/>
    <col collapsed="false" customWidth="false" hidden="false" outlineLevel="0" max="106" min="106" style="70" width="42.57"/>
    <col collapsed="false" customWidth="true" hidden="false" outlineLevel="0" max="107" min="107" style="70" width="3.29"/>
    <col collapsed="false" customWidth="true" hidden="false" outlineLevel="0" max="108" min="108" style="70" width="8"/>
    <col collapsed="false" customWidth="false" hidden="false" outlineLevel="0" max="109" min="109" style="70" width="42.57"/>
    <col collapsed="false" customWidth="true" hidden="false" outlineLevel="0" max="110" min="110" style="70" width="3.29"/>
    <col collapsed="false" customWidth="true" hidden="false" outlineLevel="0" max="111" min="111" style="70" width="8"/>
    <col collapsed="false" customWidth="false" hidden="false" outlineLevel="0" max="112" min="112" style="70" width="42.57"/>
    <col collapsed="false" customWidth="true" hidden="false" outlineLevel="0" max="113" min="113" style="70" width="3.29"/>
    <col collapsed="false" customWidth="true" hidden="false" outlineLevel="0" max="114" min="114" style="70" width="8"/>
    <col collapsed="false" customWidth="false" hidden="false" outlineLevel="0" max="115" min="115" style="70" width="42.57"/>
    <col collapsed="false" customWidth="true" hidden="false" outlineLevel="0" max="116" min="116" style="70" width="3.29"/>
    <col collapsed="false" customWidth="true" hidden="false" outlineLevel="0" max="117" min="117" style="70" width="8"/>
    <col collapsed="false" customWidth="false" hidden="false" outlineLevel="0" max="118" min="118" style="70" width="42.57"/>
    <col collapsed="false" customWidth="true" hidden="false" outlineLevel="0" max="119" min="119" style="70" width="3.29"/>
    <col collapsed="false" customWidth="true" hidden="false" outlineLevel="0" max="120" min="120" style="70" width="8"/>
    <col collapsed="false" customWidth="false" hidden="false" outlineLevel="0" max="121" min="121" style="70" width="42.57"/>
    <col collapsed="false" customWidth="true" hidden="false" outlineLevel="0" max="122" min="122" style="70" width="3.29"/>
    <col collapsed="false" customWidth="true" hidden="false" outlineLevel="0" max="123" min="123" style="70" width="8"/>
    <col collapsed="false" customWidth="false" hidden="false" outlineLevel="0" max="124" min="124" style="70" width="42.57"/>
    <col collapsed="false" customWidth="true" hidden="false" outlineLevel="0" max="125" min="125" style="70" width="3.29"/>
    <col collapsed="false" customWidth="true" hidden="false" outlineLevel="0" max="126" min="126" style="70" width="8"/>
    <col collapsed="false" customWidth="false" hidden="false" outlineLevel="0" max="127" min="127" style="70" width="42.57"/>
    <col collapsed="false" customWidth="true" hidden="false" outlineLevel="0" max="128" min="128" style="70" width="3.29"/>
    <col collapsed="false" customWidth="true" hidden="false" outlineLevel="0" max="129" min="129" style="70" width="8"/>
    <col collapsed="false" customWidth="false" hidden="false" outlineLevel="0" max="130" min="130" style="70" width="42.57"/>
    <col collapsed="false" customWidth="true" hidden="false" outlineLevel="0" max="131" min="131" style="70" width="3.29"/>
    <col collapsed="false" customWidth="true" hidden="false" outlineLevel="0" max="132" min="132" style="70" width="8"/>
    <col collapsed="false" customWidth="false" hidden="false" outlineLevel="0" max="133" min="133" style="70" width="42.57"/>
    <col collapsed="false" customWidth="true" hidden="false" outlineLevel="0" max="134" min="134" style="70" width="3.29"/>
    <col collapsed="false" customWidth="true" hidden="false" outlineLevel="0" max="135" min="135" style="70" width="8"/>
    <col collapsed="false" customWidth="false" hidden="false" outlineLevel="0" max="136" min="136" style="70" width="42.57"/>
    <col collapsed="false" customWidth="true" hidden="false" outlineLevel="0" max="137" min="137" style="70" width="3.29"/>
    <col collapsed="false" customWidth="true" hidden="false" outlineLevel="0" max="138" min="138" style="70" width="8"/>
    <col collapsed="false" customWidth="false" hidden="false" outlineLevel="0" max="139" min="139" style="70" width="42.57"/>
    <col collapsed="false" customWidth="true" hidden="false" outlineLevel="0" max="140" min="140" style="70" width="3.29"/>
    <col collapsed="false" customWidth="true" hidden="false" outlineLevel="0" max="141" min="141" style="70" width="8"/>
    <col collapsed="false" customWidth="false" hidden="false" outlineLevel="0" max="142" min="142" style="70" width="42.57"/>
    <col collapsed="false" customWidth="true" hidden="false" outlineLevel="0" max="143" min="143" style="70" width="3.29"/>
    <col collapsed="false" customWidth="true" hidden="false" outlineLevel="0" max="144" min="144" style="70" width="8"/>
    <col collapsed="false" customWidth="false" hidden="false" outlineLevel="0" max="145" min="145" style="70" width="42.57"/>
    <col collapsed="false" customWidth="true" hidden="false" outlineLevel="0" max="146" min="146" style="70" width="3.29"/>
    <col collapsed="false" customWidth="true" hidden="false" outlineLevel="0" max="147" min="147" style="70" width="8"/>
    <col collapsed="false" customWidth="false" hidden="false" outlineLevel="0" max="148" min="148" style="70" width="42.57"/>
    <col collapsed="false" customWidth="true" hidden="false" outlineLevel="0" max="149" min="149" style="70" width="3.29"/>
    <col collapsed="false" customWidth="true" hidden="false" outlineLevel="0" max="150" min="150" style="70" width="8"/>
    <col collapsed="false" customWidth="false" hidden="false" outlineLevel="0" max="151" min="151" style="70" width="42.57"/>
    <col collapsed="false" customWidth="true" hidden="false" outlineLevel="0" max="152" min="152" style="70" width="3.29"/>
    <col collapsed="false" customWidth="true" hidden="false" outlineLevel="0" max="153" min="153" style="70" width="8"/>
    <col collapsed="false" customWidth="false" hidden="false" outlineLevel="0" max="154" min="154" style="70" width="42.57"/>
    <col collapsed="false" customWidth="true" hidden="false" outlineLevel="0" max="155" min="155" style="70" width="3.29"/>
    <col collapsed="false" customWidth="true" hidden="false" outlineLevel="0" max="156" min="156" style="70" width="8"/>
    <col collapsed="false" customWidth="false" hidden="false" outlineLevel="0" max="157" min="157" style="70" width="42.57"/>
    <col collapsed="false" customWidth="true" hidden="false" outlineLevel="0" max="158" min="158" style="70" width="3.29"/>
    <col collapsed="false" customWidth="true" hidden="false" outlineLevel="0" max="159" min="159" style="70" width="8"/>
    <col collapsed="false" customWidth="false" hidden="false" outlineLevel="0" max="160" min="160" style="70" width="42.57"/>
    <col collapsed="false" customWidth="true" hidden="false" outlineLevel="0" max="161" min="161" style="70" width="3.29"/>
    <col collapsed="false" customWidth="true" hidden="false" outlineLevel="0" max="162" min="162" style="70" width="8"/>
    <col collapsed="false" customWidth="false" hidden="false" outlineLevel="0" max="163" min="163" style="70" width="42.57"/>
    <col collapsed="false" customWidth="true" hidden="false" outlineLevel="0" max="164" min="164" style="70" width="3.29"/>
    <col collapsed="false" customWidth="true" hidden="false" outlineLevel="0" max="165" min="165" style="70" width="8"/>
    <col collapsed="false" customWidth="false" hidden="false" outlineLevel="0" max="166" min="166" style="70" width="42.57"/>
    <col collapsed="false" customWidth="true" hidden="false" outlineLevel="0" max="167" min="167" style="70" width="3.29"/>
    <col collapsed="false" customWidth="true" hidden="false" outlineLevel="0" max="168" min="168" style="70" width="8"/>
    <col collapsed="false" customWidth="false" hidden="false" outlineLevel="0" max="169" min="169" style="70" width="42.57"/>
    <col collapsed="false" customWidth="true" hidden="false" outlineLevel="0" max="170" min="170" style="70" width="3.29"/>
    <col collapsed="false" customWidth="true" hidden="false" outlineLevel="0" max="171" min="171" style="70" width="8"/>
    <col collapsed="false" customWidth="false" hidden="false" outlineLevel="0" max="172" min="172" style="70" width="42.57"/>
    <col collapsed="false" customWidth="true" hidden="false" outlineLevel="0" max="173" min="173" style="70" width="3.29"/>
    <col collapsed="false" customWidth="true" hidden="false" outlineLevel="0" max="174" min="174" style="70" width="8"/>
    <col collapsed="false" customWidth="false" hidden="false" outlineLevel="0" max="175" min="175" style="70" width="42.57"/>
    <col collapsed="false" customWidth="true" hidden="false" outlineLevel="0" max="176" min="176" style="70" width="3.29"/>
    <col collapsed="false" customWidth="true" hidden="false" outlineLevel="0" max="177" min="177" style="70" width="8"/>
    <col collapsed="false" customWidth="false" hidden="false" outlineLevel="0" max="178" min="178" style="70" width="42.57"/>
    <col collapsed="false" customWidth="true" hidden="false" outlineLevel="0" max="179" min="179" style="70" width="3.29"/>
    <col collapsed="false" customWidth="true" hidden="false" outlineLevel="0" max="180" min="180" style="70" width="8"/>
    <col collapsed="false" customWidth="false" hidden="false" outlineLevel="0" max="181" min="181" style="70" width="42.57"/>
    <col collapsed="false" customWidth="true" hidden="false" outlineLevel="0" max="182" min="182" style="70" width="3.29"/>
    <col collapsed="false" customWidth="true" hidden="false" outlineLevel="0" max="183" min="183" style="70" width="8"/>
    <col collapsed="false" customWidth="false" hidden="false" outlineLevel="0" max="184" min="184" style="70" width="42.57"/>
    <col collapsed="false" customWidth="true" hidden="false" outlineLevel="0" max="185" min="185" style="70" width="3.29"/>
    <col collapsed="false" customWidth="true" hidden="false" outlineLevel="0" max="186" min="186" style="70" width="8"/>
    <col collapsed="false" customWidth="false" hidden="false" outlineLevel="0" max="187" min="187" style="70" width="42.57"/>
    <col collapsed="false" customWidth="true" hidden="false" outlineLevel="0" max="188" min="188" style="70" width="3.29"/>
    <col collapsed="false" customWidth="true" hidden="false" outlineLevel="0" max="189" min="189" style="70" width="8"/>
    <col collapsed="false" customWidth="false" hidden="false" outlineLevel="0" max="190" min="190" style="70" width="42.57"/>
    <col collapsed="false" customWidth="true" hidden="false" outlineLevel="0" max="191" min="191" style="70" width="3.29"/>
    <col collapsed="false" customWidth="true" hidden="false" outlineLevel="0" max="192" min="192" style="70" width="8"/>
    <col collapsed="false" customWidth="false" hidden="false" outlineLevel="0" max="193" min="193" style="70" width="42.57"/>
    <col collapsed="false" customWidth="true" hidden="false" outlineLevel="0" max="194" min="194" style="70" width="3.29"/>
    <col collapsed="false" customWidth="true" hidden="false" outlineLevel="0" max="195" min="195" style="70" width="8"/>
    <col collapsed="false" customWidth="false" hidden="false" outlineLevel="0" max="196" min="196" style="70" width="42.57"/>
    <col collapsed="false" customWidth="true" hidden="false" outlineLevel="0" max="197" min="197" style="70" width="3.29"/>
    <col collapsed="false" customWidth="true" hidden="false" outlineLevel="0" max="198" min="198" style="70" width="8"/>
    <col collapsed="false" customWidth="false" hidden="false" outlineLevel="0" max="199" min="199" style="70" width="42.57"/>
    <col collapsed="false" customWidth="true" hidden="false" outlineLevel="0" max="200" min="200" style="70" width="3.29"/>
    <col collapsed="false" customWidth="true" hidden="false" outlineLevel="0" max="201" min="201" style="70" width="8"/>
    <col collapsed="false" customWidth="false" hidden="false" outlineLevel="0" max="202" min="202" style="70" width="42.57"/>
    <col collapsed="false" customWidth="true" hidden="false" outlineLevel="0" max="203" min="203" style="70" width="3.29"/>
    <col collapsed="false" customWidth="true" hidden="false" outlineLevel="0" max="204" min="204" style="70" width="8"/>
    <col collapsed="false" customWidth="false" hidden="false" outlineLevel="0" max="205" min="205" style="70" width="42.57"/>
    <col collapsed="false" customWidth="true" hidden="false" outlineLevel="0" max="206" min="206" style="70" width="3.29"/>
    <col collapsed="false" customWidth="true" hidden="false" outlineLevel="0" max="207" min="207" style="70" width="8"/>
    <col collapsed="false" customWidth="false" hidden="false" outlineLevel="0" max="208" min="208" style="70" width="42.57"/>
    <col collapsed="false" customWidth="true" hidden="false" outlineLevel="0" max="209" min="209" style="70" width="3.29"/>
    <col collapsed="false" customWidth="true" hidden="false" outlineLevel="0" max="210" min="210" style="70" width="8"/>
    <col collapsed="false" customWidth="false" hidden="false" outlineLevel="0" max="211" min="211" style="70" width="42.57"/>
    <col collapsed="false" customWidth="true" hidden="false" outlineLevel="0" max="212" min="212" style="70" width="3.29"/>
    <col collapsed="false" customWidth="true" hidden="false" outlineLevel="0" max="213" min="213" style="70" width="8"/>
    <col collapsed="false" customWidth="false" hidden="false" outlineLevel="0" max="214" min="214" style="70" width="42.57"/>
    <col collapsed="false" customWidth="true" hidden="false" outlineLevel="0" max="215" min="215" style="70" width="3.29"/>
    <col collapsed="false" customWidth="true" hidden="false" outlineLevel="0" max="216" min="216" style="70" width="8"/>
    <col collapsed="false" customWidth="false" hidden="false" outlineLevel="0" max="217" min="217" style="70" width="42.57"/>
    <col collapsed="false" customWidth="true" hidden="false" outlineLevel="0" max="218" min="218" style="70" width="3.29"/>
    <col collapsed="false" customWidth="true" hidden="false" outlineLevel="0" max="219" min="219" style="70" width="8"/>
    <col collapsed="false" customWidth="false" hidden="false" outlineLevel="0" max="220" min="220" style="70" width="42.57"/>
    <col collapsed="false" customWidth="true" hidden="false" outlineLevel="0" max="221" min="221" style="70" width="3.29"/>
    <col collapsed="false" customWidth="true" hidden="false" outlineLevel="0" max="222" min="222" style="70" width="8"/>
    <col collapsed="false" customWidth="false" hidden="false" outlineLevel="0" max="223" min="223" style="70" width="42.57"/>
    <col collapsed="false" customWidth="true" hidden="false" outlineLevel="0" max="224" min="224" style="70" width="3.29"/>
    <col collapsed="false" customWidth="true" hidden="false" outlineLevel="0" max="225" min="225" style="70" width="8"/>
    <col collapsed="false" customWidth="false" hidden="false" outlineLevel="0" max="226" min="226" style="70" width="42.57"/>
    <col collapsed="false" customWidth="true" hidden="false" outlineLevel="0" max="227" min="227" style="70" width="3.29"/>
    <col collapsed="false" customWidth="true" hidden="false" outlineLevel="0" max="228" min="228" style="70" width="8"/>
    <col collapsed="false" customWidth="false" hidden="false" outlineLevel="0" max="229" min="229" style="70" width="42.57"/>
    <col collapsed="false" customWidth="true" hidden="false" outlineLevel="0" max="230" min="230" style="70" width="3.29"/>
    <col collapsed="false" customWidth="true" hidden="false" outlineLevel="0" max="231" min="231" style="70" width="8"/>
    <col collapsed="false" customWidth="false" hidden="false" outlineLevel="0" max="232" min="232" style="70" width="42.57"/>
    <col collapsed="false" customWidth="true" hidden="false" outlineLevel="0" max="233" min="233" style="70" width="3.29"/>
    <col collapsed="false" customWidth="true" hidden="false" outlineLevel="0" max="234" min="234" style="70" width="8"/>
    <col collapsed="false" customWidth="false" hidden="false" outlineLevel="0" max="235" min="235" style="70" width="42.57"/>
    <col collapsed="false" customWidth="true" hidden="false" outlineLevel="0" max="236" min="236" style="70" width="3.29"/>
    <col collapsed="false" customWidth="true" hidden="false" outlineLevel="0" max="237" min="237" style="70" width="8"/>
    <col collapsed="false" customWidth="false" hidden="false" outlineLevel="0" max="238" min="238" style="70" width="42.57"/>
    <col collapsed="false" customWidth="true" hidden="false" outlineLevel="0" max="239" min="239" style="70" width="3.29"/>
    <col collapsed="false" customWidth="true" hidden="false" outlineLevel="0" max="240" min="240" style="70" width="8"/>
    <col collapsed="false" customWidth="false" hidden="false" outlineLevel="0" max="241" min="241" style="70" width="42.57"/>
    <col collapsed="false" customWidth="true" hidden="false" outlineLevel="0" max="242" min="242" style="70" width="3.29"/>
    <col collapsed="false" customWidth="true" hidden="false" outlineLevel="0" max="243" min="243" style="70" width="8"/>
    <col collapsed="false" customWidth="false" hidden="false" outlineLevel="0" max="244" min="244" style="70" width="42.57"/>
    <col collapsed="false" customWidth="true" hidden="false" outlineLevel="0" max="245" min="245" style="70" width="3.29"/>
    <col collapsed="false" customWidth="true" hidden="false" outlineLevel="0" max="246" min="246" style="70" width="8"/>
    <col collapsed="false" customWidth="false" hidden="false" outlineLevel="0" max="247" min="247" style="70" width="42.57"/>
    <col collapsed="false" customWidth="true" hidden="false" outlineLevel="0" max="248" min="248" style="70" width="3.29"/>
    <col collapsed="false" customWidth="true" hidden="false" outlineLevel="0" max="249" min="249" style="70" width="8"/>
    <col collapsed="false" customWidth="false" hidden="false" outlineLevel="0" max="250" min="250" style="70" width="42.57"/>
    <col collapsed="false" customWidth="true" hidden="false" outlineLevel="0" max="251" min="251" style="70" width="3.29"/>
    <col collapsed="false" customWidth="true" hidden="false" outlineLevel="0" max="252" min="252" style="70" width="8"/>
    <col collapsed="false" customWidth="false" hidden="false" outlineLevel="0" max="253" min="253" style="70" width="42.57"/>
    <col collapsed="false" customWidth="true" hidden="false" outlineLevel="0" max="254" min="254" style="70" width="3.29"/>
    <col collapsed="false" customWidth="true" hidden="false" outlineLevel="0" max="255" min="255" style="70" width="8"/>
    <col collapsed="false" customWidth="false" hidden="false" outlineLevel="0" max="256" min="256" style="70" width="42.57"/>
    <col collapsed="false" customWidth="true" hidden="false" outlineLevel="0" max="257" min="257" style="70" width="3.29"/>
    <col collapsed="false" customWidth="true" hidden="false" outlineLevel="0" max="258" min="258" style="70" width="8"/>
    <col collapsed="false" customWidth="false" hidden="false" outlineLevel="0" max="259" min="259" style="70" width="42.57"/>
    <col collapsed="false" customWidth="true" hidden="false" outlineLevel="0" max="260" min="260" style="70" width="3.29"/>
    <col collapsed="false" customWidth="true" hidden="false" outlineLevel="0" max="261" min="261" style="70" width="8"/>
    <col collapsed="false" customWidth="false" hidden="false" outlineLevel="0" max="262" min="262" style="70" width="42.57"/>
    <col collapsed="false" customWidth="true" hidden="false" outlineLevel="0" max="263" min="263" style="70" width="3.29"/>
    <col collapsed="false" customWidth="true" hidden="false" outlineLevel="0" max="264" min="264" style="70" width="8"/>
    <col collapsed="false" customWidth="false" hidden="false" outlineLevel="0" max="265" min="265" style="70" width="42.57"/>
    <col collapsed="false" customWidth="true" hidden="false" outlineLevel="0" max="266" min="266" style="70" width="3.29"/>
    <col collapsed="false" customWidth="true" hidden="false" outlineLevel="0" max="267" min="267" style="70" width="8"/>
    <col collapsed="false" customWidth="false" hidden="false" outlineLevel="0" max="268" min="268" style="70" width="42.57"/>
    <col collapsed="false" customWidth="true" hidden="false" outlineLevel="0" max="269" min="269" style="70" width="3.29"/>
    <col collapsed="false" customWidth="true" hidden="false" outlineLevel="0" max="270" min="270" style="70" width="8"/>
    <col collapsed="false" customWidth="false" hidden="false" outlineLevel="0" max="271" min="271" style="70" width="42.57"/>
    <col collapsed="false" customWidth="true" hidden="false" outlineLevel="0" max="272" min="272" style="70" width="3.29"/>
    <col collapsed="false" customWidth="true" hidden="false" outlineLevel="0" max="273" min="273" style="70" width="8"/>
    <col collapsed="false" customWidth="false" hidden="false" outlineLevel="0" max="274" min="274" style="70" width="42.57"/>
    <col collapsed="false" customWidth="true" hidden="false" outlineLevel="0" max="275" min="275" style="70" width="3.29"/>
    <col collapsed="false" customWidth="true" hidden="false" outlineLevel="0" max="276" min="276" style="70" width="8"/>
    <col collapsed="false" customWidth="false" hidden="false" outlineLevel="0" max="277" min="277" style="70" width="42.57"/>
    <col collapsed="false" customWidth="true" hidden="false" outlineLevel="0" max="278" min="278" style="70" width="3.29"/>
    <col collapsed="false" customWidth="true" hidden="false" outlineLevel="0" max="279" min="279" style="70" width="8"/>
    <col collapsed="false" customWidth="false" hidden="false" outlineLevel="0" max="280" min="280" style="70" width="42.57"/>
    <col collapsed="false" customWidth="true" hidden="false" outlineLevel="0" max="281" min="281" style="70" width="3.29"/>
    <col collapsed="false" customWidth="true" hidden="false" outlineLevel="0" max="282" min="282" style="70" width="8"/>
    <col collapsed="false" customWidth="false" hidden="false" outlineLevel="0" max="283" min="283" style="70" width="42.57"/>
    <col collapsed="false" customWidth="true" hidden="false" outlineLevel="0" max="284" min="284" style="70" width="3.29"/>
    <col collapsed="false" customWidth="true" hidden="false" outlineLevel="0" max="285" min="285" style="70" width="8"/>
    <col collapsed="false" customWidth="false" hidden="false" outlineLevel="0" max="286" min="286" style="70" width="42.57"/>
    <col collapsed="false" customWidth="true" hidden="false" outlineLevel="0" max="287" min="287" style="70" width="3.29"/>
    <col collapsed="false" customWidth="true" hidden="false" outlineLevel="0" max="288" min="288" style="70" width="8"/>
    <col collapsed="false" customWidth="false" hidden="false" outlineLevel="0" max="289" min="289" style="70" width="42.57"/>
    <col collapsed="false" customWidth="true" hidden="false" outlineLevel="0" max="290" min="290" style="70" width="3.29"/>
    <col collapsed="false" customWidth="true" hidden="false" outlineLevel="0" max="291" min="291" style="70" width="8"/>
    <col collapsed="false" customWidth="false" hidden="false" outlineLevel="0" max="292" min="292" style="70" width="42.57"/>
    <col collapsed="false" customWidth="true" hidden="false" outlineLevel="0" max="293" min="293" style="70" width="3.29"/>
    <col collapsed="false" customWidth="true" hidden="false" outlineLevel="0" max="294" min="294" style="70" width="8"/>
    <col collapsed="false" customWidth="false" hidden="false" outlineLevel="0" max="295" min="295" style="70" width="42.57"/>
    <col collapsed="false" customWidth="true" hidden="false" outlineLevel="0" max="296" min="296" style="70" width="3.29"/>
    <col collapsed="false" customWidth="true" hidden="false" outlineLevel="0" max="297" min="297" style="70" width="8"/>
    <col collapsed="false" customWidth="false" hidden="false" outlineLevel="0" max="298" min="298" style="70" width="42.57"/>
    <col collapsed="false" customWidth="true" hidden="false" outlineLevel="0" max="299" min="299" style="70" width="3.29"/>
    <col collapsed="false" customWidth="true" hidden="false" outlineLevel="0" max="300" min="300" style="70" width="8"/>
    <col collapsed="false" customWidth="false" hidden="false" outlineLevel="0" max="301" min="301" style="70" width="42.57"/>
    <col collapsed="false" customWidth="true" hidden="false" outlineLevel="0" max="302" min="302" style="70" width="3.29"/>
    <col collapsed="false" customWidth="true" hidden="false" outlineLevel="0" max="303" min="303" style="70" width="8"/>
    <col collapsed="false" customWidth="false" hidden="false" outlineLevel="0" max="304" min="304" style="70" width="42.57"/>
    <col collapsed="false" customWidth="true" hidden="false" outlineLevel="0" max="305" min="305" style="70" width="3.29"/>
    <col collapsed="false" customWidth="true" hidden="false" outlineLevel="0" max="306" min="306" style="70" width="8"/>
    <col collapsed="false" customWidth="false" hidden="false" outlineLevel="0" max="307" min="307" style="70" width="42.57"/>
    <col collapsed="false" customWidth="true" hidden="false" outlineLevel="0" max="308" min="308" style="70" width="3.29"/>
    <col collapsed="false" customWidth="true" hidden="false" outlineLevel="0" max="309" min="309" style="70" width="8"/>
    <col collapsed="false" customWidth="false" hidden="false" outlineLevel="0" max="310" min="310" style="70" width="42.57"/>
    <col collapsed="false" customWidth="true" hidden="false" outlineLevel="0" max="311" min="311" style="70" width="3.29"/>
    <col collapsed="false" customWidth="true" hidden="false" outlineLevel="0" max="312" min="312" style="70" width="8"/>
    <col collapsed="false" customWidth="false" hidden="false" outlineLevel="0" max="313" min="313" style="70" width="42.57"/>
    <col collapsed="false" customWidth="true" hidden="false" outlineLevel="0" max="314" min="314" style="70" width="3.29"/>
    <col collapsed="false" customWidth="true" hidden="false" outlineLevel="0" max="315" min="315" style="70" width="8"/>
    <col collapsed="false" customWidth="false" hidden="false" outlineLevel="0" max="316" min="316" style="70" width="42.57"/>
    <col collapsed="false" customWidth="true" hidden="false" outlineLevel="0" max="317" min="317" style="70" width="3.29"/>
    <col collapsed="false" customWidth="true" hidden="false" outlineLevel="0" max="318" min="318" style="70" width="8"/>
    <col collapsed="false" customWidth="false" hidden="false" outlineLevel="0" max="319" min="319" style="70" width="42.57"/>
    <col collapsed="false" customWidth="true" hidden="false" outlineLevel="0" max="320" min="320" style="70" width="3.29"/>
    <col collapsed="false" customWidth="true" hidden="false" outlineLevel="0" max="321" min="321" style="70" width="8"/>
    <col collapsed="false" customWidth="false" hidden="false" outlineLevel="0" max="322" min="322" style="70" width="42.57"/>
    <col collapsed="false" customWidth="true" hidden="false" outlineLevel="0" max="323" min="323" style="70" width="3.29"/>
    <col collapsed="false" customWidth="true" hidden="false" outlineLevel="0" max="324" min="324" style="70" width="8"/>
    <col collapsed="false" customWidth="false" hidden="false" outlineLevel="0" max="325" min="325" style="70" width="42.57"/>
    <col collapsed="false" customWidth="true" hidden="false" outlineLevel="0" max="326" min="326" style="70" width="3.29"/>
    <col collapsed="false" customWidth="true" hidden="false" outlineLevel="0" max="327" min="327" style="70" width="8"/>
    <col collapsed="false" customWidth="false" hidden="false" outlineLevel="0" max="328" min="328" style="70" width="42.57"/>
    <col collapsed="false" customWidth="true" hidden="false" outlineLevel="0" max="329" min="329" style="70" width="3.29"/>
    <col collapsed="false" customWidth="true" hidden="false" outlineLevel="0" max="330" min="330" style="70" width="8"/>
    <col collapsed="false" customWidth="false" hidden="false" outlineLevel="0" max="331" min="331" style="70" width="42.57"/>
    <col collapsed="false" customWidth="true" hidden="false" outlineLevel="0" max="332" min="332" style="70" width="3.29"/>
    <col collapsed="false" customWidth="true" hidden="false" outlineLevel="0" max="333" min="333" style="70" width="8"/>
    <col collapsed="false" customWidth="false" hidden="false" outlineLevel="0" max="334" min="334" style="70" width="42.57"/>
    <col collapsed="false" customWidth="true" hidden="false" outlineLevel="0" max="335" min="335" style="70" width="3.29"/>
    <col collapsed="false" customWidth="true" hidden="false" outlineLevel="0" max="336" min="336" style="70" width="8"/>
    <col collapsed="false" customWidth="false" hidden="false" outlineLevel="0" max="337" min="337" style="70" width="42.57"/>
    <col collapsed="false" customWidth="true" hidden="false" outlineLevel="0" max="338" min="338" style="70" width="3.29"/>
    <col collapsed="false" customWidth="true" hidden="false" outlineLevel="0" max="339" min="339" style="70" width="8"/>
    <col collapsed="false" customWidth="false" hidden="false" outlineLevel="0" max="340" min="340" style="70" width="42.57"/>
    <col collapsed="false" customWidth="true" hidden="false" outlineLevel="0" max="341" min="341" style="70" width="3.29"/>
    <col collapsed="false" customWidth="true" hidden="false" outlineLevel="0" max="342" min="342" style="70" width="8"/>
    <col collapsed="false" customWidth="false" hidden="false" outlineLevel="0" max="343" min="343" style="70" width="42.57"/>
    <col collapsed="false" customWidth="true" hidden="false" outlineLevel="0" max="344" min="344" style="70" width="3.29"/>
    <col collapsed="false" customWidth="true" hidden="false" outlineLevel="0" max="345" min="345" style="70" width="8"/>
    <col collapsed="false" customWidth="false" hidden="false" outlineLevel="0" max="346" min="346" style="70" width="42.57"/>
    <col collapsed="false" customWidth="true" hidden="false" outlineLevel="0" max="347" min="347" style="70" width="3.29"/>
    <col collapsed="false" customWidth="true" hidden="false" outlineLevel="0" max="348" min="348" style="70" width="8"/>
    <col collapsed="false" customWidth="false" hidden="false" outlineLevel="0" max="349" min="349" style="70" width="42.57"/>
    <col collapsed="false" customWidth="true" hidden="false" outlineLevel="0" max="350" min="350" style="70" width="3.29"/>
    <col collapsed="false" customWidth="true" hidden="false" outlineLevel="0" max="351" min="351" style="70" width="8"/>
    <col collapsed="false" customWidth="false" hidden="false" outlineLevel="0" max="352" min="352" style="70" width="42.57"/>
    <col collapsed="false" customWidth="true" hidden="false" outlineLevel="0" max="353" min="353" style="70" width="3.29"/>
    <col collapsed="false" customWidth="true" hidden="false" outlineLevel="0" max="354" min="354" style="70" width="8"/>
    <col collapsed="false" customWidth="false" hidden="false" outlineLevel="0" max="355" min="355" style="70" width="42.57"/>
    <col collapsed="false" customWidth="true" hidden="false" outlineLevel="0" max="356" min="356" style="70" width="3.29"/>
    <col collapsed="false" customWidth="true" hidden="false" outlineLevel="0" max="357" min="357" style="70" width="8"/>
    <col collapsed="false" customWidth="false" hidden="false" outlineLevel="0" max="358" min="358" style="70" width="42.57"/>
    <col collapsed="false" customWidth="true" hidden="false" outlineLevel="0" max="359" min="359" style="70" width="3.29"/>
    <col collapsed="false" customWidth="true" hidden="false" outlineLevel="0" max="360" min="360" style="70" width="8"/>
    <col collapsed="false" customWidth="false" hidden="false" outlineLevel="0" max="361" min="361" style="70" width="42.57"/>
    <col collapsed="false" customWidth="true" hidden="false" outlineLevel="0" max="362" min="362" style="70" width="3.29"/>
    <col collapsed="false" customWidth="true" hidden="false" outlineLevel="0" max="363" min="363" style="70" width="8"/>
    <col collapsed="false" customWidth="false" hidden="false" outlineLevel="0" max="364" min="364" style="70" width="42.57"/>
    <col collapsed="false" customWidth="true" hidden="false" outlineLevel="0" max="365" min="365" style="70" width="3.29"/>
    <col collapsed="false" customWidth="true" hidden="false" outlineLevel="0" max="366" min="366" style="70" width="8"/>
    <col collapsed="false" customWidth="false" hidden="false" outlineLevel="0" max="367" min="367" style="70" width="42.57"/>
    <col collapsed="false" customWidth="true" hidden="false" outlineLevel="0" max="368" min="368" style="70" width="3.29"/>
    <col collapsed="false" customWidth="true" hidden="false" outlineLevel="0" max="369" min="369" style="70" width="8"/>
    <col collapsed="false" customWidth="false" hidden="false" outlineLevel="0" max="370" min="370" style="70" width="42.57"/>
    <col collapsed="false" customWidth="true" hidden="false" outlineLevel="0" max="371" min="371" style="70" width="3.29"/>
    <col collapsed="false" customWidth="true" hidden="false" outlineLevel="0" max="372" min="372" style="70" width="8"/>
    <col collapsed="false" customWidth="false" hidden="false" outlineLevel="0" max="373" min="373" style="70" width="42.57"/>
    <col collapsed="false" customWidth="true" hidden="false" outlineLevel="0" max="374" min="374" style="70" width="3.29"/>
    <col collapsed="false" customWidth="true" hidden="false" outlineLevel="0" max="375" min="375" style="70" width="8"/>
    <col collapsed="false" customWidth="false" hidden="false" outlineLevel="0" max="376" min="376" style="70" width="42.57"/>
    <col collapsed="false" customWidth="true" hidden="false" outlineLevel="0" max="377" min="377" style="70" width="3.29"/>
    <col collapsed="false" customWidth="true" hidden="false" outlineLevel="0" max="378" min="378" style="70" width="8"/>
    <col collapsed="false" customWidth="false" hidden="false" outlineLevel="0" max="379" min="379" style="70" width="42.57"/>
    <col collapsed="false" customWidth="true" hidden="false" outlineLevel="0" max="380" min="380" style="70" width="3.29"/>
    <col collapsed="false" customWidth="true" hidden="false" outlineLevel="0" max="381" min="381" style="70" width="8"/>
    <col collapsed="false" customWidth="false" hidden="false" outlineLevel="0" max="382" min="382" style="70" width="42.57"/>
    <col collapsed="false" customWidth="true" hidden="false" outlineLevel="0" max="383" min="383" style="70" width="3.29"/>
    <col collapsed="false" customWidth="true" hidden="false" outlineLevel="0" max="384" min="384" style="70" width="8"/>
    <col collapsed="false" customWidth="false" hidden="false" outlineLevel="0" max="385" min="385" style="70" width="42.57"/>
    <col collapsed="false" customWidth="true" hidden="false" outlineLevel="0" max="386" min="386" style="70" width="3.29"/>
    <col collapsed="false" customWidth="true" hidden="false" outlineLevel="0" max="387" min="387" style="70" width="8"/>
    <col collapsed="false" customWidth="false" hidden="false" outlineLevel="0" max="388" min="388" style="70" width="42.57"/>
    <col collapsed="false" customWidth="true" hidden="false" outlineLevel="0" max="389" min="389" style="70" width="3.29"/>
    <col collapsed="false" customWidth="true" hidden="false" outlineLevel="0" max="390" min="390" style="70" width="8"/>
    <col collapsed="false" customWidth="false" hidden="false" outlineLevel="0" max="391" min="391" style="70" width="42.57"/>
    <col collapsed="false" customWidth="true" hidden="false" outlineLevel="0" max="392" min="392" style="70" width="3.29"/>
    <col collapsed="false" customWidth="true" hidden="false" outlineLevel="0" max="393" min="393" style="70" width="8"/>
    <col collapsed="false" customWidth="false" hidden="false" outlineLevel="0" max="394" min="394" style="70" width="42.57"/>
    <col collapsed="false" customWidth="true" hidden="false" outlineLevel="0" max="395" min="395" style="70" width="3.29"/>
    <col collapsed="false" customWidth="true" hidden="false" outlineLevel="0" max="396" min="396" style="70" width="8"/>
    <col collapsed="false" customWidth="false" hidden="false" outlineLevel="0" max="397" min="397" style="70" width="42.57"/>
    <col collapsed="false" customWidth="true" hidden="false" outlineLevel="0" max="398" min="398" style="70" width="3.29"/>
    <col collapsed="false" customWidth="true" hidden="false" outlineLevel="0" max="399" min="399" style="70" width="8"/>
    <col collapsed="false" customWidth="false" hidden="false" outlineLevel="0" max="400" min="400" style="70" width="42.57"/>
    <col collapsed="false" customWidth="true" hidden="false" outlineLevel="0" max="401" min="401" style="70" width="3.29"/>
    <col collapsed="false" customWidth="true" hidden="false" outlineLevel="0" max="402" min="402" style="70" width="8"/>
    <col collapsed="false" customWidth="false" hidden="false" outlineLevel="0" max="403" min="403" style="70" width="42.57"/>
    <col collapsed="false" customWidth="true" hidden="false" outlineLevel="0" max="404" min="404" style="70" width="3.29"/>
    <col collapsed="false" customWidth="true" hidden="false" outlineLevel="0" max="405" min="405" style="70" width="8"/>
    <col collapsed="false" customWidth="false" hidden="false" outlineLevel="0" max="406" min="406" style="70" width="42.57"/>
    <col collapsed="false" customWidth="true" hidden="false" outlineLevel="0" max="407" min="407" style="70" width="3.29"/>
    <col collapsed="false" customWidth="true" hidden="false" outlineLevel="0" max="408" min="408" style="70" width="8"/>
    <col collapsed="false" customWidth="false" hidden="false" outlineLevel="0" max="409" min="409" style="70" width="42.57"/>
    <col collapsed="false" customWidth="true" hidden="false" outlineLevel="0" max="410" min="410" style="70" width="3.29"/>
    <col collapsed="false" customWidth="true" hidden="false" outlineLevel="0" max="411" min="411" style="70" width="8"/>
    <col collapsed="false" customWidth="false" hidden="false" outlineLevel="0" max="412" min="412" style="70" width="42.57"/>
    <col collapsed="false" customWidth="true" hidden="false" outlineLevel="0" max="413" min="413" style="70" width="3.29"/>
    <col collapsed="false" customWidth="true" hidden="false" outlineLevel="0" max="414" min="414" style="70" width="8"/>
    <col collapsed="false" customWidth="false" hidden="false" outlineLevel="0" max="415" min="415" style="70" width="42.57"/>
    <col collapsed="false" customWidth="true" hidden="false" outlineLevel="0" max="416" min="416" style="70" width="3.29"/>
    <col collapsed="false" customWidth="true" hidden="false" outlineLevel="0" max="417" min="417" style="70" width="8"/>
    <col collapsed="false" customWidth="false" hidden="false" outlineLevel="0" max="418" min="418" style="70" width="42.57"/>
    <col collapsed="false" customWidth="true" hidden="false" outlineLevel="0" max="419" min="419" style="70" width="3.29"/>
    <col collapsed="false" customWidth="true" hidden="false" outlineLevel="0" max="420" min="420" style="70" width="8"/>
    <col collapsed="false" customWidth="false" hidden="false" outlineLevel="0" max="421" min="421" style="70" width="42.57"/>
    <col collapsed="false" customWidth="true" hidden="false" outlineLevel="0" max="422" min="422" style="70" width="3.29"/>
    <col collapsed="false" customWidth="true" hidden="false" outlineLevel="0" max="423" min="423" style="70" width="8"/>
    <col collapsed="false" customWidth="false" hidden="false" outlineLevel="0" max="424" min="424" style="70" width="42.57"/>
    <col collapsed="false" customWidth="true" hidden="false" outlineLevel="0" max="425" min="425" style="70" width="3.29"/>
    <col collapsed="false" customWidth="true" hidden="false" outlineLevel="0" max="426" min="426" style="70" width="8"/>
    <col collapsed="false" customWidth="false" hidden="false" outlineLevel="0" max="427" min="427" style="70" width="42.57"/>
    <col collapsed="false" customWidth="true" hidden="false" outlineLevel="0" max="428" min="428" style="70" width="3.29"/>
    <col collapsed="false" customWidth="true" hidden="false" outlineLevel="0" max="429" min="429" style="70" width="8"/>
    <col collapsed="false" customWidth="false" hidden="false" outlineLevel="0" max="430" min="430" style="70" width="42.57"/>
    <col collapsed="false" customWidth="true" hidden="false" outlineLevel="0" max="431" min="431" style="70" width="3.29"/>
    <col collapsed="false" customWidth="true" hidden="false" outlineLevel="0" max="432" min="432" style="70" width="8"/>
    <col collapsed="false" customWidth="false" hidden="false" outlineLevel="0" max="433" min="433" style="70" width="42.57"/>
    <col collapsed="false" customWidth="true" hidden="false" outlineLevel="0" max="434" min="434" style="70" width="3.29"/>
    <col collapsed="false" customWidth="true" hidden="false" outlineLevel="0" max="435" min="435" style="70" width="8"/>
    <col collapsed="false" customWidth="false" hidden="false" outlineLevel="0" max="436" min="436" style="70" width="42.57"/>
    <col collapsed="false" customWidth="true" hidden="false" outlineLevel="0" max="437" min="437" style="70" width="3.29"/>
    <col collapsed="false" customWidth="true" hidden="false" outlineLevel="0" max="438" min="438" style="70" width="8"/>
    <col collapsed="false" customWidth="false" hidden="false" outlineLevel="0" max="439" min="439" style="70" width="42.57"/>
    <col collapsed="false" customWidth="true" hidden="false" outlineLevel="0" max="440" min="440" style="70" width="3.29"/>
    <col collapsed="false" customWidth="true" hidden="false" outlineLevel="0" max="441" min="441" style="70" width="8"/>
    <col collapsed="false" customWidth="false" hidden="false" outlineLevel="0" max="442" min="442" style="70" width="42.57"/>
    <col collapsed="false" customWidth="true" hidden="false" outlineLevel="0" max="443" min="443" style="70" width="3.29"/>
    <col collapsed="false" customWidth="true" hidden="false" outlineLevel="0" max="444" min="444" style="70" width="8"/>
    <col collapsed="false" customWidth="false" hidden="false" outlineLevel="0" max="445" min="445" style="70" width="42.57"/>
    <col collapsed="false" customWidth="true" hidden="false" outlineLevel="0" max="446" min="446" style="70" width="3.29"/>
    <col collapsed="false" customWidth="true" hidden="false" outlineLevel="0" max="447" min="447" style="70" width="8"/>
    <col collapsed="false" customWidth="false" hidden="false" outlineLevel="0" max="448" min="448" style="70" width="42.57"/>
    <col collapsed="false" customWidth="true" hidden="false" outlineLevel="0" max="449" min="449" style="70" width="3.29"/>
    <col collapsed="false" customWidth="true" hidden="false" outlineLevel="0" max="450" min="450" style="70" width="8"/>
    <col collapsed="false" customWidth="false" hidden="false" outlineLevel="0" max="451" min="451" style="70" width="42.57"/>
    <col collapsed="false" customWidth="true" hidden="false" outlineLevel="0" max="452" min="452" style="70" width="3.29"/>
    <col collapsed="false" customWidth="true" hidden="false" outlineLevel="0" max="453" min="453" style="70" width="8"/>
    <col collapsed="false" customWidth="false" hidden="false" outlineLevel="0" max="454" min="454" style="70" width="42.57"/>
    <col collapsed="false" customWidth="true" hidden="false" outlineLevel="0" max="455" min="455" style="70" width="3.29"/>
    <col collapsed="false" customWidth="true" hidden="false" outlineLevel="0" max="456" min="456" style="70" width="8"/>
    <col collapsed="false" customWidth="false" hidden="false" outlineLevel="0" max="457" min="457" style="70" width="42.57"/>
    <col collapsed="false" customWidth="true" hidden="false" outlineLevel="0" max="458" min="458" style="70" width="3.29"/>
    <col collapsed="false" customWidth="true" hidden="false" outlineLevel="0" max="459" min="459" style="70" width="8"/>
    <col collapsed="false" customWidth="false" hidden="false" outlineLevel="0" max="460" min="460" style="70" width="42.57"/>
    <col collapsed="false" customWidth="true" hidden="false" outlineLevel="0" max="461" min="461" style="70" width="3.29"/>
    <col collapsed="false" customWidth="true" hidden="false" outlineLevel="0" max="462" min="462" style="70" width="8"/>
    <col collapsed="false" customWidth="false" hidden="false" outlineLevel="0" max="463" min="463" style="70" width="42.57"/>
    <col collapsed="false" customWidth="true" hidden="false" outlineLevel="0" max="464" min="464" style="70" width="3.29"/>
    <col collapsed="false" customWidth="true" hidden="false" outlineLevel="0" max="465" min="465" style="70" width="8"/>
    <col collapsed="false" customWidth="false" hidden="false" outlineLevel="0" max="466" min="466" style="70" width="42.57"/>
    <col collapsed="false" customWidth="true" hidden="false" outlineLevel="0" max="467" min="467" style="70" width="3.29"/>
    <col collapsed="false" customWidth="true" hidden="false" outlineLevel="0" max="468" min="468" style="70" width="8"/>
    <col collapsed="false" customWidth="false" hidden="false" outlineLevel="0" max="469" min="469" style="70" width="42.57"/>
    <col collapsed="false" customWidth="true" hidden="false" outlineLevel="0" max="470" min="470" style="70" width="3.29"/>
    <col collapsed="false" customWidth="true" hidden="false" outlineLevel="0" max="471" min="471" style="70" width="8"/>
    <col collapsed="false" customWidth="false" hidden="false" outlineLevel="0" max="472" min="472" style="70" width="42.57"/>
    <col collapsed="false" customWidth="true" hidden="false" outlineLevel="0" max="473" min="473" style="70" width="3.29"/>
    <col collapsed="false" customWidth="true" hidden="false" outlineLevel="0" max="474" min="474" style="70" width="8"/>
    <col collapsed="false" customWidth="false" hidden="false" outlineLevel="0" max="475" min="475" style="70" width="42.57"/>
    <col collapsed="false" customWidth="true" hidden="false" outlineLevel="0" max="476" min="476" style="70" width="3.29"/>
    <col collapsed="false" customWidth="true" hidden="false" outlineLevel="0" max="477" min="477" style="70" width="8"/>
    <col collapsed="false" customWidth="false" hidden="false" outlineLevel="0" max="478" min="478" style="70" width="42.57"/>
    <col collapsed="false" customWidth="true" hidden="false" outlineLevel="0" max="479" min="479" style="70" width="3.29"/>
    <col collapsed="false" customWidth="true" hidden="false" outlineLevel="0" max="480" min="480" style="70" width="8"/>
    <col collapsed="false" customWidth="false" hidden="false" outlineLevel="0" max="481" min="481" style="70" width="42.57"/>
    <col collapsed="false" customWidth="true" hidden="false" outlineLevel="0" max="482" min="482" style="70" width="3.29"/>
    <col collapsed="false" customWidth="true" hidden="false" outlineLevel="0" max="483" min="483" style="70" width="8"/>
    <col collapsed="false" customWidth="false" hidden="false" outlineLevel="0" max="484" min="484" style="70" width="42.57"/>
    <col collapsed="false" customWidth="true" hidden="false" outlineLevel="0" max="485" min="485" style="70" width="3.29"/>
    <col collapsed="false" customWidth="true" hidden="false" outlineLevel="0" max="486" min="486" style="70" width="8"/>
    <col collapsed="false" customWidth="false" hidden="false" outlineLevel="0" max="487" min="487" style="70" width="42.57"/>
    <col collapsed="false" customWidth="true" hidden="false" outlineLevel="0" max="488" min="488" style="70" width="3.29"/>
    <col collapsed="false" customWidth="true" hidden="false" outlineLevel="0" max="489" min="489" style="70" width="8"/>
    <col collapsed="false" customWidth="false" hidden="false" outlineLevel="0" max="490" min="490" style="70" width="42.57"/>
    <col collapsed="false" customWidth="true" hidden="false" outlineLevel="0" max="491" min="491" style="70" width="3.29"/>
    <col collapsed="false" customWidth="true" hidden="false" outlineLevel="0" max="492" min="492" style="70" width="8"/>
    <col collapsed="false" customWidth="false" hidden="false" outlineLevel="0" max="493" min="493" style="70" width="42.57"/>
    <col collapsed="false" customWidth="true" hidden="false" outlineLevel="0" max="494" min="494" style="70" width="3.29"/>
    <col collapsed="false" customWidth="true" hidden="false" outlineLevel="0" max="495" min="495" style="70" width="8"/>
    <col collapsed="false" customWidth="false" hidden="false" outlineLevel="0" max="496" min="496" style="70" width="42.57"/>
    <col collapsed="false" customWidth="true" hidden="false" outlineLevel="0" max="497" min="497" style="70" width="3.29"/>
    <col collapsed="false" customWidth="true" hidden="false" outlineLevel="0" max="498" min="498" style="70" width="8"/>
    <col collapsed="false" customWidth="false" hidden="false" outlineLevel="0" max="499" min="499" style="70" width="42.57"/>
    <col collapsed="false" customWidth="true" hidden="false" outlineLevel="0" max="500" min="500" style="70" width="3.29"/>
    <col collapsed="false" customWidth="true" hidden="false" outlineLevel="0" max="501" min="501" style="70" width="8"/>
    <col collapsed="false" customWidth="false" hidden="false" outlineLevel="0" max="502" min="502" style="70" width="42.57"/>
    <col collapsed="false" customWidth="true" hidden="false" outlineLevel="0" max="503" min="503" style="70" width="3.29"/>
    <col collapsed="false" customWidth="true" hidden="false" outlineLevel="0" max="504" min="504" style="70" width="8"/>
    <col collapsed="false" customWidth="false" hidden="false" outlineLevel="0" max="505" min="505" style="70" width="42.57"/>
    <col collapsed="false" customWidth="true" hidden="false" outlineLevel="0" max="506" min="506" style="70" width="3.29"/>
    <col collapsed="false" customWidth="true" hidden="false" outlineLevel="0" max="507" min="507" style="70" width="8"/>
    <col collapsed="false" customWidth="false" hidden="false" outlineLevel="0" max="508" min="508" style="70" width="42.57"/>
    <col collapsed="false" customWidth="true" hidden="false" outlineLevel="0" max="509" min="509" style="70" width="3.29"/>
    <col collapsed="false" customWidth="true" hidden="false" outlineLevel="0" max="510" min="510" style="70" width="8"/>
    <col collapsed="false" customWidth="false" hidden="false" outlineLevel="0" max="511" min="511" style="70" width="42.57"/>
    <col collapsed="false" customWidth="true" hidden="false" outlineLevel="0" max="512" min="512" style="70" width="3.29"/>
    <col collapsed="false" customWidth="true" hidden="false" outlineLevel="0" max="513" min="513" style="70" width="8"/>
    <col collapsed="false" customWidth="false" hidden="false" outlineLevel="0" max="514" min="514" style="70" width="42.57"/>
    <col collapsed="false" customWidth="true" hidden="false" outlineLevel="0" max="515" min="515" style="70" width="3.29"/>
    <col collapsed="false" customWidth="true" hidden="false" outlineLevel="0" max="516" min="516" style="70" width="8"/>
    <col collapsed="false" customWidth="false" hidden="false" outlineLevel="0" max="517" min="517" style="70" width="42.57"/>
    <col collapsed="false" customWidth="true" hidden="false" outlineLevel="0" max="518" min="518" style="70" width="3.29"/>
    <col collapsed="false" customWidth="true" hidden="false" outlineLevel="0" max="519" min="519" style="70" width="8"/>
    <col collapsed="false" customWidth="false" hidden="false" outlineLevel="0" max="520" min="520" style="70" width="42.57"/>
    <col collapsed="false" customWidth="true" hidden="false" outlineLevel="0" max="521" min="521" style="70" width="3.29"/>
    <col collapsed="false" customWidth="true" hidden="false" outlineLevel="0" max="522" min="522" style="70" width="8"/>
    <col collapsed="false" customWidth="false" hidden="false" outlineLevel="0" max="523" min="523" style="70" width="42.57"/>
    <col collapsed="false" customWidth="true" hidden="false" outlineLevel="0" max="524" min="524" style="70" width="3.29"/>
    <col collapsed="false" customWidth="true" hidden="false" outlineLevel="0" max="525" min="525" style="70" width="8"/>
    <col collapsed="false" customWidth="false" hidden="false" outlineLevel="0" max="526" min="526" style="70" width="42.57"/>
    <col collapsed="false" customWidth="true" hidden="false" outlineLevel="0" max="527" min="527" style="70" width="3.29"/>
    <col collapsed="false" customWidth="true" hidden="false" outlineLevel="0" max="528" min="528" style="70" width="8"/>
    <col collapsed="false" customWidth="false" hidden="false" outlineLevel="0" max="529" min="529" style="70" width="42.57"/>
    <col collapsed="false" customWidth="true" hidden="false" outlineLevel="0" max="530" min="530" style="70" width="3.29"/>
    <col collapsed="false" customWidth="true" hidden="false" outlineLevel="0" max="531" min="531" style="70" width="8"/>
    <col collapsed="false" customWidth="false" hidden="false" outlineLevel="0" max="532" min="532" style="70" width="42.57"/>
    <col collapsed="false" customWidth="true" hidden="false" outlineLevel="0" max="533" min="533" style="70" width="3.29"/>
    <col collapsed="false" customWidth="true" hidden="false" outlineLevel="0" max="534" min="534" style="70" width="8"/>
    <col collapsed="false" customWidth="false" hidden="false" outlineLevel="0" max="535" min="535" style="70" width="42.57"/>
    <col collapsed="false" customWidth="true" hidden="false" outlineLevel="0" max="536" min="536" style="70" width="3.29"/>
    <col collapsed="false" customWidth="true" hidden="false" outlineLevel="0" max="537" min="537" style="70" width="8"/>
    <col collapsed="false" customWidth="false" hidden="false" outlineLevel="0" max="538" min="538" style="70" width="42.57"/>
    <col collapsed="false" customWidth="true" hidden="false" outlineLevel="0" max="539" min="539" style="70" width="3.29"/>
    <col collapsed="false" customWidth="true" hidden="false" outlineLevel="0" max="540" min="540" style="70" width="8"/>
    <col collapsed="false" customWidth="false" hidden="false" outlineLevel="0" max="541" min="541" style="70" width="42.57"/>
    <col collapsed="false" customWidth="true" hidden="false" outlineLevel="0" max="542" min="542" style="70" width="3.29"/>
    <col collapsed="false" customWidth="true" hidden="false" outlineLevel="0" max="543" min="543" style="70" width="8"/>
    <col collapsed="false" customWidth="false" hidden="false" outlineLevel="0" max="544" min="544" style="70" width="42.57"/>
    <col collapsed="false" customWidth="true" hidden="false" outlineLevel="0" max="545" min="545" style="70" width="3.29"/>
    <col collapsed="false" customWidth="true" hidden="false" outlineLevel="0" max="546" min="546" style="70" width="8"/>
    <col collapsed="false" customWidth="false" hidden="false" outlineLevel="0" max="547" min="547" style="70" width="42.57"/>
    <col collapsed="false" customWidth="true" hidden="false" outlineLevel="0" max="548" min="548" style="70" width="3.29"/>
    <col collapsed="false" customWidth="true" hidden="false" outlineLevel="0" max="549" min="549" style="70" width="8"/>
    <col collapsed="false" customWidth="false" hidden="false" outlineLevel="0" max="550" min="550" style="70" width="42.57"/>
    <col collapsed="false" customWidth="true" hidden="false" outlineLevel="0" max="551" min="551" style="70" width="3.29"/>
    <col collapsed="false" customWidth="true" hidden="false" outlineLevel="0" max="552" min="552" style="70" width="8"/>
    <col collapsed="false" customWidth="false" hidden="false" outlineLevel="0" max="553" min="553" style="70" width="42.57"/>
    <col collapsed="false" customWidth="true" hidden="false" outlineLevel="0" max="554" min="554" style="70" width="3.29"/>
    <col collapsed="false" customWidth="true" hidden="false" outlineLevel="0" max="555" min="555" style="70" width="8"/>
    <col collapsed="false" customWidth="false" hidden="false" outlineLevel="0" max="556" min="556" style="70" width="42.57"/>
    <col collapsed="false" customWidth="true" hidden="false" outlineLevel="0" max="557" min="557" style="70" width="3.29"/>
    <col collapsed="false" customWidth="true" hidden="false" outlineLevel="0" max="558" min="558" style="70" width="8"/>
    <col collapsed="false" customWidth="false" hidden="false" outlineLevel="0" max="559" min="559" style="70" width="42.57"/>
    <col collapsed="false" customWidth="true" hidden="false" outlineLevel="0" max="560" min="560" style="70" width="3.29"/>
    <col collapsed="false" customWidth="true" hidden="false" outlineLevel="0" max="561" min="561" style="70" width="8"/>
    <col collapsed="false" customWidth="false" hidden="false" outlineLevel="0" max="562" min="562" style="70" width="42.57"/>
    <col collapsed="false" customWidth="true" hidden="false" outlineLevel="0" max="563" min="563" style="70" width="3.29"/>
    <col collapsed="false" customWidth="true" hidden="false" outlineLevel="0" max="564" min="564" style="70" width="8"/>
    <col collapsed="false" customWidth="false" hidden="false" outlineLevel="0" max="565" min="565" style="70" width="42.57"/>
    <col collapsed="false" customWidth="true" hidden="false" outlineLevel="0" max="566" min="566" style="70" width="3.29"/>
    <col collapsed="false" customWidth="true" hidden="false" outlineLevel="0" max="567" min="567" style="70" width="8"/>
    <col collapsed="false" customWidth="false" hidden="false" outlineLevel="0" max="568" min="568" style="70" width="42.57"/>
    <col collapsed="false" customWidth="true" hidden="false" outlineLevel="0" max="569" min="569" style="70" width="3.29"/>
    <col collapsed="false" customWidth="true" hidden="false" outlineLevel="0" max="570" min="570" style="70" width="8"/>
    <col collapsed="false" customWidth="false" hidden="false" outlineLevel="0" max="571" min="571" style="70" width="42.57"/>
    <col collapsed="false" customWidth="true" hidden="false" outlineLevel="0" max="572" min="572" style="70" width="3.29"/>
    <col collapsed="false" customWidth="true" hidden="false" outlineLevel="0" max="573" min="573" style="70" width="8"/>
    <col collapsed="false" customWidth="false" hidden="false" outlineLevel="0" max="574" min="574" style="70" width="42.57"/>
    <col collapsed="false" customWidth="true" hidden="false" outlineLevel="0" max="575" min="575" style="70" width="3.29"/>
    <col collapsed="false" customWidth="true" hidden="false" outlineLevel="0" max="576" min="576" style="70" width="8"/>
    <col collapsed="false" customWidth="false" hidden="false" outlineLevel="0" max="577" min="577" style="70" width="42.57"/>
    <col collapsed="false" customWidth="true" hidden="false" outlineLevel="0" max="578" min="578" style="70" width="3.29"/>
    <col collapsed="false" customWidth="true" hidden="false" outlineLevel="0" max="579" min="579" style="70" width="8"/>
    <col collapsed="false" customWidth="false" hidden="false" outlineLevel="0" max="580" min="580" style="70" width="42.57"/>
    <col collapsed="false" customWidth="true" hidden="false" outlineLevel="0" max="581" min="581" style="70" width="3.29"/>
    <col collapsed="false" customWidth="true" hidden="false" outlineLevel="0" max="582" min="582" style="70" width="8"/>
    <col collapsed="false" customWidth="false" hidden="false" outlineLevel="0" max="583" min="583" style="70" width="42.57"/>
    <col collapsed="false" customWidth="true" hidden="false" outlineLevel="0" max="584" min="584" style="70" width="3.29"/>
    <col collapsed="false" customWidth="true" hidden="false" outlineLevel="0" max="585" min="585" style="70" width="8"/>
    <col collapsed="false" customWidth="false" hidden="false" outlineLevel="0" max="586" min="586" style="70" width="42.57"/>
    <col collapsed="false" customWidth="true" hidden="false" outlineLevel="0" max="587" min="587" style="70" width="3.29"/>
    <col collapsed="false" customWidth="true" hidden="false" outlineLevel="0" max="588" min="588" style="70" width="8"/>
    <col collapsed="false" customWidth="false" hidden="false" outlineLevel="0" max="589" min="589" style="70" width="42.57"/>
    <col collapsed="false" customWidth="true" hidden="false" outlineLevel="0" max="590" min="590" style="70" width="3.29"/>
    <col collapsed="false" customWidth="true" hidden="false" outlineLevel="0" max="591" min="591" style="70" width="8"/>
    <col collapsed="false" customWidth="false" hidden="false" outlineLevel="0" max="592" min="592" style="70" width="42.57"/>
    <col collapsed="false" customWidth="true" hidden="false" outlineLevel="0" max="593" min="593" style="70" width="3.29"/>
    <col collapsed="false" customWidth="true" hidden="false" outlineLevel="0" max="594" min="594" style="70" width="8"/>
    <col collapsed="false" customWidth="false" hidden="false" outlineLevel="0" max="595" min="595" style="70" width="42.57"/>
    <col collapsed="false" customWidth="true" hidden="false" outlineLevel="0" max="596" min="596" style="70" width="3.29"/>
    <col collapsed="false" customWidth="true" hidden="false" outlineLevel="0" max="597" min="597" style="70" width="8"/>
    <col collapsed="false" customWidth="false" hidden="false" outlineLevel="0" max="598" min="598" style="70" width="42.57"/>
    <col collapsed="false" customWidth="true" hidden="false" outlineLevel="0" max="599" min="599" style="70" width="3.29"/>
    <col collapsed="false" customWidth="true" hidden="false" outlineLevel="0" max="600" min="600" style="70" width="8"/>
    <col collapsed="false" customWidth="false" hidden="false" outlineLevel="0" max="601" min="601" style="70" width="42.57"/>
    <col collapsed="false" customWidth="true" hidden="false" outlineLevel="0" max="602" min="602" style="70" width="3.29"/>
    <col collapsed="false" customWidth="true" hidden="false" outlineLevel="0" max="603" min="603" style="70" width="8"/>
    <col collapsed="false" customWidth="false" hidden="false" outlineLevel="0" max="604" min="604" style="70" width="42.57"/>
    <col collapsed="false" customWidth="true" hidden="false" outlineLevel="0" max="605" min="605" style="70" width="3.29"/>
    <col collapsed="false" customWidth="true" hidden="false" outlineLevel="0" max="606" min="606" style="70" width="8"/>
    <col collapsed="false" customWidth="false" hidden="false" outlineLevel="0" max="607" min="607" style="70" width="42.57"/>
    <col collapsed="false" customWidth="true" hidden="false" outlineLevel="0" max="608" min="608" style="70" width="3.29"/>
    <col collapsed="false" customWidth="true" hidden="false" outlineLevel="0" max="609" min="609" style="70" width="8"/>
    <col collapsed="false" customWidth="false" hidden="false" outlineLevel="0" max="610" min="610" style="70" width="42.57"/>
    <col collapsed="false" customWidth="true" hidden="false" outlineLevel="0" max="611" min="611" style="70" width="3.29"/>
    <col collapsed="false" customWidth="true" hidden="false" outlineLevel="0" max="612" min="612" style="70" width="8"/>
    <col collapsed="false" customWidth="false" hidden="false" outlineLevel="0" max="613" min="613" style="70" width="42.57"/>
    <col collapsed="false" customWidth="true" hidden="false" outlineLevel="0" max="614" min="614" style="70" width="3.29"/>
    <col collapsed="false" customWidth="true" hidden="false" outlineLevel="0" max="615" min="615" style="70" width="8"/>
    <col collapsed="false" customWidth="false" hidden="false" outlineLevel="0" max="616" min="616" style="70" width="42.57"/>
    <col collapsed="false" customWidth="true" hidden="false" outlineLevel="0" max="617" min="617" style="70" width="3.29"/>
    <col collapsed="false" customWidth="true" hidden="false" outlineLevel="0" max="618" min="618" style="70" width="8"/>
    <col collapsed="false" customWidth="false" hidden="false" outlineLevel="0" max="619" min="619" style="70" width="42.57"/>
    <col collapsed="false" customWidth="true" hidden="false" outlineLevel="0" max="620" min="620" style="70" width="3.29"/>
    <col collapsed="false" customWidth="true" hidden="false" outlineLevel="0" max="621" min="621" style="70" width="8"/>
    <col collapsed="false" customWidth="false" hidden="false" outlineLevel="0" max="622" min="622" style="70" width="42.57"/>
    <col collapsed="false" customWidth="true" hidden="false" outlineLevel="0" max="623" min="623" style="70" width="3.29"/>
    <col collapsed="false" customWidth="true" hidden="false" outlineLevel="0" max="624" min="624" style="70" width="8"/>
    <col collapsed="false" customWidth="false" hidden="false" outlineLevel="0" max="625" min="625" style="70" width="42.57"/>
    <col collapsed="false" customWidth="true" hidden="false" outlineLevel="0" max="626" min="626" style="70" width="3.29"/>
    <col collapsed="false" customWidth="true" hidden="false" outlineLevel="0" max="627" min="627" style="70" width="8"/>
    <col collapsed="false" customWidth="false" hidden="false" outlineLevel="0" max="628" min="628" style="70" width="42.57"/>
    <col collapsed="false" customWidth="true" hidden="false" outlineLevel="0" max="629" min="629" style="70" width="3.29"/>
    <col collapsed="false" customWidth="true" hidden="false" outlineLevel="0" max="630" min="630" style="70" width="8"/>
    <col collapsed="false" customWidth="false" hidden="false" outlineLevel="0" max="631" min="631" style="70" width="42.57"/>
    <col collapsed="false" customWidth="true" hidden="false" outlineLevel="0" max="632" min="632" style="70" width="3.29"/>
    <col collapsed="false" customWidth="true" hidden="false" outlineLevel="0" max="633" min="633" style="70" width="8"/>
    <col collapsed="false" customWidth="false" hidden="false" outlineLevel="0" max="634" min="634" style="70" width="42.57"/>
    <col collapsed="false" customWidth="true" hidden="false" outlineLevel="0" max="635" min="635" style="70" width="3.29"/>
    <col collapsed="false" customWidth="true" hidden="false" outlineLevel="0" max="636" min="636" style="70" width="8"/>
    <col collapsed="false" customWidth="false" hidden="false" outlineLevel="0" max="637" min="637" style="70" width="42.57"/>
    <col collapsed="false" customWidth="true" hidden="false" outlineLevel="0" max="638" min="638" style="70" width="3.29"/>
    <col collapsed="false" customWidth="true" hidden="false" outlineLevel="0" max="639" min="639" style="70" width="8"/>
    <col collapsed="false" customWidth="false" hidden="false" outlineLevel="0" max="640" min="640" style="70" width="42.57"/>
    <col collapsed="false" customWidth="true" hidden="false" outlineLevel="0" max="641" min="641" style="70" width="3.29"/>
    <col collapsed="false" customWidth="true" hidden="false" outlineLevel="0" max="642" min="642" style="70" width="8"/>
    <col collapsed="false" customWidth="false" hidden="false" outlineLevel="0" max="643" min="643" style="70" width="42.57"/>
    <col collapsed="false" customWidth="true" hidden="false" outlineLevel="0" max="644" min="644" style="70" width="3.29"/>
    <col collapsed="false" customWidth="true" hidden="false" outlineLevel="0" max="645" min="645" style="70" width="8"/>
    <col collapsed="false" customWidth="false" hidden="false" outlineLevel="0" max="646" min="646" style="70" width="42.57"/>
    <col collapsed="false" customWidth="true" hidden="false" outlineLevel="0" max="647" min="647" style="70" width="3.29"/>
    <col collapsed="false" customWidth="true" hidden="false" outlineLevel="0" max="648" min="648" style="70" width="8"/>
    <col collapsed="false" customWidth="false" hidden="false" outlineLevel="0" max="649" min="649" style="70" width="42.57"/>
    <col collapsed="false" customWidth="true" hidden="false" outlineLevel="0" max="650" min="650" style="70" width="3.29"/>
    <col collapsed="false" customWidth="true" hidden="false" outlineLevel="0" max="651" min="651" style="70" width="8"/>
    <col collapsed="false" customWidth="false" hidden="false" outlineLevel="0" max="652" min="652" style="70" width="42.57"/>
    <col collapsed="false" customWidth="true" hidden="false" outlineLevel="0" max="653" min="653" style="70" width="3.29"/>
    <col collapsed="false" customWidth="true" hidden="false" outlineLevel="0" max="654" min="654" style="70" width="8"/>
    <col collapsed="false" customWidth="false" hidden="false" outlineLevel="0" max="655" min="655" style="70" width="42.57"/>
    <col collapsed="false" customWidth="true" hidden="false" outlineLevel="0" max="656" min="656" style="70" width="3.29"/>
    <col collapsed="false" customWidth="true" hidden="false" outlineLevel="0" max="657" min="657" style="70" width="8"/>
    <col collapsed="false" customWidth="false" hidden="false" outlineLevel="0" max="658" min="658" style="70" width="42.57"/>
    <col collapsed="false" customWidth="true" hidden="false" outlineLevel="0" max="659" min="659" style="70" width="3.29"/>
    <col collapsed="false" customWidth="true" hidden="false" outlineLevel="0" max="660" min="660" style="70" width="8"/>
    <col collapsed="false" customWidth="false" hidden="false" outlineLevel="0" max="661" min="661" style="70" width="42.57"/>
    <col collapsed="false" customWidth="true" hidden="false" outlineLevel="0" max="662" min="662" style="70" width="3.29"/>
    <col collapsed="false" customWidth="true" hidden="false" outlineLevel="0" max="663" min="663" style="70" width="8"/>
    <col collapsed="false" customWidth="false" hidden="false" outlineLevel="0" max="664" min="664" style="70" width="42.57"/>
    <col collapsed="false" customWidth="true" hidden="false" outlineLevel="0" max="665" min="665" style="70" width="3.29"/>
    <col collapsed="false" customWidth="true" hidden="false" outlineLevel="0" max="666" min="666" style="70" width="8"/>
    <col collapsed="false" customWidth="false" hidden="false" outlineLevel="0" max="667" min="667" style="70" width="42.57"/>
    <col collapsed="false" customWidth="true" hidden="false" outlineLevel="0" max="668" min="668" style="70" width="3.29"/>
    <col collapsed="false" customWidth="true" hidden="false" outlineLevel="0" max="669" min="669" style="70" width="8"/>
    <col collapsed="false" customWidth="false" hidden="false" outlineLevel="0" max="670" min="670" style="70" width="42.57"/>
    <col collapsed="false" customWidth="true" hidden="false" outlineLevel="0" max="671" min="671" style="70" width="3.29"/>
    <col collapsed="false" customWidth="true" hidden="false" outlineLevel="0" max="672" min="672" style="70" width="8"/>
    <col collapsed="false" customWidth="false" hidden="false" outlineLevel="0" max="673" min="673" style="70" width="42.57"/>
    <col collapsed="false" customWidth="true" hidden="false" outlineLevel="0" max="674" min="674" style="70" width="3.29"/>
    <col collapsed="false" customWidth="true" hidden="false" outlineLevel="0" max="675" min="675" style="70" width="8"/>
    <col collapsed="false" customWidth="false" hidden="false" outlineLevel="0" max="676" min="676" style="70" width="42.57"/>
    <col collapsed="false" customWidth="true" hidden="false" outlineLevel="0" max="677" min="677" style="70" width="3.29"/>
    <col collapsed="false" customWidth="true" hidden="false" outlineLevel="0" max="678" min="678" style="70" width="8"/>
    <col collapsed="false" customWidth="false" hidden="false" outlineLevel="0" max="679" min="679" style="70" width="42.57"/>
    <col collapsed="false" customWidth="true" hidden="false" outlineLevel="0" max="680" min="680" style="70" width="3.29"/>
    <col collapsed="false" customWidth="true" hidden="false" outlineLevel="0" max="681" min="681" style="70" width="8"/>
    <col collapsed="false" customWidth="false" hidden="false" outlineLevel="0" max="682" min="682" style="70" width="42.57"/>
    <col collapsed="false" customWidth="true" hidden="false" outlineLevel="0" max="683" min="683" style="70" width="3.29"/>
    <col collapsed="false" customWidth="true" hidden="false" outlineLevel="0" max="684" min="684" style="70" width="8"/>
    <col collapsed="false" customWidth="false" hidden="false" outlineLevel="0" max="685" min="685" style="70" width="42.57"/>
    <col collapsed="false" customWidth="true" hidden="false" outlineLevel="0" max="686" min="686" style="70" width="3.29"/>
    <col collapsed="false" customWidth="true" hidden="false" outlineLevel="0" max="687" min="687" style="70" width="8"/>
    <col collapsed="false" customWidth="false" hidden="false" outlineLevel="0" max="688" min="688" style="70" width="42.57"/>
    <col collapsed="false" customWidth="true" hidden="false" outlineLevel="0" max="689" min="689" style="70" width="3.29"/>
    <col collapsed="false" customWidth="true" hidden="false" outlineLevel="0" max="690" min="690" style="70" width="8"/>
    <col collapsed="false" customWidth="false" hidden="false" outlineLevel="0" max="691" min="691" style="70" width="42.57"/>
    <col collapsed="false" customWidth="true" hidden="false" outlineLevel="0" max="692" min="692" style="70" width="3.29"/>
    <col collapsed="false" customWidth="true" hidden="false" outlineLevel="0" max="693" min="693" style="70" width="8"/>
    <col collapsed="false" customWidth="false" hidden="false" outlineLevel="0" max="694" min="694" style="70" width="42.57"/>
    <col collapsed="false" customWidth="true" hidden="false" outlineLevel="0" max="695" min="695" style="70" width="3.29"/>
    <col collapsed="false" customWidth="true" hidden="false" outlineLevel="0" max="696" min="696" style="70" width="8"/>
    <col collapsed="false" customWidth="false" hidden="false" outlineLevel="0" max="697" min="697" style="70" width="42.57"/>
    <col collapsed="false" customWidth="true" hidden="false" outlineLevel="0" max="698" min="698" style="70" width="3.29"/>
    <col collapsed="false" customWidth="true" hidden="false" outlineLevel="0" max="699" min="699" style="70" width="8"/>
    <col collapsed="false" customWidth="false" hidden="false" outlineLevel="0" max="700" min="700" style="70" width="42.57"/>
    <col collapsed="false" customWidth="true" hidden="false" outlineLevel="0" max="701" min="701" style="70" width="3.29"/>
    <col collapsed="false" customWidth="true" hidden="false" outlineLevel="0" max="702" min="702" style="70" width="8"/>
    <col collapsed="false" customWidth="false" hidden="false" outlineLevel="0" max="703" min="703" style="70" width="42.57"/>
    <col collapsed="false" customWidth="true" hidden="false" outlineLevel="0" max="704" min="704" style="70" width="3.29"/>
    <col collapsed="false" customWidth="true" hidden="false" outlineLevel="0" max="705" min="705" style="70" width="8"/>
    <col collapsed="false" customWidth="false" hidden="false" outlineLevel="0" max="706" min="706" style="70" width="42.57"/>
    <col collapsed="false" customWidth="true" hidden="false" outlineLevel="0" max="707" min="707" style="70" width="3.29"/>
    <col collapsed="false" customWidth="true" hidden="false" outlineLevel="0" max="708" min="708" style="70" width="8"/>
    <col collapsed="false" customWidth="false" hidden="false" outlineLevel="0" max="709" min="709" style="70" width="42.57"/>
    <col collapsed="false" customWidth="true" hidden="false" outlineLevel="0" max="710" min="710" style="70" width="3.29"/>
    <col collapsed="false" customWidth="true" hidden="false" outlineLevel="0" max="711" min="711" style="70" width="8"/>
    <col collapsed="false" customWidth="false" hidden="false" outlineLevel="0" max="712" min="712" style="70" width="42.57"/>
    <col collapsed="false" customWidth="true" hidden="false" outlineLevel="0" max="713" min="713" style="70" width="3.29"/>
    <col collapsed="false" customWidth="true" hidden="false" outlineLevel="0" max="714" min="714" style="70" width="8"/>
    <col collapsed="false" customWidth="false" hidden="false" outlineLevel="0" max="715" min="715" style="70" width="42.57"/>
    <col collapsed="false" customWidth="true" hidden="false" outlineLevel="0" max="716" min="716" style="70" width="3.29"/>
    <col collapsed="false" customWidth="true" hidden="false" outlineLevel="0" max="717" min="717" style="70" width="8"/>
    <col collapsed="false" customWidth="false" hidden="false" outlineLevel="0" max="718" min="718" style="70" width="42.57"/>
    <col collapsed="false" customWidth="true" hidden="false" outlineLevel="0" max="719" min="719" style="70" width="3.29"/>
    <col collapsed="false" customWidth="true" hidden="false" outlineLevel="0" max="720" min="720" style="70" width="8"/>
    <col collapsed="false" customWidth="false" hidden="false" outlineLevel="0" max="721" min="721" style="70" width="42.57"/>
    <col collapsed="false" customWidth="true" hidden="false" outlineLevel="0" max="722" min="722" style="70" width="3.29"/>
    <col collapsed="false" customWidth="true" hidden="false" outlineLevel="0" max="723" min="723" style="70" width="8"/>
    <col collapsed="false" customWidth="false" hidden="false" outlineLevel="0" max="724" min="724" style="70" width="42.57"/>
    <col collapsed="false" customWidth="true" hidden="false" outlineLevel="0" max="725" min="725" style="70" width="3.29"/>
    <col collapsed="false" customWidth="true" hidden="false" outlineLevel="0" max="726" min="726" style="70" width="8"/>
    <col collapsed="false" customWidth="false" hidden="false" outlineLevel="0" max="727" min="727" style="70" width="42.57"/>
    <col collapsed="false" customWidth="true" hidden="false" outlineLevel="0" max="728" min="728" style="70" width="3.29"/>
    <col collapsed="false" customWidth="true" hidden="false" outlineLevel="0" max="729" min="729" style="70" width="8"/>
    <col collapsed="false" customWidth="false" hidden="false" outlineLevel="0" max="730" min="730" style="70" width="42.57"/>
    <col collapsed="false" customWidth="true" hidden="false" outlineLevel="0" max="731" min="731" style="70" width="3.29"/>
    <col collapsed="false" customWidth="true" hidden="false" outlineLevel="0" max="732" min="732" style="70" width="8"/>
    <col collapsed="false" customWidth="false" hidden="false" outlineLevel="0" max="733" min="733" style="70" width="42.57"/>
    <col collapsed="false" customWidth="true" hidden="false" outlineLevel="0" max="734" min="734" style="70" width="3.29"/>
    <col collapsed="false" customWidth="true" hidden="false" outlineLevel="0" max="735" min="735" style="70" width="8"/>
    <col collapsed="false" customWidth="false" hidden="false" outlineLevel="0" max="736" min="736" style="70" width="42.57"/>
    <col collapsed="false" customWidth="true" hidden="false" outlineLevel="0" max="737" min="737" style="70" width="3.29"/>
    <col collapsed="false" customWidth="true" hidden="false" outlineLevel="0" max="738" min="738" style="70" width="8"/>
    <col collapsed="false" customWidth="false" hidden="false" outlineLevel="0" max="739" min="739" style="70" width="42.57"/>
    <col collapsed="false" customWidth="true" hidden="false" outlineLevel="0" max="740" min="740" style="70" width="3.29"/>
    <col collapsed="false" customWidth="true" hidden="false" outlineLevel="0" max="741" min="741" style="70" width="8"/>
    <col collapsed="false" customWidth="false" hidden="false" outlineLevel="0" max="742" min="742" style="70" width="42.57"/>
    <col collapsed="false" customWidth="true" hidden="false" outlineLevel="0" max="743" min="743" style="70" width="3.29"/>
    <col collapsed="false" customWidth="true" hidden="false" outlineLevel="0" max="744" min="744" style="70" width="8"/>
    <col collapsed="false" customWidth="false" hidden="false" outlineLevel="0" max="745" min="745" style="70" width="42.57"/>
    <col collapsed="false" customWidth="true" hidden="false" outlineLevel="0" max="746" min="746" style="70" width="3.29"/>
    <col collapsed="false" customWidth="true" hidden="false" outlineLevel="0" max="747" min="747" style="70" width="8"/>
    <col collapsed="false" customWidth="false" hidden="false" outlineLevel="0" max="748" min="748" style="70" width="42.57"/>
    <col collapsed="false" customWidth="true" hidden="false" outlineLevel="0" max="749" min="749" style="70" width="3.29"/>
    <col collapsed="false" customWidth="true" hidden="false" outlineLevel="0" max="750" min="750" style="70" width="8"/>
    <col collapsed="false" customWidth="false" hidden="false" outlineLevel="0" max="751" min="751" style="70" width="42.57"/>
    <col collapsed="false" customWidth="true" hidden="false" outlineLevel="0" max="752" min="752" style="70" width="3.29"/>
    <col collapsed="false" customWidth="true" hidden="false" outlineLevel="0" max="753" min="753" style="70" width="8"/>
    <col collapsed="false" customWidth="false" hidden="false" outlineLevel="0" max="754" min="754" style="70" width="42.57"/>
    <col collapsed="false" customWidth="true" hidden="false" outlineLevel="0" max="755" min="755" style="70" width="3.29"/>
    <col collapsed="false" customWidth="true" hidden="false" outlineLevel="0" max="756" min="756" style="70" width="8"/>
    <col collapsed="false" customWidth="false" hidden="false" outlineLevel="0" max="757" min="757" style="70" width="42.57"/>
    <col collapsed="false" customWidth="true" hidden="false" outlineLevel="0" max="758" min="758" style="70" width="3.29"/>
    <col collapsed="false" customWidth="true" hidden="false" outlineLevel="0" max="759" min="759" style="70" width="8"/>
    <col collapsed="false" customWidth="false" hidden="false" outlineLevel="0" max="760" min="760" style="70" width="42.57"/>
    <col collapsed="false" customWidth="true" hidden="false" outlineLevel="0" max="761" min="761" style="70" width="3.29"/>
    <col collapsed="false" customWidth="true" hidden="false" outlineLevel="0" max="762" min="762" style="70" width="8"/>
    <col collapsed="false" customWidth="false" hidden="false" outlineLevel="0" max="763" min="763" style="70" width="42.57"/>
    <col collapsed="false" customWidth="true" hidden="false" outlineLevel="0" max="764" min="764" style="70" width="3.29"/>
    <col collapsed="false" customWidth="true" hidden="false" outlineLevel="0" max="765" min="765" style="70" width="8"/>
    <col collapsed="false" customWidth="false" hidden="false" outlineLevel="0" max="766" min="766" style="70" width="42.57"/>
    <col collapsed="false" customWidth="true" hidden="false" outlineLevel="0" max="767" min="767" style="70" width="3.29"/>
    <col collapsed="false" customWidth="true" hidden="false" outlineLevel="0" max="768" min="768" style="70" width="8"/>
    <col collapsed="false" customWidth="false" hidden="false" outlineLevel="0" max="769" min="769" style="70" width="42.57"/>
    <col collapsed="false" customWidth="true" hidden="false" outlineLevel="0" max="770" min="770" style="70" width="3.29"/>
    <col collapsed="false" customWidth="true" hidden="false" outlineLevel="0" max="771" min="771" style="70" width="8"/>
    <col collapsed="false" customWidth="false" hidden="false" outlineLevel="0" max="772" min="772" style="70" width="42.57"/>
    <col collapsed="false" customWidth="true" hidden="false" outlineLevel="0" max="773" min="773" style="70" width="3.29"/>
    <col collapsed="false" customWidth="true" hidden="false" outlineLevel="0" max="774" min="774" style="70" width="8"/>
    <col collapsed="false" customWidth="false" hidden="false" outlineLevel="0" max="775" min="775" style="70" width="42.57"/>
    <col collapsed="false" customWidth="true" hidden="false" outlineLevel="0" max="776" min="776" style="70" width="3.29"/>
    <col collapsed="false" customWidth="true" hidden="false" outlineLevel="0" max="777" min="777" style="70" width="8"/>
    <col collapsed="false" customWidth="false" hidden="false" outlineLevel="0" max="778" min="778" style="70" width="42.57"/>
    <col collapsed="false" customWidth="true" hidden="false" outlineLevel="0" max="779" min="779" style="70" width="3.29"/>
    <col collapsed="false" customWidth="true" hidden="false" outlineLevel="0" max="780" min="780" style="70" width="8"/>
    <col collapsed="false" customWidth="false" hidden="false" outlineLevel="0" max="781" min="781" style="70" width="42.57"/>
    <col collapsed="false" customWidth="true" hidden="false" outlineLevel="0" max="782" min="782" style="70" width="3.29"/>
    <col collapsed="false" customWidth="true" hidden="false" outlineLevel="0" max="783" min="783" style="70" width="8"/>
    <col collapsed="false" customWidth="false" hidden="false" outlineLevel="0" max="784" min="784" style="70" width="42.57"/>
    <col collapsed="false" customWidth="true" hidden="false" outlineLevel="0" max="785" min="785" style="70" width="3.29"/>
    <col collapsed="false" customWidth="true" hidden="false" outlineLevel="0" max="786" min="786" style="70" width="8"/>
    <col collapsed="false" customWidth="false" hidden="false" outlineLevel="0" max="787" min="787" style="70" width="42.57"/>
    <col collapsed="false" customWidth="true" hidden="false" outlineLevel="0" max="788" min="788" style="70" width="3.29"/>
    <col collapsed="false" customWidth="true" hidden="false" outlineLevel="0" max="789" min="789" style="70" width="8"/>
    <col collapsed="false" customWidth="false" hidden="false" outlineLevel="0" max="790" min="790" style="70" width="42.57"/>
    <col collapsed="false" customWidth="true" hidden="false" outlineLevel="0" max="791" min="791" style="70" width="3.29"/>
    <col collapsed="false" customWidth="true" hidden="false" outlineLevel="0" max="792" min="792" style="70" width="8"/>
    <col collapsed="false" customWidth="false" hidden="false" outlineLevel="0" max="793" min="793" style="70" width="42.57"/>
    <col collapsed="false" customWidth="true" hidden="false" outlineLevel="0" max="794" min="794" style="70" width="3.29"/>
    <col collapsed="false" customWidth="true" hidden="false" outlineLevel="0" max="795" min="795" style="70" width="8"/>
    <col collapsed="false" customWidth="false" hidden="false" outlineLevel="0" max="796" min="796" style="70" width="42.57"/>
    <col collapsed="false" customWidth="true" hidden="false" outlineLevel="0" max="797" min="797" style="70" width="3.29"/>
    <col collapsed="false" customWidth="true" hidden="false" outlineLevel="0" max="798" min="798" style="70" width="8"/>
    <col collapsed="false" customWidth="false" hidden="false" outlineLevel="0" max="799" min="799" style="70" width="42.57"/>
    <col collapsed="false" customWidth="true" hidden="false" outlineLevel="0" max="800" min="800" style="70" width="3.29"/>
    <col collapsed="false" customWidth="true" hidden="false" outlineLevel="0" max="801" min="801" style="70" width="8"/>
    <col collapsed="false" customWidth="false" hidden="false" outlineLevel="0" max="802" min="802" style="70" width="42.57"/>
    <col collapsed="false" customWidth="true" hidden="false" outlineLevel="0" max="803" min="803" style="70" width="3.29"/>
    <col collapsed="false" customWidth="true" hidden="false" outlineLevel="0" max="804" min="804" style="70" width="8"/>
    <col collapsed="false" customWidth="false" hidden="false" outlineLevel="0" max="805" min="805" style="70" width="42.57"/>
    <col collapsed="false" customWidth="true" hidden="false" outlineLevel="0" max="806" min="806" style="70" width="3.29"/>
    <col collapsed="false" customWidth="true" hidden="false" outlineLevel="0" max="807" min="807" style="70" width="8"/>
    <col collapsed="false" customWidth="false" hidden="false" outlineLevel="0" max="808" min="808" style="70" width="42.57"/>
    <col collapsed="false" customWidth="true" hidden="false" outlineLevel="0" max="809" min="809" style="70" width="3.29"/>
    <col collapsed="false" customWidth="true" hidden="false" outlineLevel="0" max="810" min="810" style="70" width="8"/>
    <col collapsed="false" customWidth="false" hidden="false" outlineLevel="0" max="811" min="811" style="70" width="42.57"/>
    <col collapsed="false" customWidth="true" hidden="false" outlineLevel="0" max="812" min="812" style="70" width="3.29"/>
    <col collapsed="false" customWidth="true" hidden="false" outlineLevel="0" max="813" min="813" style="70" width="8"/>
    <col collapsed="false" customWidth="false" hidden="false" outlineLevel="0" max="814" min="814" style="70" width="42.57"/>
    <col collapsed="false" customWidth="true" hidden="false" outlineLevel="0" max="815" min="815" style="70" width="3.29"/>
    <col collapsed="false" customWidth="true" hidden="false" outlineLevel="0" max="816" min="816" style="70" width="8"/>
    <col collapsed="false" customWidth="false" hidden="false" outlineLevel="0" max="817" min="817" style="70" width="42.57"/>
    <col collapsed="false" customWidth="true" hidden="false" outlineLevel="0" max="818" min="818" style="70" width="3.29"/>
    <col collapsed="false" customWidth="true" hidden="false" outlineLevel="0" max="819" min="819" style="70" width="8"/>
    <col collapsed="false" customWidth="false" hidden="false" outlineLevel="0" max="820" min="820" style="70" width="42.57"/>
    <col collapsed="false" customWidth="true" hidden="false" outlineLevel="0" max="821" min="821" style="70" width="3.29"/>
    <col collapsed="false" customWidth="true" hidden="false" outlineLevel="0" max="822" min="822" style="70" width="8"/>
    <col collapsed="false" customWidth="false" hidden="false" outlineLevel="0" max="823" min="823" style="70" width="42.57"/>
    <col collapsed="false" customWidth="true" hidden="false" outlineLevel="0" max="824" min="824" style="70" width="3.29"/>
    <col collapsed="false" customWidth="true" hidden="false" outlineLevel="0" max="825" min="825" style="70" width="8"/>
    <col collapsed="false" customWidth="false" hidden="false" outlineLevel="0" max="826" min="826" style="70" width="42.57"/>
    <col collapsed="false" customWidth="true" hidden="false" outlineLevel="0" max="827" min="827" style="70" width="3.29"/>
    <col collapsed="false" customWidth="true" hidden="false" outlineLevel="0" max="828" min="828" style="70" width="8"/>
    <col collapsed="false" customWidth="false" hidden="false" outlineLevel="0" max="829" min="829" style="70" width="42.57"/>
    <col collapsed="false" customWidth="true" hidden="false" outlineLevel="0" max="830" min="830" style="70" width="3.29"/>
    <col collapsed="false" customWidth="true" hidden="false" outlineLevel="0" max="831" min="831" style="70" width="8"/>
    <col collapsed="false" customWidth="false" hidden="false" outlineLevel="0" max="832" min="832" style="70" width="42.57"/>
    <col collapsed="false" customWidth="true" hidden="false" outlineLevel="0" max="833" min="833" style="70" width="3.29"/>
    <col collapsed="false" customWidth="true" hidden="false" outlineLevel="0" max="834" min="834" style="70" width="8"/>
    <col collapsed="false" customWidth="false" hidden="false" outlineLevel="0" max="835" min="835" style="70" width="42.57"/>
    <col collapsed="false" customWidth="true" hidden="false" outlineLevel="0" max="836" min="836" style="70" width="3.29"/>
    <col collapsed="false" customWidth="true" hidden="false" outlineLevel="0" max="837" min="837" style="70" width="8"/>
    <col collapsed="false" customWidth="false" hidden="false" outlineLevel="0" max="838" min="838" style="70" width="42.57"/>
    <col collapsed="false" customWidth="true" hidden="false" outlineLevel="0" max="839" min="839" style="70" width="3.29"/>
    <col collapsed="false" customWidth="true" hidden="false" outlineLevel="0" max="840" min="840" style="70" width="8"/>
    <col collapsed="false" customWidth="false" hidden="false" outlineLevel="0" max="841" min="841" style="70" width="42.57"/>
    <col collapsed="false" customWidth="true" hidden="false" outlineLevel="0" max="842" min="842" style="70" width="3.29"/>
    <col collapsed="false" customWidth="true" hidden="false" outlineLevel="0" max="843" min="843" style="70" width="8"/>
    <col collapsed="false" customWidth="false" hidden="false" outlineLevel="0" max="844" min="844" style="70" width="42.57"/>
    <col collapsed="false" customWidth="true" hidden="false" outlineLevel="0" max="845" min="845" style="70" width="3.29"/>
    <col collapsed="false" customWidth="true" hidden="false" outlineLevel="0" max="846" min="846" style="70" width="8"/>
    <col collapsed="false" customWidth="false" hidden="false" outlineLevel="0" max="847" min="847" style="70" width="42.57"/>
    <col collapsed="false" customWidth="true" hidden="false" outlineLevel="0" max="848" min="848" style="70" width="3.29"/>
    <col collapsed="false" customWidth="true" hidden="false" outlineLevel="0" max="849" min="849" style="70" width="8"/>
    <col collapsed="false" customWidth="false" hidden="false" outlineLevel="0" max="850" min="850" style="70" width="42.57"/>
    <col collapsed="false" customWidth="true" hidden="false" outlineLevel="0" max="851" min="851" style="70" width="3.29"/>
    <col collapsed="false" customWidth="true" hidden="false" outlineLevel="0" max="852" min="852" style="70" width="8"/>
    <col collapsed="false" customWidth="false" hidden="false" outlineLevel="0" max="853" min="853" style="70" width="42.57"/>
    <col collapsed="false" customWidth="true" hidden="false" outlineLevel="0" max="854" min="854" style="70" width="3.29"/>
    <col collapsed="false" customWidth="true" hidden="false" outlineLevel="0" max="855" min="855" style="70" width="8"/>
    <col collapsed="false" customWidth="false" hidden="false" outlineLevel="0" max="856" min="856" style="70" width="42.57"/>
    <col collapsed="false" customWidth="true" hidden="false" outlineLevel="0" max="857" min="857" style="70" width="3.29"/>
    <col collapsed="false" customWidth="true" hidden="false" outlineLevel="0" max="858" min="858" style="70" width="8"/>
    <col collapsed="false" customWidth="false" hidden="false" outlineLevel="0" max="859" min="859" style="70" width="42.57"/>
    <col collapsed="false" customWidth="true" hidden="false" outlineLevel="0" max="860" min="860" style="70" width="3.29"/>
    <col collapsed="false" customWidth="true" hidden="false" outlineLevel="0" max="861" min="861" style="70" width="8"/>
    <col collapsed="false" customWidth="false" hidden="false" outlineLevel="0" max="862" min="862" style="70" width="42.57"/>
    <col collapsed="false" customWidth="true" hidden="false" outlineLevel="0" max="863" min="863" style="70" width="3.29"/>
    <col collapsed="false" customWidth="true" hidden="false" outlineLevel="0" max="864" min="864" style="70" width="8"/>
    <col collapsed="false" customWidth="false" hidden="false" outlineLevel="0" max="865" min="865" style="70" width="42.57"/>
    <col collapsed="false" customWidth="true" hidden="false" outlineLevel="0" max="866" min="866" style="70" width="3.29"/>
    <col collapsed="false" customWidth="true" hidden="false" outlineLevel="0" max="867" min="867" style="70" width="8"/>
    <col collapsed="false" customWidth="false" hidden="false" outlineLevel="0" max="868" min="868" style="70" width="42.57"/>
    <col collapsed="false" customWidth="true" hidden="false" outlineLevel="0" max="869" min="869" style="70" width="3.29"/>
    <col collapsed="false" customWidth="true" hidden="false" outlineLevel="0" max="870" min="870" style="70" width="8"/>
    <col collapsed="false" customWidth="false" hidden="false" outlineLevel="0" max="871" min="871" style="70" width="42.57"/>
    <col collapsed="false" customWidth="true" hidden="false" outlineLevel="0" max="872" min="872" style="70" width="3.29"/>
    <col collapsed="false" customWidth="true" hidden="false" outlineLevel="0" max="873" min="873" style="70" width="8"/>
    <col collapsed="false" customWidth="false" hidden="false" outlineLevel="0" max="874" min="874" style="70" width="42.57"/>
    <col collapsed="false" customWidth="true" hidden="false" outlineLevel="0" max="875" min="875" style="70" width="3.29"/>
    <col collapsed="false" customWidth="true" hidden="false" outlineLevel="0" max="876" min="876" style="70" width="8"/>
    <col collapsed="false" customWidth="false" hidden="false" outlineLevel="0" max="877" min="877" style="70" width="42.57"/>
    <col collapsed="false" customWidth="true" hidden="false" outlineLevel="0" max="878" min="878" style="70" width="3.29"/>
    <col collapsed="false" customWidth="true" hidden="false" outlineLevel="0" max="879" min="879" style="70" width="8"/>
    <col collapsed="false" customWidth="false" hidden="false" outlineLevel="0" max="880" min="880" style="70" width="42.57"/>
    <col collapsed="false" customWidth="true" hidden="false" outlineLevel="0" max="881" min="881" style="70" width="3.29"/>
    <col collapsed="false" customWidth="true" hidden="false" outlineLevel="0" max="882" min="882" style="70" width="8"/>
    <col collapsed="false" customWidth="false" hidden="false" outlineLevel="0" max="883" min="883" style="70" width="42.57"/>
    <col collapsed="false" customWidth="true" hidden="false" outlineLevel="0" max="884" min="884" style="70" width="3.29"/>
    <col collapsed="false" customWidth="true" hidden="false" outlineLevel="0" max="885" min="885" style="70" width="8"/>
    <col collapsed="false" customWidth="false" hidden="false" outlineLevel="0" max="886" min="886" style="70" width="42.57"/>
    <col collapsed="false" customWidth="true" hidden="false" outlineLevel="0" max="887" min="887" style="70" width="3.29"/>
    <col collapsed="false" customWidth="true" hidden="false" outlineLevel="0" max="888" min="888" style="70" width="8"/>
    <col collapsed="false" customWidth="false" hidden="false" outlineLevel="0" max="889" min="889" style="70" width="42.57"/>
    <col collapsed="false" customWidth="true" hidden="false" outlineLevel="0" max="890" min="890" style="70" width="3.29"/>
    <col collapsed="false" customWidth="true" hidden="false" outlineLevel="0" max="891" min="891" style="70" width="8"/>
    <col collapsed="false" customWidth="false" hidden="false" outlineLevel="0" max="892" min="892" style="70" width="42.57"/>
    <col collapsed="false" customWidth="true" hidden="false" outlineLevel="0" max="893" min="893" style="70" width="3.29"/>
    <col collapsed="false" customWidth="true" hidden="false" outlineLevel="0" max="894" min="894" style="70" width="8"/>
    <col collapsed="false" customWidth="false" hidden="false" outlineLevel="0" max="895" min="895" style="70" width="42.57"/>
    <col collapsed="false" customWidth="true" hidden="false" outlineLevel="0" max="896" min="896" style="70" width="3.29"/>
    <col collapsed="false" customWidth="true" hidden="false" outlineLevel="0" max="897" min="897" style="70" width="8"/>
    <col collapsed="false" customWidth="false" hidden="false" outlineLevel="0" max="898" min="898" style="70" width="42.57"/>
    <col collapsed="false" customWidth="true" hidden="false" outlineLevel="0" max="899" min="899" style="70" width="3.29"/>
    <col collapsed="false" customWidth="true" hidden="false" outlineLevel="0" max="900" min="900" style="70" width="8"/>
    <col collapsed="false" customWidth="false" hidden="false" outlineLevel="0" max="901" min="901" style="70" width="42.57"/>
    <col collapsed="false" customWidth="true" hidden="false" outlineLevel="0" max="902" min="902" style="70" width="3.29"/>
    <col collapsed="false" customWidth="true" hidden="false" outlineLevel="0" max="903" min="903" style="70" width="8"/>
    <col collapsed="false" customWidth="false" hidden="false" outlineLevel="0" max="904" min="904" style="70" width="42.57"/>
    <col collapsed="false" customWidth="true" hidden="false" outlineLevel="0" max="905" min="905" style="70" width="3.29"/>
    <col collapsed="false" customWidth="true" hidden="false" outlineLevel="0" max="906" min="906" style="70" width="8"/>
    <col collapsed="false" customWidth="false" hidden="false" outlineLevel="0" max="907" min="907" style="70" width="42.57"/>
    <col collapsed="false" customWidth="true" hidden="false" outlineLevel="0" max="908" min="908" style="70" width="3.29"/>
    <col collapsed="false" customWidth="true" hidden="false" outlineLevel="0" max="909" min="909" style="70" width="8"/>
    <col collapsed="false" customWidth="false" hidden="false" outlineLevel="0" max="910" min="910" style="70" width="42.57"/>
    <col collapsed="false" customWidth="true" hidden="false" outlineLevel="0" max="911" min="911" style="70" width="3.29"/>
    <col collapsed="false" customWidth="true" hidden="false" outlineLevel="0" max="912" min="912" style="70" width="8"/>
    <col collapsed="false" customWidth="false" hidden="false" outlineLevel="0" max="913" min="913" style="70" width="42.57"/>
    <col collapsed="false" customWidth="true" hidden="false" outlineLevel="0" max="914" min="914" style="70" width="3.29"/>
    <col collapsed="false" customWidth="true" hidden="false" outlineLevel="0" max="915" min="915" style="70" width="8"/>
    <col collapsed="false" customWidth="false" hidden="false" outlineLevel="0" max="916" min="916" style="70" width="42.57"/>
    <col collapsed="false" customWidth="true" hidden="false" outlineLevel="0" max="917" min="917" style="70" width="3.29"/>
    <col collapsed="false" customWidth="true" hidden="false" outlineLevel="0" max="918" min="918" style="70" width="8"/>
    <col collapsed="false" customWidth="false" hidden="false" outlineLevel="0" max="919" min="919" style="70" width="42.57"/>
    <col collapsed="false" customWidth="true" hidden="false" outlineLevel="0" max="920" min="920" style="70" width="3.29"/>
    <col collapsed="false" customWidth="true" hidden="false" outlineLevel="0" max="921" min="921" style="70" width="8"/>
    <col collapsed="false" customWidth="false" hidden="false" outlineLevel="0" max="922" min="922" style="70" width="42.57"/>
    <col collapsed="false" customWidth="true" hidden="false" outlineLevel="0" max="923" min="923" style="70" width="3.29"/>
    <col collapsed="false" customWidth="true" hidden="false" outlineLevel="0" max="924" min="924" style="70" width="8"/>
    <col collapsed="false" customWidth="false" hidden="false" outlineLevel="0" max="925" min="925" style="70" width="42.57"/>
    <col collapsed="false" customWidth="true" hidden="false" outlineLevel="0" max="926" min="926" style="70" width="3.29"/>
    <col collapsed="false" customWidth="true" hidden="false" outlineLevel="0" max="927" min="927" style="70" width="8"/>
    <col collapsed="false" customWidth="false" hidden="false" outlineLevel="0" max="928" min="928" style="70" width="42.57"/>
    <col collapsed="false" customWidth="true" hidden="false" outlineLevel="0" max="929" min="929" style="70" width="3.29"/>
    <col collapsed="false" customWidth="true" hidden="false" outlineLevel="0" max="930" min="930" style="70" width="8"/>
    <col collapsed="false" customWidth="false" hidden="false" outlineLevel="0" max="931" min="931" style="70" width="42.57"/>
    <col collapsed="false" customWidth="true" hidden="false" outlineLevel="0" max="932" min="932" style="70" width="3.29"/>
    <col collapsed="false" customWidth="true" hidden="false" outlineLevel="0" max="933" min="933" style="70" width="8"/>
    <col collapsed="false" customWidth="false" hidden="false" outlineLevel="0" max="934" min="934" style="70" width="42.57"/>
    <col collapsed="false" customWidth="true" hidden="false" outlineLevel="0" max="935" min="935" style="70" width="3.29"/>
    <col collapsed="false" customWidth="true" hidden="false" outlineLevel="0" max="936" min="936" style="70" width="8"/>
    <col collapsed="false" customWidth="false" hidden="false" outlineLevel="0" max="937" min="937" style="70" width="42.57"/>
    <col collapsed="false" customWidth="true" hidden="false" outlineLevel="0" max="938" min="938" style="70" width="3.29"/>
    <col collapsed="false" customWidth="true" hidden="false" outlineLevel="0" max="939" min="939" style="70" width="8"/>
    <col collapsed="false" customWidth="false" hidden="false" outlineLevel="0" max="940" min="940" style="70" width="42.57"/>
    <col collapsed="false" customWidth="true" hidden="false" outlineLevel="0" max="941" min="941" style="70" width="3.29"/>
    <col collapsed="false" customWidth="true" hidden="false" outlineLevel="0" max="942" min="942" style="70" width="8"/>
    <col collapsed="false" customWidth="false" hidden="false" outlineLevel="0" max="943" min="943" style="70" width="42.57"/>
    <col collapsed="false" customWidth="true" hidden="false" outlineLevel="0" max="944" min="944" style="70" width="3.29"/>
    <col collapsed="false" customWidth="true" hidden="false" outlineLevel="0" max="945" min="945" style="70" width="8"/>
    <col collapsed="false" customWidth="false" hidden="false" outlineLevel="0" max="946" min="946" style="70" width="42.57"/>
    <col collapsed="false" customWidth="true" hidden="false" outlineLevel="0" max="947" min="947" style="70" width="3.29"/>
    <col collapsed="false" customWidth="true" hidden="false" outlineLevel="0" max="948" min="948" style="70" width="8"/>
    <col collapsed="false" customWidth="false" hidden="false" outlineLevel="0" max="949" min="949" style="70" width="42.57"/>
    <col collapsed="false" customWidth="true" hidden="false" outlineLevel="0" max="950" min="950" style="70" width="3.29"/>
    <col collapsed="false" customWidth="true" hidden="false" outlineLevel="0" max="951" min="951" style="70" width="8"/>
    <col collapsed="false" customWidth="false" hidden="false" outlineLevel="0" max="952" min="952" style="70" width="42.57"/>
    <col collapsed="false" customWidth="true" hidden="false" outlineLevel="0" max="953" min="953" style="70" width="3.29"/>
    <col collapsed="false" customWidth="true" hidden="false" outlineLevel="0" max="954" min="954" style="70" width="8"/>
    <col collapsed="false" customWidth="false" hidden="false" outlineLevel="0" max="955" min="955" style="70" width="42.57"/>
    <col collapsed="false" customWidth="true" hidden="false" outlineLevel="0" max="956" min="956" style="70" width="3.29"/>
    <col collapsed="false" customWidth="true" hidden="false" outlineLevel="0" max="957" min="957" style="70" width="8"/>
    <col collapsed="false" customWidth="false" hidden="false" outlineLevel="0" max="958" min="958" style="70" width="42.57"/>
    <col collapsed="false" customWidth="true" hidden="false" outlineLevel="0" max="959" min="959" style="70" width="3.29"/>
    <col collapsed="false" customWidth="true" hidden="false" outlineLevel="0" max="960" min="960" style="70" width="8"/>
    <col collapsed="false" customWidth="false" hidden="false" outlineLevel="0" max="961" min="961" style="70" width="42.57"/>
    <col collapsed="false" customWidth="true" hidden="false" outlineLevel="0" max="962" min="962" style="70" width="3.29"/>
    <col collapsed="false" customWidth="true" hidden="false" outlineLevel="0" max="963" min="963" style="70" width="8"/>
    <col collapsed="false" customWidth="false" hidden="false" outlineLevel="0" max="964" min="964" style="70" width="42.57"/>
    <col collapsed="false" customWidth="true" hidden="false" outlineLevel="0" max="965" min="965" style="70" width="3.29"/>
    <col collapsed="false" customWidth="true" hidden="false" outlineLevel="0" max="966" min="966" style="70" width="8"/>
    <col collapsed="false" customWidth="false" hidden="false" outlineLevel="0" max="967" min="967" style="70" width="42.57"/>
    <col collapsed="false" customWidth="true" hidden="false" outlineLevel="0" max="968" min="968" style="70" width="3.29"/>
    <col collapsed="false" customWidth="true" hidden="false" outlineLevel="0" max="969" min="969" style="70" width="8"/>
    <col collapsed="false" customWidth="false" hidden="false" outlineLevel="0" max="970" min="970" style="70" width="42.57"/>
    <col collapsed="false" customWidth="true" hidden="false" outlineLevel="0" max="971" min="971" style="70" width="3.29"/>
    <col collapsed="false" customWidth="true" hidden="false" outlineLevel="0" max="972" min="972" style="70" width="8"/>
    <col collapsed="false" customWidth="false" hidden="false" outlineLevel="0" max="973" min="973" style="70" width="42.57"/>
    <col collapsed="false" customWidth="true" hidden="false" outlineLevel="0" max="974" min="974" style="70" width="3.29"/>
    <col collapsed="false" customWidth="true" hidden="false" outlineLevel="0" max="975" min="975" style="70" width="8"/>
    <col collapsed="false" customWidth="false" hidden="false" outlineLevel="0" max="976" min="976" style="70" width="42.57"/>
    <col collapsed="false" customWidth="true" hidden="false" outlineLevel="0" max="977" min="977" style="70" width="3.29"/>
    <col collapsed="false" customWidth="true" hidden="false" outlineLevel="0" max="978" min="978" style="70" width="8"/>
    <col collapsed="false" customWidth="false" hidden="false" outlineLevel="0" max="979" min="979" style="70" width="42.57"/>
    <col collapsed="false" customWidth="true" hidden="false" outlineLevel="0" max="980" min="980" style="70" width="3.29"/>
    <col collapsed="false" customWidth="true" hidden="false" outlineLevel="0" max="981" min="981" style="70" width="8"/>
    <col collapsed="false" customWidth="false" hidden="false" outlineLevel="0" max="982" min="982" style="70" width="42.57"/>
    <col collapsed="false" customWidth="true" hidden="false" outlineLevel="0" max="983" min="983" style="70" width="3.29"/>
    <col collapsed="false" customWidth="true" hidden="false" outlineLevel="0" max="984" min="984" style="70" width="8"/>
    <col collapsed="false" customWidth="false" hidden="false" outlineLevel="0" max="985" min="985" style="70" width="42.57"/>
    <col collapsed="false" customWidth="true" hidden="false" outlineLevel="0" max="986" min="986" style="70" width="3.29"/>
    <col collapsed="false" customWidth="true" hidden="false" outlineLevel="0" max="987" min="987" style="70" width="8"/>
    <col collapsed="false" customWidth="false" hidden="false" outlineLevel="0" max="988" min="988" style="70" width="42.57"/>
    <col collapsed="false" customWidth="true" hidden="false" outlineLevel="0" max="989" min="989" style="70" width="3.29"/>
    <col collapsed="false" customWidth="true" hidden="false" outlineLevel="0" max="990" min="990" style="70" width="8"/>
    <col collapsed="false" customWidth="false" hidden="false" outlineLevel="0" max="991" min="991" style="70" width="42.57"/>
    <col collapsed="false" customWidth="true" hidden="false" outlineLevel="0" max="992" min="992" style="70" width="3.29"/>
    <col collapsed="false" customWidth="true" hidden="false" outlineLevel="0" max="993" min="993" style="70" width="8"/>
    <col collapsed="false" customWidth="false" hidden="false" outlineLevel="0" max="994" min="994" style="70" width="42.57"/>
    <col collapsed="false" customWidth="true" hidden="false" outlineLevel="0" max="995" min="995" style="70" width="3.29"/>
    <col collapsed="false" customWidth="true" hidden="false" outlineLevel="0" max="996" min="996" style="70" width="8"/>
    <col collapsed="false" customWidth="false" hidden="false" outlineLevel="0" max="997" min="997" style="70" width="42.57"/>
    <col collapsed="false" customWidth="true" hidden="false" outlineLevel="0" max="998" min="998" style="70" width="3.29"/>
    <col collapsed="false" customWidth="true" hidden="false" outlineLevel="0" max="999" min="999" style="70" width="8"/>
    <col collapsed="false" customWidth="false" hidden="false" outlineLevel="0" max="1000" min="1000" style="70" width="42.57"/>
    <col collapsed="false" customWidth="true" hidden="false" outlineLevel="0" max="1001" min="1001" style="70" width="3.29"/>
    <col collapsed="false" customWidth="true" hidden="false" outlineLevel="0" max="1002" min="1002" style="70" width="8"/>
    <col collapsed="false" customWidth="false" hidden="false" outlineLevel="0" max="1003" min="1003" style="70" width="42.57"/>
    <col collapsed="false" customWidth="true" hidden="false" outlineLevel="0" max="1004" min="1004" style="70" width="3.29"/>
    <col collapsed="false" customWidth="true" hidden="false" outlineLevel="0" max="1005" min="1005" style="70" width="8"/>
    <col collapsed="false" customWidth="false" hidden="false" outlineLevel="0" max="1006" min="1006" style="70" width="42.57"/>
    <col collapsed="false" customWidth="true" hidden="false" outlineLevel="0" max="1007" min="1007" style="70" width="3.29"/>
    <col collapsed="false" customWidth="true" hidden="false" outlineLevel="0" max="1008" min="1008" style="70" width="8"/>
    <col collapsed="false" customWidth="false" hidden="false" outlineLevel="0" max="1009" min="1009" style="70" width="42.57"/>
    <col collapsed="false" customWidth="true" hidden="false" outlineLevel="0" max="1010" min="1010" style="70" width="3.29"/>
    <col collapsed="false" customWidth="true" hidden="false" outlineLevel="0" max="1011" min="1011" style="70" width="8"/>
    <col collapsed="false" customWidth="false" hidden="false" outlineLevel="0" max="1012" min="1012" style="70" width="42.57"/>
    <col collapsed="false" customWidth="true" hidden="false" outlineLevel="0" max="1013" min="1013" style="70" width="3.29"/>
    <col collapsed="false" customWidth="true" hidden="false" outlineLevel="0" max="1014" min="1014" style="70" width="8"/>
    <col collapsed="false" customWidth="false" hidden="false" outlineLevel="0" max="1015" min="1015" style="70" width="42.57"/>
    <col collapsed="false" customWidth="true" hidden="false" outlineLevel="0" max="1016" min="1016" style="70" width="3.29"/>
    <col collapsed="false" customWidth="true" hidden="false" outlineLevel="0" max="1017" min="1017" style="70" width="8"/>
    <col collapsed="false" customWidth="false" hidden="false" outlineLevel="0" max="1018" min="1018" style="70" width="42.57"/>
    <col collapsed="false" customWidth="true" hidden="false" outlineLevel="0" max="1019" min="1019" style="70" width="3.29"/>
    <col collapsed="false" customWidth="true" hidden="false" outlineLevel="0" max="1020" min="1020" style="70" width="8"/>
    <col collapsed="false" customWidth="false" hidden="false" outlineLevel="0" max="1021" min="1021" style="70" width="42.57"/>
    <col collapsed="false" customWidth="true" hidden="false" outlineLevel="0" max="1022" min="1022" style="70" width="3.29"/>
    <col collapsed="false" customWidth="true" hidden="false" outlineLevel="0" max="1023" min="1023" style="70" width="8"/>
    <col collapsed="false" customWidth="false" hidden="false" outlineLevel="0" max="1024" min="1024" style="70" width="42.57"/>
    <col collapsed="false" customWidth="true" hidden="false" outlineLevel="0" max="1025" min="1025" style="70" width="3.29"/>
    <col collapsed="false" customWidth="true" hidden="false" outlineLevel="0" max="1026" min="1026" style="70" width="8"/>
    <col collapsed="false" customWidth="false" hidden="false" outlineLevel="0" max="1027" min="1027" style="70" width="42.57"/>
    <col collapsed="false" customWidth="true" hidden="false" outlineLevel="0" max="1028" min="1028" style="70" width="3.29"/>
    <col collapsed="false" customWidth="true" hidden="false" outlineLevel="0" max="1029" min="1029" style="70" width="8"/>
    <col collapsed="false" customWidth="false" hidden="false" outlineLevel="0" max="1030" min="1030" style="70" width="42.57"/>
    <col collapsed="false" customWidth="true" hidden="false" outlineLevel="0" max="1031" min="1031" style="70" width="3.29"/>
    <col collapsed="false" customWidth="true" hidden="false" outlineLevel="0" max="1032" min="1032" style="70" width="8"/>
    <col collapsed="false" customWidth="false" hidden="false" outlineLevel="0" max="1033" min="1033" style="70" width="42.57"/>
    <col collapsed="false" customWidth="true" hidden="false" outlineLevel="0" max="1034" min="1034" style="70" width="3.29"/>
    <col collapsed="false" customWidth="true" hidden="false" outlineLevel="0" max="1035" min="1035" style="70" width="8"/>
    <col collapsed="false" customWidth="false" hidden="false" outlineLevel="0" max="1036" min="1036" style="70" width="42.57"/>
    <col collapsed="false" customWidth="true" hidden="false" outlineLevel="0" max="1037" min="1037" style="70" width="3.29"/>
    <col collapsed="false" customWidth="true" hidden="false" outlineLevel="0" max="1038" min="1038" style="70" width="8"/>
    <col collapsed="false" customWidth="false" hidden="false" outlineLevel="0" max="1039" min="1039" style="70" width="42.57"/>
    <col collapsed="false" customWidth="true" hidden="false" outlineLevel="0" max="1040" min="1040" style="70" width="3.29"/>
    <col collapsed="false" customWidth="true" hidden="false" outlineLevel="0" max="1041" min="1041" style="70" width="8"/>
    <col collapsed="false" customWidth="false" hidden="false" outlineLevel="0" max="1042" min="1042" style="70" width="42.57"/>
    <col collapsed="false" customWidth="true" hidden="false" outlineLevel="0" max="1043" min="1043" style="70" width="3.29"/>
    <col collapsed="false" customWidth="true" hidden="false" outlineLevel="0" max="1044" min="1044" style="70" width="8"/>
    <col collapsed="false" customWidth="false" hidden="false" outlineLevel="0" max="1045" min="1045" style="70" width="42.57"/>
    <col collapsed="false" customWidth="true" hidden="false" outlineLevel="0" max="1046" min="1046" style="70" width="3.29"/>
    <col collapsed="false" customWidth="true" hidden="false" outlineLevel="0" max="1047" min="1047" style="70" width="8"/>
    <col collapsed="false" customWidth="false" hidden="false" outlineLevel="0" max="1048" min="1048" style="70" width="42.57"/>
    <col collapsed="false" customWidth="true" hidden="false" outlineLevel="0" max="1049" min="1049" style="70" width="3.29"/>
    <col collapsed="false" customWidth="true" hidden="false" outlineLevel="0" max="1050" min="1050" style="70" width="8"/>
    <col collapsed="false" customWidth="false" hidden="false" outlineLevel="0" max="1051" min="1051" style="70" width="42.57"/>
    <col collapsed="false" customWidth="true" hidden="false" outlineLevel="0" max="1052" min="1052" style="70" width="3.29"/>
    <col collapsed="false" customWidth="true" hidden="false" outlineLevel="0" max="1053" min="1053" style="70" width="8"/>
    <col collapsed="false" customWidth="false" hidden="false" outlineLevel="0" max="1054" min="1054" style="70" width="42.57"/>
    <col collapsed="false" customWidth="true" hidden="false" outlineLevel="0" max="1055" min="1055" style="70" width="3.29"/>
    <col collapsed="false" customWidth="true" hidden="false" outlineLevel="0" max="1056" min="1056" style="70" width="8"/>
    <col collapsed="false" customWidth="false" hidden="false" outlineLevel="0" max="1057" min="1057" style="70" width="42.57"/>
    <col collapsed="false" customWidth="true" hidden="false" outlineLevel="0" max="1058" min="1058" style="70" width="3.29"/>
    <col collapsed="false" customWidth="true" hidden="false" outlineLevel="0" max="1059" min="1059" style="70" width="8"/>
    <col collapsed="false" customWidth="false" hidden="false" outlineLevel="0" max="1060" min="1060" style="70" width="42.57"/>
    <col collapsed="false" customWidth="true" hidden="false" outlineLevel="0" max="1061" min="1061" style="70" width="3.29"/>
    <col collapsed="false" customWidth="true" hidden="false" outlineLevel="0" max="1062" min="1062" style="70" width="8"/>
    <col collapsed="false" customWidth="false" hidden="false" outlineLevel="0" max="1063" min="1063" style="70" width="42.57"/>
    <col collapsed="false" customWidth="true" hidden="false" outlineLevel="0" max="1064" min="1064" style="70" width="3.29"/>
    <col collapsed="false" customWidth="true" hidden="false" outlineLevel="0" max="1065" min="1065" style="70" width="8"/>
    <col collapsed="false" customWidth="false" hidden="false" outlineLevel="0" max="1066" min="1066" style="70" width="42.57"/>
    <col collapsed="false" customWidth="true" hidden="false" outlineLevel="0" max="1067" min="1067" style="70" width="3.29"/>
    <col collapsed="false" customWidth="true" hidden="false" outlineLevel="0" max="1068" min="1068" style="70" width="8"/>
    <col collapsed="false" customWidth="false" hidden="false" outlineLevel="0" max="1069" min="1069" style="70" width="42.57"/>
    <col collapsed="false" customWidth="true" hidden="false" outlineLevel="0" max="1070" min="1070" style="70" width="3.29"/>
    <col collapsed="false" customWidth="true" hidden="false" outlineLevel="0" max="1071" min="1071" style="70" width="8"/>
    <col collapsed="false" customWidth="false" hidden="false" outlineLevel="0" max="1072" min="1072" style="70" width="42.57"/>
    <col collapsed="false" customWidth="true" hidden="false" outlineLevel="0" max="1073" min="1073" style="70" width="3.29"/>
    <col collapsed="false" customWidth="true" hidden="false" outlineLevel="0" max="1074" min="1074" style="70" width="8"/>
    <col collapsed="false" customWidth="false" hidden="false" outlineLevel="0" max="1075" min="1075" style="70" width="42.57"/>
    <col collapsed="false" customWidth="true" hidden="false" outlineLevel="0" max="1076" min="1076" style="70" width="3.29"/>
    <col collapsed="false" customWidth="true" hidden="false" outlineLevel="0" max="1077" min="1077" style="70" width="8"/>
    <col collapsed="false" customWidth="false" hidden="false" outlineLevel="0" max="1078" min="1078" style="70" width="42.57"/>
    <col collapsed="false" customWidth="true" hidden="false" outlineLevel="0" max="1079" min="1079" style="70" width="3.29"/>
    <col collapsed="false" customWidth="true" hidden="false" outlineLevel="0" max="1080" min="1080" style="70" width="8"/>
    <col collapsed="false" customWidth="false" hidden="false" outlineLevel="0" max="1081" min="1081" style="70" width="42.57"/>
    <col collapsed="false" customWidth="true" hidden="false" outlineLevel="0" max="1082" min="1082" style="70" width="3.29"/>
    <col collapsed="false" customWidth="true" hidden="false" outlineLevel="0" max="1083" min="1083" style="70" width="8"/>
    <col collapsed="false" customWidth="false" hidden="false" outlineLevel="0" max="1084" min="1084" style="70" width="42.57"/>
    <col collapsed="false" customWidth="true" hidden="false" outlineLevel="0" max="1085" min="1085" style="70" width="3.29"/>
    <col collapsed="false" customWidth="true" hidden="false" outlineLevel="0" max="1086" min="1086" style="70" width="8"/>
    <col collapsed="false" customWidth="false" hidden="false" outlineLevel="0" max="1087" min="1087" style="70" width="42.57"/>
    <col collapsed="false" customWidth="true" hidden="false" outlineLevel="0" max="1088" min="1088" style="70" width="3.29"/>
    <col collapsed="false" customWidth="true" hidden="false" outlineLevel="0" max="1089" min="1089" style="70" width="8"/>
    <col collapsed="false" customWidth="false" hidden="false" outlineLevel="0" max="1090" min="1090" style="70" width="42.57"/>
    <col collapsed="false" customWidth="true" hidden="false" outlineLevel="0" max="1091" min="1091" style="70" width="3.29"/>
    <col collapsed="false" customWidth="true" hidden="false" outlineLevel="0" max="1092" min="1092" style="70" width="8"/>
    <col collapsed="false" customWidth="false" hidden="false" outlineLevel="0" max="1093" min="1093" style="70" width="42.57"/>
    <col collapsed="false" customWidth="true" hidden="false" outlineLevel="0" max="1094" min="1094" style="70" width="3.29"/>
    <col collapsed="false" customWidth="true" hidden="false" outlineLevel="0" max="1095" min="1095" style="70" width="8"/>
    <col collapsed="false" customWidth="false" hidden="false" outlineLevel="0" max="1096" min="1096" style="70" width="42.57"/>
    <col collapsed="false" customWidth="true" hidden="false" outlineLevel="0" max="1097" min="1097" style="70" width="3.29"/>
    <col collapsed="false" customWidth="true" hidden="false" outlineLevel="0" max="1098" min="1098" style="70" width="8"/>
    <col collapsed="false" customWidth="false" hidden="false" outlineLevel="0" max="1099" min="1099" style="70" width="42.57"/>
    <col collapsed="false" customWidth="true" hidden="false" outlineLevel="0" max="1100" min="1100" style="70" width="3.29"/>
    <col collapsed="false" customWidth="true" hidden="false" outlineLevel="0" max="1101" min="1101" style="70" width="8"/>
    <col collapsed="false" customWidth="false" hidden="false" outlineLevel="0" max="1102" min="1102" style="70" width="42.57"/>
    <col collapsed="false" customWidth="true" hidden="false" outlineLevel="0" max="1103" min="1103" style="70" width="3.29"/>
    <col collapsed="false" customWidth="true" hidden="false" outlineLevel="0" max="1104" min="1104" style="70" width="8"/>
    <col collapsed="false" customWidth="false" hidden="false" outlineLevel="0" max="1105" min="1105" style="70" width="42.57"/>
    <col collapsed="false" customWidth="true" hidden="false" outlineLevel="0" max="1106" min="1106" style="70" width="3.29"/>
    <col collapsed="false" customWidth="true" hidden="false" outlineLevel="0" max="1107" min="1107" style="70" width="8"/>
    <col collapsed="false" customWidth="false" hidden="false" outlineLevel="0" max="1108" min="1108" style="70" width="42.57"/>
    <col collapsed="false" customWidth="true" hidden="false" outlineLevel="0" max="1109" min="1109" style="70" width="3.29"/>
    <col collapsed="false" customWidth="true" hidden="false" outlineLevel="0" max="1110" min="1110" style="70" width="8"/>
    <col collapsed="false" customWidth="false" hidden="false" outlineLevel="0" max="1111" min="1111" style="70" width="42.57"/>
    <col collapsed="false" customWidth="true" hidden="false" outlineLevel="0" max="1112" min="1112" style="70" width="3.29"/>
    <col collapsed="false" customWidth="true" hidden="false" outlineLevel="0" max="1113" min="1113" style="70" width="8"/>
    <col collapsed="false" customWidth="false" hidden="false" outlineLevel="0" max="1114" min="1114" style="70" width="42.57"/>
    <col collapsed="false" customWidth="true" hidden="false" outlineLevel="0" max="1115" min="1115" style="70" width="3.29"/>
    <col collapsed="false" customWidth="true" hidden="false" outlineLevel="0" max="1116" min="1116" style="70" width="8"/>
    <col collapsed="false" customWidth="false" hidden="false" outlineLevel="0" max="1117" min="1117" style="70" width="42.57"/>
    <col collapsed="false" customWidth="true" hidden="false" outlineLevel="0" max="1118" min="1118" style="70" width="3.29"/>
    <col collapsed="false" customWidth="true" hidden="false" outlineLevel="0" max="1119" min="1119" style="70" width="8"/>
    <col collapsed="false" customWidth="false" hidden="false" outlineLevel="0" max="1120" min="1120" style="70" width="42.57"/>
    <col collapsed="false" customWidth="true" hidden="false" outlineLevel="0" max="1121" min="1121" style="70" width="3.29"/>
    <col collapsed="false" customWidth="true" hidden="false" outlineLevel="0" max="1122" min="1122" style="70" width="8"/>
    <col collapsed="false" customWidth="false" hidden="false" outlineLevel="0" max="1123" min="1123" style="70" width="42.57"/>
    <col collapsed="false" customWidth="true" hidden="false" outlineLevel="0" max="1124" min="1124" style="70" width="3.29"/>
    <col collapsed="false" customWidth="true" hidden="false" outlineLevel="0" max="1125" min="1125" style="70" width="8"/>
    <col collapsed="false" customWidth="false" hidden="false" outlineLevel="0" max="1126" min="1126" style="70" width="42.57"/>
    <col collapsed="false" customWidth="true" hidden="false" outlineLevel="0" max="1127" min="1127" style="70" width="3.29"/>
    <col collapsed="false" customWidth="true" hidden="false" outlineLevel="0" max="1128" min="1128" style="70" width="8"/>
    <col collapsed="false" customWidth="false" hidden="false" outlineLevel="0" max="1129" min="1129" style="70" width="42.57"/>
    <col collapsed="false" customWidth="true" hidden="false" outlineLevel="0" max="1130" min="1130" style="70" width="3.29"/>
    <col collapsed="false" customWidth="true" hidden="false" outlineLevel="0" max="1131" min="1131" style="70" width="8"/>
    <col collapsed="false" customWidth="false" hidden="false" outlineLevel="0" max="1132" min="1132" style="70" width="42.57"/>
    <col collapsed="false" customWidth="true" hidden="false" outlineLevel="0" max="1133" min="1133" style="70" width="3.29"/>
    <col collapsed="false" customWidth="true" hidden="false" outlineLevel="0" max="1134" min="1134" style="70" width="8"/>
    <col collapsed="false" customWidth="false" hidden="false" outlineLevel="0" max="1135" min="1135" style="70" width="42.57"/>
    <col collapsed="false" customWidth="true" hidden="false" outlineLevel="0" max="1136" min="1136" style="70" width="3.29"/>
    <col collapsed="false" customWidth="true" hidden="false" outlineLevel="0" max="1137" min="1137" style="70" width="8"/>
    <col collapsed="false" customWidth="false" hidden="false" outlineLevel="0" max="1138" min="1138" style="70" width="42.57"/>
    <col collapsed="false" customWidth="true" hidden="false" outlineLevel="0" max="1139" min="1139" style="70" width="3.29"/>
    <col collapsed="false" customWidth="true" hidden="false" outlineLevel="0" max="1140" min="1140" style="70" width="8"/>
    <col collapsed="false" customWidth="false" hidden="false" outlineLevel="0" max="1141" min="1141" style="70" width="42.57"/>
    <col collapsed="false" customWidth="true" hidden="false" outlineLevel="0" max="1142" min="1142" style="70" width="3.29"/>
    <col collapsed="false" customWidth="true" hidden="false" outlineLevel="0" max="1143" min="1143" style="70" width="8"/>
    <col collapsed="false" customWidth="false" hidden="false" outlineLevel="0" max="1144" min="1144" style="70" width="42.57"/>
    <col collapsed="false" customWidth="true" hidden="false" outlineLevel="0" max="1145" min="1145" style="70" width="3.29"/>
    <col collapsed="false" customWidth="true" hidden="false" outlineLevel="0" max="1146" min="1146" style="70" width="8"/>
    <col collapsed="false" customWidth="false" hidden="false" outlineLevel="0" max="1147" min="1147" style="70" width="42.57"/>
    <col collapsed="false" customWidth="true" hidden="false" outlineLevel="0" max="1148" min="1148" style="70" width="3.29"/>
    <col collapsed="false" customWidth="true" hidden="false" outlineLevel="0" max="1149" min="1149" style="70" width="8"/>
    <col collapsed="false" customWidth="false" hidden="false" outlineLevel="0" max="1150" min="1150" style="70" width="42.57"/>
    <col collapsed="false" customWidth="true" hidden="false" outlineLevel="0" max="1151" min="1151" style="70" width="3.29"/>
    <col collapsed="false" customWidth="true" hidden="false" outlineLevel="0" max="1152" min="1152" style="70" width="8"/>
    <col collapsed="false" customWidth="false" hidden="false" outlineLevel="0" max="1153" min="1153" style="70" width="42.57"/>
    <col collapsed="false" customWidth="true" hidden="false" outlineLevel="0" max="1154" min="1154" style="70" width="3.29"/>
    <col collapsed="false" customWidth="true" hidden="false" outlineLevel="0" max="1155" min="1155" style="70" width="8"/>
    <col collapsed="false" customWidth="false" hidden="false" outlineLevel="0" max="1156" min="1156" style="70" width="42.57"/>
    <col collapsed="false" customWidth="true" hidden="false" outlineLevel="0" max="1157" min="1157" style="70" width="3.29"/>
    <col collapsed="false" customWidth="true" hidden="false" outlineLevel="0" max="1158" min="1158" style="70" width="8"/>
    <col collapsed="false" customWidth="false" hidden="false" outlineLevel="0" max="1159" min="1159" style="70" width="42.57"/>
    <col collapsed="false" customWidth="true" hidden="false" outlineLevel="0" max="1160" min="1160" style="70" width="3.29"/>
    <col collapsed="false" customWidth="true" hidden="false" outlineLevel="0" max="1161" min="1161" style="70" width="8"/>
    <col collapsed="false" customWidth="false" hidden="false" outlineLevel="0" max="1162" min="1162" style="70" width="42.57"/>
    <col collapsed="false" customWidth="true" hidden="false" outlineLevel="0" max="1163" min="1163" style="70" width="3.29"/>
    <col collapsed="false" customWidth="true" hidden="false" outlineLevel="0" max="1164" min="1164" style="70" width="8"/>
    <col collapsed="false" customWidth="false" hidden="false" outlineLevel="0" max="1165" min="1165" style="70" width="42.57"/>
    <col collapsed="false" customWidth="true" hidden="false" outlineLevel="0" max="1166" min="1166" style="70" width="3.29"/>
    <col collapsed="false" customWidth="true" hidden="false" outlineLevel="0" max="1167" min="1167" style="70" width="8"/>
    <col collapsed="false" customWidth="false" hidden="false" outlineLevel="0" max="1168" min="1168" style="70" width="42.57"/>
    <col collapsed="false" customWidth="true" hidden="false" outlineLevel="0" max="1169" min="1169" style="70" width="3.29"/>
    <col collapsed="false" customWidth="true" hidden="false" outlineLevel="0" max="1170" min="1170" style="70" width="8"/>
    <col collapsed="false" customWidth="false" hidden="false" outlineLevel="0" max="1171" min="1171" style="70" width="42.57"/>
    <col collapsed="false" customWidth="true" hidden="false" outlineLevel="0" max="1172" min="1172" style="70" width="3.29"/>
    <col collapsed="false" customWidth="true" hidden="false" outlineLevel="0" max="1173" min="1173" style="70" width="8"/>
    <col collapsed="false" customWidth="false" hidden="false" outlineLevel="0" max="1174" min="1174" style="70" width="42.57"/>
    <col collapsed="false" customWidth="true" hidden="false" outlineLevel="0" max="1175" min="1175" style="70" width="3.29"/>
    <col collapsed="false" customWidth="true" hidden="false" outlineLevel="0" max="1176" min="1176" style="70" width="8"/>
    <col collapsed="false" customWidth="false" hidden="false" outlineLevel="0" max="1177" min="1177" style="70" width="42.57"/>
    <col collapsed="false" customWidth="true" hidden="false" outlineLevel="0" max="1178" min="1178" style="70" width="3.29"/>
    <col collapsed="false" customWidth="true" hidden="false" outlineLevel="0" max="1179" min="1179" style="70" width="8"/>
    <col collapsed="false" customWidth="false" hidden="false" outlineLevel="0" max="1180" min="1180" style="70" width="42.57"/>
    <col collapsed="false" customWidth="true" hidden="false" outlineLevel="0" max="1181" min="1181" style="70" width="3.29"/>
    <col collapsed="false" customWidth="true" hidden="false" outlineLevel="0" max="1182" min="1182" style="70" width="8"/>
    <col collapsed="false" customWidth="false" hidden="false" outlineLevel="0" max="1183" min="1183" style="70" width="42.57"/>
    <col collapsed="false" customWidth="true" hidden="false" outlineLevel="0" max="1184" min="1184" style="70" width="3.29"/>
    <col collapsed="false" customWidth="true" hidden="false" outlineLevel="0" max="1185" min="1185" style="70" width="8"/>
    <col collapsed="false" customWidth="false" hidden="false" outlineLevel="0" max="1186" min="1186" style="70" width="42.57"/>
    <col collapsed="false" customWidth="true" hidden="false" outlineLevel="0" max="1187" min="1187" style="70" width="3.29"/>
    <col collapsed="false" customWidth="true" hidden="false" outlineLevel="0" max="1188" min="1188" style="70" width="8"/>
    <col collapsed="false" customWidth="false" hidden="false" outlineLevel="0" max="1189" min="1189" style="70" width="42.57"/>
    <col collapsed="false" customWidth="true" hidden="false" outlineLevel="0" max="1190" min="1190" style="70" width="3.29"/>
    <col collapsed="false" customWidth="true" hidden="false" outlineLevel="0" max="1191" min="1191" style="70" width="8"/>
    <col collapsed="false" customWidth="false" hidden="false" outlineLevel="0" max="1192" min="1192" style="70" width="42.57"/>
    <col collapsed="false" customWidth="true" hidden="false" outlineLevel="0" max="1193" min="1193" style="70" width="3.29"/>
    <col collapsed="false" customWidth="true" hidden="false" outlineLevel="0" max="1194" min="1194" style="70" width="8"/>
    <col collapsed="false" customWidth="false" hidden="false" outlineLevel="0" max="1195" min="1195" style="70" width="42.57"/>
    <col collapsed="false" customWidth="true" hidden="false" outlineLevel="0" max="1196" min="1196" style="70" width="3.29"/>
    <col collapsed="false" customWidth="true" hidden="false" outlineLevel="0" max="1197" min="1197" style="70" width="8"/>
    <col collapsed="false" customWidth="false" hidden="false" outlineLevel="0" max="1198" min="1198" style="70" width="42.57"/>
    <col collapsed="false" customWidth="true" hidden="false" outlineLevel="0" max="1199" min="1199" style="70" width="3.29"/>
    <col collapsed="false" customWidth="true" hidden="false" outlineLevel="0" max="1200" min="1200" style="70" width="8"/>
    <col collapsed="false" customWidth="false" hidden="false" outlineLevel="0" max="1201" min="1201" style="70" width="42.57"/>
    <col collapsed="false" customWidth="true" hidden="false" outlineLevel="0" max="1202" min="1202" style="70" width="3.29"/>
    <col collapsed="false" customWidth="true" hidden="false" outlineLevel="0" max="1203" min="1203" style="70" width="8"/>
    <col collapsed="false" customWidth="false" hidden="false" outlineLevel="0" max="1204" min="1204" style="70" width="42.57"/>
    <col collapsed="false" customWidth="true" hidden="false" outlineLevel="0" max="1205" min="1205" style="70" width="3.29"/>
    <col collapsed="false" customWidth="true" hidden="false" outlineLevel="0" max="1206" min="1206" style="70" width="8"/>
    <col collapsed="false" customWidth="false" hidden="false" outlineLevel="0" max="1207" min="1207" style="70" width="42.57"/>
    <col collapsed="false" customWidth="true" hidden="false" outlineLevel="0" max="1208" min="1208" style="70" width="3.29"/>
    <col collapsed="false" customWidth="true" hidden="false" outlineLevel="0" max="1209" min="1209" style="70" width="8"/>
    <col collapsed="false" customWidth="false" hidden="false" outlineLevel="0" max="1210" min="1210" style="70" width="42.57"/>
    <col collapsed="false" customWidth="true" hidden="false" outlineLevel="0" max="1211" min="1211" style="70" width="3.29"/>
    <col collapsed="false" customWidth="true" hidden="false" outlineLevel="0" max="1212" min="1212" style="70" width="8"/>
    <col collapsed="false" customWidth="false" hidden="false" outlineLevel="0" max="1213" min="1213" style="70" width="42.57"/>
    <col collapsed="false" customWidth="true" hidden="false" outlineLevel="0" max="1214" min="1214" style="70" width="3.29"/>
    <col collapsed="false" customWidth="true" hidden="false" outlineLevel="0" max="1215" min="1215" style="70" width="8"/>
    <col collapsed="false" customWidth="false" hidden="false" outlineLevel="0" max="1216" min="1216" style="70" width="42.57"/>
    <col collapsed="false" customWidth="true" hidden="false" outlineLevel="0" max="1217" min="1217" style="70" width="3.29"/>
    <col collapsed="false" customWidth="true" hidden="false" outlineLevel="0" max="1218" min="1218" style="70" width="8"/>
    <col collapsed="false" customWidth="false" hidden="false" outlineLevel="0" max="1219" min="1219" style="70" width="42.57"/>
    <col collapsed="false" customWidth="true" hidden="false" outlineLevel="0" max="1220" min="1220" style="70" width="3.29"/>
    <col collapsed="false" customWidth="true" hidden="false" outlineLevel="0" max="1221" min="1221" style="70" width="8"/>
    <col collapsed="false" customWidth="false" hidden="false" outlineLevel="0" max="1222" min="1222" style="70" width="42.57"/>
    <col collapsed="false" customWidth="true" hidden="false" outlineLevel="0" max="1223" min="1223" style="70" width="3.29"/>
    <col collapsed="false" customWidth="true" hidden="false" outlineLevel="0" max="1224" min="1224" style="70" width="8"/>
    <col collapsed="false" customWidth="false" hidden="false" outlineLevel="0" max="1225" min="1225" style="70" width="42.57"/>
    <col collapsed="false" customWidth="true" hidden="false" outlineLevel="0" max="1226" min="1226" style="70" width="3.29"/>
    <col collapsed="false" customWidth="true" hidden="false" outlineLevel="0" max="1227" min="1227" style="70" width="8"/>
    <col collapsed="false" customWidth="false" hidden="false" outlineLevel="0" max="1228" min="1228" style="70" width="42.57"/>
    <col collapsed="false" customWidth="true" hidden="false" outlineLevel="0" max="1229" min="1229" style="70" width="3.29"/>
    <col collapsed="false" customWidth="true" hidden="false" outlineLevel="0" max="1230" min="1230" style="70" width="8"/>
    <col collapsed="false" customWidth="false" hidden="false" outlineLevel="0" max="1231" min="1231" style="70" width="42.57"/>
    <col collapsed="false" customWidth="true" hidden="false" outlineLevel="0" max="1232" min="1232" style="70" width="3.29"/>
    <col collapsed="false" customWidth="true" hidden="false" outlineLevel="0" max="1233" min="1233" style="70" width="8"/>
    <col collapsed="false" customWidth="false" hidden="false" outlineLevel="0" max="1234" min="1234" style="70" width="42.57"/>
    <col collapsed="false" customWidth="true" hidden="false" outlineLevel="0" max="1235" min="1235" style="70" width="3.29"/>
    <col collapsed="false" customWidth="true" hidden="false" outlineLevel="0" max="1236" min="1236" style="70" width="8"/>
    <col collapsed="false" customWidth="false" hidden="false" outlineLevel="0" max="1237" min="1237" style="70" width="42.57"/>
    <col collapsed="false" customWidth="true" hidden="false" outlineLevel="0" max="1238" min="1238" style="70" width="3.29"/>
    <col collapsed="false" customWidth="true" hidden="false" outlineLevel="0" max="1239" min="1239" style="70" width="8"/>
    <col collapsed="false" customWidth="false" hidden="false" outlineLevel="0" max="1240" min="1240" style="70" width="42.57"/>
    <col collapsed="false" customWidth="true" hidden="false" outlineLevel="0" max="1241" min="1241" style="70" width="3.29"/>
    <col collapsed="false" customWidth="true" hidden="false" outlineLevel="0" max="1242" min="1242" style="70" width="8"/>
    <col collapsed="false" customWidth="false" hidden="false" outlineLevel="0" max="1243" min="1243" style="70" width="42.57"/>
    <col collapsed="false" customWidth="true" hidden="false" outlineLevel="0" max="1244" min="1244" style="70" width="3.29"/>
    <col collapsed="false" customWidth="true" hidden="false" outlineLevel="0" max="1245" min="1245" style="70" width="8"/>
    <col collapsed="false" customWidth="false" hidden="false" outlineLevel="0" max="1246" min="1246" style="70" width="42.57"/>
    <col collapsed="false" customWidth="true" hidden="false" outlineLevel="0" max="1247" min="1247" style="70" width="3.29"/>
    <col collapsed="false" customWidth="true" hidden="false" outlineLevel="0" max="1248" min="1248" style="70" width="8"/>
    <col collapsed="false" customWidth="false" hidden="false" outlineLevel="0" max="1249" min="1249" style="70" width="42.57"/>
    <col collapsed="false" customWidth="true" hidden="false" outlineLevel="0" max="1250" min="1250" style="70" width="3.29"/>
    <col collapsed="false" customWidth="true" hidden="false" outlineLevel="0" max="1251" min="1251" style="70" width="8"/>
    <col collapsed="false" customWidth="false" hidden="false" outlineLevel="0" max="1252" min="1252" style="70" width="42.57"/>
    <col collapsed="false" customWidth="true" hidden="false" outlineLevel="0" max="1253" min="1253" style="70" width="3.29"/>
    <col collapsed="false" customWidth="true" hidden="false" outlineLevel="0" max="1254" min="1254" style="70" width="8"/>
    <col collapsed="false" customWidth="false" hidden="false" outlineLevel="0" max="1255" min="1255" style="70" width="42.57"/>
    <col collapsed="false" customWidth="true" hidden="false" outlineLevel="0" max="1256" min="1256" style="70" width="3.29"/>
    <col collapsed="false" customWidth="true" hidden="false" outlineLevel="0" max="1257" min="1257" style="70" width="8"/>
    <col collapsed="false" customWidth="false" hidden="false" outlineLevel="0" max="1258" min="1258" style="70" width="42.57"/>
    <col collapsed="false" customWidth="true" hidden="false" outlineLevel="0" max="1259" min="1259" style="70" width="3.29"/>
    <col collapsed="false" customWidth="true" hidden="false" outlineLevel="0" max="1260" min="1260" style="70" width="8"/>
    <col collapsed="false" customWidth="false" hidden="false" outlineLevel="0" max="1261" min="1261" style="70" width="42.57"/>
    <col collapsed="false" customWidth="true" hidden="false" outlineLevel="0" max="1262" min="1262" style="70" width="3.29"/>
    <col collapsed="false" customWidth="true" hidden="false" outlineLevel="0" max="1263" min="1263" style="70" width="8"/>
    <col collapsed="false" customWidth="false" hidden="false" outlineLevel="0" max="1264" min="1264" style="70" width="42.57"/>
    <col collapsed="false" customWidth="true" hidden="false" outlineLevel="0" max="1265" min="1265" style="70" width="3.29"/>
    <col collapsed="false" customWidth="true" hidden="false" outlineLevel="0" max="1266" min="1266" style="70" width="8"/>
    <col collapsed="false" customWidth="false" hidden="false" outlineLevel="0" max="1267" min="1267" style="70" width="42.57"/>
    <col collapsed="false" customWidth="true" hidden="false" outlineLevel="0" max="1268" min="1268" style="70" width="3.29"/>
    <col collapsed="false" customWidth="true" hidden="false" outlineLevel="0" max="1269" min="1269" style="70" width="8"/>
    <col collapsed="false" customWidth="false" hidden="false" outlineLevel="0" max="1270" min="1270" style="70" width="42.57"/>
    <col collapsed="false" customWidth="true" hidden="false" outlineLevel="0" max="1271" min="1271" style="70" width="3.29"/>
    <col collapsed="false" customWidth="true" hidden="false" outlineLevel="0" max="1272" min="1272" style="70" width="8"/>
    <col collapsed="false" customWidth="false" hidden="false" outlineLevel="0" max="1273" min="1273" style="70" width="42.57"/>
    <col collapsed="false" customWidth="true" hidden="false" outlineLevel="0" max="1274" min="1274" style="70" width="3.29"/>
    <col collapsed="false" customWidth="true" hidden="false" outlineLevel="0" max="1275" min="1275" style="70" width="8"/>
    <col collapsed="false" customWidth="false" hidden="false" outlineLevel="0" max="1276" min="1276" style="70" width="42.57"/>
    <col collapsed="false" customWidth="true" hidden="false" outlineLevel="0" max="1277" min="1277" style="70" width="3.29"/>
    <col collapsed="false" customWidth="true" hidden="false" outlineLevel="0" max="1278" min="1278" style="70" width="8"/>
    <col collapsed="false" customWidth="false" hidden="false" outlineLevel="0" max="1279" min="1279" style="70" width="42.57"/>
    <col collapsed="false" customWidth="true" hidden="false" outlineLevel="0" max="1280" min="1280" style="70" width="3.29"/>
    <col collapsed="false" customWidth="true" hidden="false" outlineLevel="0" max="1281" min="1281" style="70" width="8"/>
    <col collapsed="false" customWidth="false" hidden="false" outlineLevel="0" max="1282" min="1282" style="70" width="42.57"/>
    <col collapsed="false" customWidth="true" hidden="false" outlineLevel="0" max="1283" min="1283" style="70" width="3.29"/>
    <col collapsed="false" customWidth="true" hidden="false" outlineLevel="0" max="1284" min="1284" style="70" width="8"/>
    <col collapsed="false" customWidth="false" hidden="false" outlineLevel="0" max="1285" min="1285" style="70" width="42.57"/>
    <col collapsed="false" customWidth="true" hidden="false" outlineLevel="0" max="1286" min="1286" style="70" width="3.29"/>
    <col collapsed="false" customWidth="true" hidden="false" outlineLevel="0" max="1287" min="1287" style="70" width="8"/>
    <col collapsed="false" customWidth="false" hidden="false" outlineLevel="0" max="1288" min="1288" style="70" width="42.57"/>
    <col collapsed="false" customWidth="true" hidden="false" outlineLevel="0" max="1289" min="1289" style="70" width="3.29"/>
    <col collapsed="false" customWidth="true" hidden="false" outlineLevel="0" max="1290" min="1290" style="70" width="8"/>
    <col collapsed="false" customWidth="false" hidden="false" outlineLevel="0" max="1291" min="1291" style="70" width="42.57"/>
    <col collapsed="false" customWidth="true" hidden="false" outlineLevel="0" max="1292" min="1292" style="70" width="3.29"/>
    <col collapsed="false" customWidth="true" hidden="false" outlineLevel="0" max="1293" min="1293" style="70" width="8"/>
    <col collapsed="false" customWidth="false" hidden="false" outlineLevel="0" max="1294" min="1294" style="70" width="42.57"/>
    <col collapsed="false" customWidth="true" hidden="false" outlineLevel="0" max="1295" min="1295" style="70" width="3.29"/>
    <col collapsed="false" customWidth="true" hidden="false" outlineLevel="0" max="1296" min="1296" style="70" width="8"/>
    <col collapsed="false" customWidth="false" hidden="false" outlineLevel="0" max="1297" min="1297" style="70" width="42.57"/>
    <col collapsed="false" customWidth="true" hidden="false" outlineLevel="0" max="1298" min="1298" style="70" width="3.29"/>
    <col collapsed="false" customWidth="true" hidden="false" outlineLevel="0" max="1299" min="1299" style="70" width="8"/>
    <col collapsed="false" customWidth="false" hidden="false" outlineLevel="0" max="1300" min="1300" style="70" width="42.57"/>
    <col collapsed="false" customWidth="true" hidden="false" outlineLevel="0" max="1301" min="1301" style="70" width="3.29"/>
    <col collapsed="false" customWidth="true" hidden="false" outlineLevel="0" max="1302" min="1302" style="70" width="8"/>
    <col collapsed="false" customWidth="false" hidden="false" outlineLevel="0" max="1303" min="1303" style="70" width="42.57"/>
    <col collapsed="false" customWidth="true" hidden="false" outlineLevel="0" max="1304" min="1304" style="70" width="3.29"/>
    <col collapsed="false" customWidth="true" hidden="false" outlineLevel="0" max="1305" min="1305" style="70" width="8"/>
    <col collapsed="false" customWidth="false" hidden="false" outlineLevel="0" max="1306" min="1306" style="70" width="42.57"/>
    <col collapsed="false" customWidth="true" hidden="false" outlineLevel="0" max="1307" min="1307" style="70" width="3.29"/>
    <col collapsed="false" customWidth="true" hidden="false" outlineLevel="0" max="1308" min="1308" style="70" width="8"/>
    <col collapsed="false" customWidth="false" hidden="false" outlineLevel="0" max="1309" min="1309" style="70" width="42.57"/>
    <col collapsed="false" customWidth="true" hidden="false" outlineLevel="0" max="1310" min="1310" style="70" width="3.29"/>
    <col collapsed="false" customWidth="true" hidden="false" outlineLevel="0" max="1311" min="1311" style="70" width="8"/>
    <col collapsed="false" customWidth="false" hidden="false" outlineLevel="0" max="1312" min="1312" style="70" width="42.57"/>
    <col collapsed="false" customWidth="true" hidden="false" outlineLevel="0" max="1313" min="1313" style="70" width="3.29"/>
    <col collapsed="false" customWidth="true" hidden="false" outlineLevel="0" max="1314" min="1314" style="70" width="8"/>
    <col collapsed="false" customWidth="false" hidden="false" outlineLevel="0" max="1315" min="1315" style="70" width="42.57"/>
    <col collapsed="false" customWidth="true" hidden="false" outlineLevel="0" max="1316" min="1316" style="70" width="3.29"/>
    <col collapsed="false" customWidth="true" hidden="false" outlineLevel="0" max="1317" min="1317" style="70" width="8"/>
    <col collapsed="false" customWidth="false" hidden="false" outlineLevel="0" max="1318" min="1318" style="70" width="42.57"/>
    <col collapsed="false" customWidth="true" hidden="false" outlineLevel="0" max="1319" min="1319" style="70" width="3.29"/>
    <col collapsed="false" customWidth="true" hidden="false" outlineLevel="0" max="1320" min="1320" style="70" width="8"/>
    <col collapsed="false" customWidth="false" hidden="false" outlineLevel="0" max="1321" min="1321" style="70" width="42.57"/>
    <col collapsed="false" customWidth="true" hidden="false" outlineLevel="0" max="1322" min="1322" style="70" width="3.29"/>
    <col collapsed="false" customWidth="true" hidden="false" outlineLevel="0" max="1323" min="1323" style="70" width="8"/>
    <col collapsed="false" customWidth="false" hidden="false" outlineLevel="0" max="1324" min="1324" style="70" width="42.57"/>
    <col collapsed="false" customWidth="true" hidden="false" outlineLevel="0" max="1325" min="1325" style="70" width="3.29"/>
    <col collapsed="false" customWidth="true" hidden="false" outlineLevel="0" max="1326" min="1326" style="70" width="8"/>
    <col collapsed="false" customWidth="false" hidden="false" outlineLevel="0" max="1327" min="1327" style="70" width="42.57"/>
    <col collapsed="false" customWidth="true" hidden="false" outlineLevel="0" max="1328" min="1328" style="70" width="3.29"/>
    <col collapsed="false" customWidth="true" hidden="false" outlineLevel="0" max="1329" min="1329" style="70" width="8"/>
    <col collapsed="false" customWidth="false" hidden="false" outlineLevel="0" max="1330" min="1330" style="70" width="42.57"/>
    <col collapsed="false" customWidth="true" hidden="false" outlineLevel="0" max="1331" min="1331" style="70" width="3.29"/>
    <col collapsed="false" customWidth="true" hidden="false" outlineLevel="0" max="1332" min="1332" style="70" width="8"/>
    <col collapsed="false" customWidth="false" hidden="false" outlineLevel="0" max="1333" min="1333" style="70" width="42.57"/>
    <col collapsed="false" customWidth="true" hidden="false" outlineLevel="0" max="1334" min="1334" style="70" width="3.29"/>
    <col collapsed="false" customWidth="true" hidden="false" outlineLevel="0" max="1335" min="1335" style="70" width="8"/>
    <col collapsed="false" customWidth="false" hidden="false" outlineLevel="0" max="1336" min="1336" style="70" width="42.57"/>
    <col collapsed="false" customWidth="true" hidden="false" outlineLevel="0" max="1337" min="1337" style="70" width="3.29"/>
    <col collapsed="false" customWidth="true" hidden="false" outlineLevel="0" max="1338" min="1338" style="70" width="8"/>
    <col collapsed="false" customWidth="false" hidden="false" outlineLevel="0" max="1339" min="1339" style="70" width="42.57"/>
    <col collapsed="false" customWidth="true" hidden="false" outlineLevel="0" max="1340" min="1340" style="70" width="3.29"/>
    <col collapsed="false" customWidth="true" hidden="false" outlineLevel="0" max="1341" min="1341" style="70" width="8"/>
    <col collapsed="false" customWidth="false" hidden="false" outlineLevel="0" max="1342" min="1342" style="70" width="42.57"/>
    <col collapsed="false" customWidth="true" hidden="false" outlineLevel="0" max="1343" min="1343" style="70" width="3.29"/>
    <col collapsed="false" customWidth="true" hidden="false" outlineLevel="0" max="1344" min="1344" style="70" width="8"/>
    <col collapsed="false" customWidth="false" hidden="false" outlineLevel="0" max="1345" min="1345" style="70" width="42.57"/>
    <col collapsed="false" customWidth="true" hidden="false" outlineLevel="0" max="1346" min="1346" style="70" width="3.29"/>
    <col collapsed="false" customWidth="true" hidden="false" outlineLevel="0" max="1347" min="1347" style="70" width="8"/>
    <col collapsed="false" customWidth="false" hidden="false" outlineLevel="0" max="1348" min="1348" style="70" width="42.57"/>
    <col collapsed="false" customWidth="true" hidden="false" outlineLevel="0" max="1349" min="1349" style="70" width="3.29"/>
    <col collapsed="false" customWidth="true" hidden="false" outlineLevel="0" max="1350" min="1350" style="70" width="8"/>
    <col collapsed="false" customWidth="false" hidden="false" outlineLevel="0" max="1351" min="1351" style="70" width="42.57"/>
    <col collapsed="false" customWidth="true" hidden="false" outlineLevel="0" max="1352" min="1352" style="70" width="3.29"/>
    <col collapsed="false" customWidth="true" hidden="false" outlineLevel="0" max="1353" min="1353" style="70" width="8"/>
    <col collapsed="false" customWidth="false" hidden="false" outlineLevel="0" max="1354" min="1354" style="70" width="42.57"/>
    <col collapsed="false" customWidth="true" hidden="false" outlineLevel="0" max="1355" min="1355" style="70" width="3.29"/>
    <col collapsed="false" customWidth="true" hidden="false" outlineLevel="0" max="1356" min="1356" style="70" width="8"/>
    <col collapsed="false" customWidth="false" hidden="false" outlineLevel="0" max="1357" min="1357" style="70" width="42.57"/>
    <col collapsed="false" customWidth="true" hidden="false" outlineLevel="0" max="1358" min="1358" style="70" width="3.29"/>
    <col collapsed="false" customWidth="true" hidden="false" outlineLevel="0" max="1359" min="1359" style="70" width="8"/>
    <col collapsed="false" customWidth="false" hidden="false" outlineLevel="0" max="1360" min="1360" style="70" width="42.57"/>
    <col collapsed="false" customWidth="true" hidden="false" outlineLevel="0" max="1361" min="1361" style="70" width="3.29"/>
    <col collapsed="false" customWidth="true" hidden="false" outlineLevel="0" max="1362" min="1362" style="70" width="8"/>
    <col collapsed="false" customWidth="false" hidden="false" outlineLevel="0" max="1363" min="1363" style="70" width="42.57"/>
    <col collapsed="false" customWidth="true" hidden="false" outlineLevel="0" max="1364" min="1364" style="70" width="3.29"/>
    <col collapsed="false" customWidth="true" hidden="false" outlineLevel="0" max="1365" min="1365" style="70" width="8"/>
    <col collapsed="false" customWidth="false" hidden="false" outlineLevel="0" max="1366" min="1366" style="70" width="42.57"/>
    <col collapsed="false" customWidth="true" hidden="false" outlineLevel="0" max="1367" min="1367" style="70" width="3.29"/>
    <col collapsed="false" customWidth="true" hidden="false" outlineLevel="0" max="1368" min="1368" style="70" width="8"/>
    <col collapsed="false" customWidth="false" hidden="false" outlineLevel="0" max="1369" min="1369" style="70" width="42.57"/>
    <col collapsed="false" customWidth="true" hidden="false" outlineLevel="0" max="1370" min="1370" style="70" width="3.29"/>
    <col collapsed="false" customWidth="true" hidden="false" outlineLevel="0" max="1371" min="1371" style="70" width="8"/>
    <col collapsed="false" customWidth="false" hidden="false" outlineLevel="0" max="1372" min="1372" style="70" width="42.57"/>
    <col collapsed="false" customWidth="true" hidden="false" outlineLevel="0" max="1373" min="1373" style="70" width="3.29"/>
    <col collapsed="false" customWidth="true" hidden="false" outlineLevel="0" max="1374" min="1374" style="70" width="8"/>
    <col collapsed="false" customWidth="false" hidden="false" outlineLevel="0" max="1375" min="1375" style="70" width="42.57"/>
    <col collapsed="false" customWidth="true" hidden="false" outlineLevel="0" max="1376" min="1376" style="70" width="3.29"/>
    <col collapsed="false" customWidth="true" hidden="false" outlineLevel="0" max="1377" min="1377" style="70" width="8"/>
    <col collapsed="false" customWidth="false" hidden="false" outlineLevel="0" max="1378" min="1378" style="70" width="42.57"/>
    <col collapsed="false" customWidth="true" hidden="false" outlineLevel="0" max="1379" min="1379" style="70" width="3.29"/>
    <col collapsed="false" customWidth="true" hidden="false" outlineLevel="0" max="1380" min="1380" style="70" width="8"/>
    <col collapsed="false" customWidth="false" hidden="false" outlineLevel="0" max="1381" min="1381" style="70" width="42.57"/>
    <col collapsed="false" customWidth="true" hidden="false" outlineLevel="0" max="1382" min="1382" style="70" width="3.29"/>
    <col collapsed="false" customWidth="true" hidden="false" outlineLevel="0" max="1383" min="1383" style="70" width="8"/>
    <col collapsed="false" customWidth="false" hidden="false" outlineLevel="0" max="1384" min="1384" style="70" width="42.57"/>
    <col collapsed="false" customWidth="true" hidden="false" outlineLevel="0" max="1385" min="1385" style="70" width="3.29"/>
    <col collapsed="false" customWidth="true" hidden="false" outlineLevel="0" max="1386" min="1386" style="70" width="8"/>
    <col collapsed="false" customWidth="false" hidden="false" outlineLevel="0" max="1387" min="1387" style="70" width="42.57"/>
    <col collapsed="false" customWidth="true" hidden="false" outlineLevel="0" max="1388" min="1388" style="70" width="3.29"/>
    <col collapsed="false" customWidth="true" hidden="false" outlineLevel="0" max="1389" min="1389" style="70" width="8"/>
    <col collapsed="false" customWidth="false" hidden="false" outlineLevel="0" max="1390" min="1390" style="70" width="42.57"/>
    <col collapsed="false" customWidth="true" hidden="false" outlineLevel="0" max="1391" min="1391" style="70" width="3.29"/>
    <col collapsed="false" customWidth="true" hidden="false" outlineLevel="0" max="1392" min="1392" style="70" width="8"/>
    <col collapsed="false" customWidth="false" hidden="false" outlineLevel="0" max="1393" min="1393" style="70" width="42.57"/>
    <col collapsed="false" customWidth="true" hidden="false" outlineLevel="0" max="1394" min="1394" style="70" width="3.29"/>
    <col collapsed="false" customWidth="true" hidden="false" outlineLevel="0" max="1395" min="1395" style="70" width="8"/>
    <col collapsed="false" customWidth="false" hidden="false" outlineLevel="0" max="1396" min="1396" style="70" width="42.57"/>
    <col collapsed="false" customWidth="true" hidden="false" outlineLevel="0" max="1397" min="1397" style="70" width="3.29"/>
    <col collapsed="false" customWidth="true" hidden="false" outlineLevel="0" max="1398" min="1398" style="70" width="8"/>
    <col collapsed="false" customWidth="false" hidden="false" outlineLevel="0" max="1399" min="1399" style="70" width="42.57"/>
    <col collapsed="false" customWidth="true" hidden="false" outlineLevel="0" max="1400" min="1400" style="70" width="3.29"/>
    <col collapsed="false" customWidth="true" hidden="false" outlineLevel="0" max="1401" min="1401" style="70" width="8"/>
    <col collapsed="false" customWidth="false" hidden="false" outlineLevel="0" max="1402" min="1402" style="70" width="42.57"/>
    <col collapsed="false" customWidth="true" hidden="false" outlineLevel="0" max="1403" min="1403" style="70" width="3.29"/>
    <col collapsed="false" customWidth="true" hidden="false" outlineLevel="0" max="1404" min="1404" style="70" width="8"/>
    <col collapsed="false" customWidth="false" hidden="false" outlineLevel="0" max="1405" min="1405" style="70" width="42.57"/>
    <col collapsed="false" customWidth="true" hidden="false" outlineLevel="0" max="1406" min="1406" style="70" width="3.29"/>
    <col collapsed="false" customWidth="true" hidden="false" outlineLevel="0" max="1407" min="1407" style="70" width="8"/>
    <col collapsed="false" customWidth="false" hidden="false" outlineLevel="0" max="1408" min="1408" style="70" width="42.57"/>
    <col collapsed="false" customWidth="true" hidden="false" outlineLevel="0" max="1409" min="1409" style="70" width="3.29"/>
    <col collapsed="false" customWidth="true" hidden="false" outlineLevel="0" max="1410" min="1410" style="70" width="8"/>
    <col collapsed="false" customWidth="false" hidden="false" outlineLevel="0" max="1411" min="1411" style="70" width="42.57"/>
    <col collapsed="false" customWidth="true" hidden="false" outlineLevel="0" max="1412" min="1412" style="70" width="3.29"/>
    <col collapsed="false" customWidth="true" hidden="false" outlineLevel="0" max="1413" min="1413" style="70" width="8"/>
    <col collapsed="false" customWidth="false" hidden="false" outlineLevel="0" max="1414" min="1414" style="70" width="42.57"/>
    <col collapsed="false" customWidth="true" hidden="false" outlineLevel="0" max="1415" min="1415" style="70" width="3.29"/>
    <col collapsed="false" customWidth="true" hidden="false" outlineLevel="0" max="1416" min="1416" style="70" width="8"/>
    <col collapsed="false" customWidth="false" hidden="false" outlineLevel="0" max="1417" min="1417" style="70" width="42.57"/>
    <col collapsed="false" customWidth="true" hidden="false" outlineLevel="0" max="1418" min="1418" style="70" width="3.29"/>
    <col collapsed="false" customWidth="true" hidden="false" outlineLevel="0" max="1419" min="1419" style="70" width="8"/>
    <col collapsed="false" customWidth="false" hidden="false" outlineLevel="0" max="1420" min="1420" style="70" width="42.57"/>
    <col collapsed="false" customWidth="true" hidden="false" outlineLevel="0" max="1421" min="1421" style="70" width="3.29"/>
    <col collapsed="false" customWidth="true" hidden="false" outlineLevel="0" max="1422" min="1422" style="70" width="8"/>
    <col collapsed="false" customWidth="false" hidden="false" outlineLevel="0" max="1423" min="1423" style="70" width="42.57"/>
    <col collapsed="false" customWidth="true" hidden="false" outlineLevel="0" max="1424" min="1424" style="70" width="3.29"/>
    <col collapsed="false" customWidth="true" hidden="false" outlineLevel="0" max="1425" min="1425" style="70" width="8"/>
    <col collapsed="false" customWidth="false" hidden="false" outlineLevel="0" max="1426" min="1426" style="70" width="42.57"/>
    <col collapsed="false" customWidth="true" hidden="false" outlineLevel="0" max="1427" min="1427" style="70" width="3.29"/>
    <col collapsed="false" customWidth="true" hidden="false" outlineLevel="0" max="1428" min="1428" style="70" width="8"/>
    <col collapsed="false" customWidth="false" hidden="false" outlineLevel="0" max="1429" min="1429" style="70" width="42.57"/>
    <col collapsed="false" customWidth="true" hidden="false" outlineLevel="0" max="1430" min="1430" style="70" width="3.29"/>
    <col collapsed="false" customWidth="true" hidden="false" outlineLevel="0" max="1431" min="1431" style="70" width="8"/>
    <col collapsed="false" customWidth="false" hidden="false" outlineLevel="0" max="1432" min="1432" style="70" width="42.57"/>
    <col collapsed="false" customWidth="true" hidden="false" outlineLevel="0" max="1433" min="1433" style="70" width="3.29"/>
    <col collapsed="false" customWidth="true" hidden="false" outlineLevel="0" max="1434" min="1434" style="70" width="8"/>
    <col collapsed="false" customWidth="false" hidden="false" outlineLevel="0" max="1435" min="1435" style="70" width="42.57"/>
    <col collapsed="false" customWidth="true" hidden="false" outlineLevel="0" max="1436" min="1436" style="70" width="3.29"/>
    <col collapsed="false" customWidth="true" hidden="false" outlineLevel="0" max="1437" min="1437" style="70" width="8"/>
    <col collapsed="false" customWidth="false" hidden="false" outlineLevel="0" max="1438" min="1438" style="70" width="42.57"/>
    <col collapsed="false" customWidth="true" hidden="false" outlineLevel="0" max="1439" min="1439" style="70" width="3.29"/>
    <col collapsed="false" customWidth="true" hidden="false" outlineLevel="0" max="1440" min="1440" style="70" width="8"/>
    <col collapsed="false" customWidth="false" hidden="false" outlineLevel="0" max="1441" min="1441" style="70" width="42.57"/>
    <col collapsed="false" customWidth="true" hidden="false" outlineLevel="0" max="1442" min="1442" style="70" width="3.29"/>
    <col collapsed="false" customWidth="true" hidden="false" outlineLevel="0" max="1443" min="1443" style="70" width="8"/>
    <col collapsed="false" customWidth="false" hidden="false" outlineLevel="0" max="1444" min="1444" style="70" width="42.57"/>
    <col collapsed="false" customWidth="true" hidden="false" outlineLevel="0" max="1445" min="1445" style="70" width="3.29"/>
    <col collapsed="false" customWidth="true" hidden="false" outlineLevel="0" max="1446" min="1446" style="70" width="8"/>
    <col collapsed="false" customWidth="false" hidden="false" outlineLevel="0" max="1447" min="1447" style="70" width="42.57"/>
    <col collapsed="false" customWidth="true" hidden="false" outlineLevel="0" max="1448" min="1448" style="70" width="3.29"/>
    <col collapsed="false" customWidth="true" hidden="false" outlineLevel="0" max="1449" min="1449" style="70" width="8"/>
    <col collapsed="false" customWidth="false" hidden="false" outlineLevel="0" max="1450" min="1450" style="70" width="42.57"/>
    <col collapsed="false" customWidth="true" hidden="false" outlineLevel="0" max="1451" min="1451" style="70" width="3.29"/>
    <col collapsed="false" customWidth="true" hidden="false" outlineLevel="0" max="1452" min="1452" style="70" width="8"/>
    <col collapsed="false" customWidth="false" hidden="false" outlineLevel="0" max="1453" min="1453" style="70" width="42.57"/>
    <col collapsed="false" customWidth="true" hidden="false" outlineLevel="0" max="1454" min="1454" style="70" width="3.29"/>
    <col collapsed="false" customWidth="true" hidden="false" outlineLevel="0" max="1455" min="1455" style="70" width="8"/>
    <col collapsed="false" customWidth="false" hidden="false" outlineLevel="0" max="1456" min="1456" style="70" width="42.57"/>
    <col collapsed="false" customWidth="true" hidden="false" outlineLevel="0" max="1457" min="1457" style="70" width="3.29"/>
    <col collapsed="false" customWidth="true" hidden="false" outlineLevel="0" max="1458" min="1458" style="70" width="8"/>
    <col collapsed="false" customWidth="false" hidden="false" outlineLevel="0" max="1459" min="1459" style="70" width="42.57"/>
    <col collapsed="false" customWidth="true" hidden="false" outlineLevel="0" max="1460" min="1460" style="70" width="3.29"/>
    <col collapsed="false" customWidth="true" hidden="false" outlineLevel="0" max="1461" min="1461" style="70" width="8"/>
    <col collapsed="false" customWidth="false" hidden="false" outlineLevel="0" max="1462" min="1462" style="70" width="42.57"/>
    <col collapsed="false" customWidth="true" hidden="false" outlineLevel="0" max="1463" min="1463" style="70" width="3.29"/>
    <col collapsed="false" customWidth="true" hidden="false" outlineLevel="0" max="1464" min="1464" style="70" width="8"/>
    <col collapsed="false" customWidth="false" hidden="false" outlineLevel="0" max="1465" min="1465" style="70" width="42.57"/>
    <col collapsed="false" customWidth="true" hidden="false" outlineLevel="0" max="1466" min="1466" style="70" width="3.29"/>
    <col collapsed="false" customWidth="true" hidden="false" outlineLevel="0" max="1467" min="1467" style="70" width="8"/>
    <col collapsed="false" customWidth="false" hidden="false" outlineLevel="0" max="1468" min="1468" style="70" width="42.57"/>
    <col collapsed="false" customWidth="true" hidden="false" outlineLevel="0" max="1469" min="1469" style="70" width="3.29"/>
    <col collapsed="false" customWidth="true" hidden="false" outlineLevel="0" max="1470" min="1470" style="70" width="8"/>
    <col collapsed="false" customWidth="false" hidden="false" outlineLevel="0" max="1471" min="1471" style="70" width="42.57"/>
    <col collapsed="false" customWidth="true" hidden="false" outlineLevel="0" max="1472" min="1472" style="70" width="3.29"/>
    <col collapsed="false" customWidth="true" hidden="false" outlineLevel="0" max="1473" min="1473" style="70" width="8"/>
    <col collapsed="false" customWidth="false" hidden="false" outlineLevel="0" max="1474" min="1474" style="70" width="42.57"/>
    <col collapsed="false" customWidth="true" hidden="false" outlineLevel="0" max="1475" min="1475" style="70" width="3.29"/>
    <col collapsed="false" customWidth="true" hidden="false" outlineLevel="0" max="1476" min="1476" style="70" width="8"/>
    <col collapsed="false" customWidth="false" hidden="false" outlineLevel="0" max="1477" min="1477" style="70" width="42.57"/>
    <col collapsed="false" customWidth="true" hidden="false" outlineLevel="0" max="1478" min="1478" style="70" width="3.29"/>
    <col collapsed="false" customWidth="true" hidden="false" outlineLevel="0" max="1479" min="1479" style="70" width="8"/>
    <col collapsed="false" customWidth="false" hidden="false" outlineLevel="0" max="1480" min="1480" style="70" width="42.57"/>
    <col collapsed="false" customWidth="true" hidden="false" outlineLevel="0" max="1481" min="1481" style="70" width="3.29"/>
    <col collapsed="false" customWidth="true" hidden="false" outlineLevel="0" max="1482" min="1482" style="70" width="8"/>
    <col collapsed="false" customWidth="false" hidden="false" outlineLevel="0" max="1483" min="1483" style="70" width="42.57"/>
    <col collapsed="false" customWidth="true" hidden="false" outlineLevel="0" max="1484" min="1484" style="70" width="3.29"/>
    <col collapsed="false" customWidth="true" hidden="false" outlineLevel="0" max="1485" min="1485" style="70" width="8"/>
    <col collapsed="false" customWidth="false" hidden="false" outlineLevel="0" max="1486" min="1486" style="70" width="42.57"/>
    <col collapsed="false" customWidth="true" hidden="false" outlineLevel="0" max="1487" min="1487" style="70" width="3.29"/>
    <col collapsed="false" customWidth="true" hidden="false" outlineLevel="0" max="1488" min="1488" style="70" width="8"/>
    <col collapsed="false" customWidth="false" hidden="false" outlineLevel="0" max="1489" min="1489" style="70" width="42.57"/>
    <col collapsed="false" customWidth="true" hidden="false" outlineLevel="0" max="1490" min="1490" style="70" width="3.29"/>
    <col collapsed="false" customWidth="true" hidden="false" outlineLevel="0" max="1491" min="1491" style="70" width="8"/>
    <col collapsed="false" customWidth="false" hidden="false" outlineLevel="0" max="1492" min="1492" style="70" width="42.57"/>
    <col collapsed="false" customWidth="true" hidden="false" outlineLevel="0" max="1493" min="1493" style="70" width="3.29"/>
    <col collapsed="false" customWidth="true" hidden="false" outlineLevel="0" max="1494" min="1494" style="70" width="8"/>
    <col collapsed="false" customWidth="false" hidden="false" outlineLevel="0" max="1495" min="1495" style="70" width="42.57"/>
    <col collapsed="false" customWidth="true" hidden="false" outlineLevel="0" max="1496" min="1496" style="70" width="3.29"/>
    <col collapsed="false" customWidth="true" hidden="false" outlineLevel="0" max="1497" min="1497" style="70" width="8"/>
    <col collapsed="false" customWidth="false" hidden="false" outlineLevel="0" max="1498" min="1498" style="70" width="42.57"/>
    <col collapsed="false" customWidth="true" hidden="false" outlineLevel="0" max="1499" min="1499" style="70" width="3.29"/>
    <col collapsed="false" customWidth="true" hidden="false" outlineLevel="0" max="1500" min="1500" style="70" width="8"/>
    <col collapsed="false" customWidth="false" hidden="false" outlineLevel="0" max="1501" min="1501" style="70" width="42.57"/>
    <col collapsed="false" customWidth="true" hidden="false" outlineLevel="0" max="1502" min="1502" style="70" width="3.29"/>
    <col collapsed="false" customWidth="true" hidden="false" outlineLevel="0" max="1503" min="1503" style="70" width="8"/>
    <col collapsed="false" customWidth="false" hidden="false" outlineLevel="0" max="1504" min="1504" style="70" width="42.57"/>
    <col collapsed="false" customWidth="true" hidden="false" outlineLevel="0" max="1505" min="1505" style="70" width="3.29"/>
    <col collapsed="false" customWidth="true" hidden="false" outlineLevel="0" max="1506" min="1506" style="70" width="8"/>
    <col collapsed="false" customWidth="false" hidden="false" outlineLevel="0" max="1507" min="1507" style="70" width="42.57"/>
    <col collapsed="false" customWidth="true" hidden="false" outlineLevel="0" max="1508" min="1508" style="70" width="3.29"/>
    <col collapsed="false" customWidth="true" hidden="false" outlineLevel="0" max="1509" min="1509" style="70" width="8"/>
    <col collapsed="false" customWidth="false" hidden="false" outlineLevel="0" max="1510" min="1510" style="70" width="42.57"/>
    <col collapsed="false" customWidth="true" hidden="false" outlineLevel="0" max="1511" min="1511" style="70" width="3.29"/>
    <col collapsed="false" customWidth="true" hidden="false" outlineLevel="0" max="1512" min="1512" style="70" width="8"/>
    <col collapsed="false" customWidth="false" hidden="false" outlineLevel="0" max="1513" min="1513" style="70" width="42.57"/>
    <col collapsed="false" customWidth="true" hidden="false" outlineLevel="0" max="1514" min="1514" style="70" width="3.29"/>
    <col collapsed="false" customWidth="true" hidden="false" outlineLevel="0" max="1515" min="1515" style="70" width="8"/>
    <col collapsed="false" customWidth="false" hidden="false" outlineLevel="0" max="1516" min="1516" style="70" width="42.57"/>
    <col collapsed="false" customWidth="true" hidden="false" outlineLevel="0" max="1517" min="1517" style="70" width="3.29"/>
    <col collapsed="false" customWidth="true" hidden="false" outlineLevel="0" max="1518" min="1518" style="70" width="8"/>
    <col collapsed="false" customWidth="false" hidden="false" outlineLevel="0" max="1519" min="1519" style="70" width="42.57"/>
    <col collapsed="false" customWidth="true" hidden="false" outlineLevel="0" max="1520" min="1520" style="70" width="3.29"/>
    <col collapsed="false" customWidth="true" hidden="false" outlineLevel="0" max="1521" min="1521" style="70" width="8"/>
    <col collapsed="false" customWidth="false" hidden="false" outlineLevel="0" max="1522" min="1522" style="70" width="42.57"/>
    <col collapsed="false" customWidth="true" hidden="false" outlineLevel="0" max="1523" min="1523" style="70" width="3.29"/>
    <col collapsed="false" customWidth="true" hidden="false" outlineLevel="0" max="1524" min="1524" style="70" width="8"/>
    <col collapsed="false" customWidth="false" hidden="false" outlineLevel="0" max="1525" min="1525" style="70" width="42.57"/>
    <col collapsed="false" customWidth="true" hidden="false" outlineLevel="0" max="1526" min="1526" style="70" width="3.29"/>
    <col collapsed="false" customWidth="true" hidden="false" outlineLevel="0" max="1527" min="1527" style="70" width="8"/>
    <col collapsed="false" customWidth="false" hidden="false" outlineLevel="0" max="1528" min="1528" style="70" width="42.57"/>
    <col collapsed="false" customWidth="true" hidden="false" outlineLevel="0" max="1529" min="1529" style="70" width="3.29"/>
    <col collapsed="false" customWidth="true" hidden="false" outlineLevel="0" max="1530" min="1530" style="70" width="8"/>
    <col collapsed="false" customWidth="false" hidden="false" outlineLevel="0" max="1531" min="1531" style="70" width="42.57"/>
    <col collapsed="false" customWidth="true" hidden="false" outlineLevel="0" max="1532" min="1532" style="70" width="3.29"/>
    <col collapsed="false" customWidth="true" hidden="false" outlineLevel="0" max="1533" min="1533" style="70" width="8"/>
    <col collapsed="false" customWidth="false" hidden="false" outlineLevel="0" max="1534" min="1534" style="70" width="42.57"/>
    <col collapsed="false" customWidth="true" hidden="false" outlineLevel="0" max="1535" min="1535" style="70" width="3.29"/>
    <col collapsed="false" customWidth="true" hidden="false" outlineLevel="0" max="1536" min="1536" style="70" width="8"/>
    <col collapsed="false" customWidth="false" hidden="false" outlineLevel="0" max="1537" min="1537" style="70" width="42.57"/>
    <col collapsed="false" customWidth="true" hidden="false" outlineLevel="0" max="1538" min="1538" style="70" width="3.29"/>
    <col collapsed="false" customWidth="true" hidden="false" outlineLevel="0" max="1539" min="1539" style="70" width="8"/>
    <col collapsed="false" customWidth="false" hidden="false" outlineLevel="0" max="1540" min="1540" style="70" width="42.57"/>
    <col collapsed="false" customWidth="true" hidden="false" outlineLevel="0" max="1541" min="1541" style="70" width="3.29"/>
    <col collapsed="false" customWidth="true" hidden="false" outlineLevel="0" max="1542" min="1542" style="70" width="8"/>
    <col collapsed="false" customWidth="false" hidden="false" outlineLevel="0" max="1543" min="1543" style="70" width="42.57"/>
    <col collapsed="false" customWidth="true" hidden="false" outlineLevel="0" max="1544" min="1544" style="70" width="3.29"/>
    <col collapsed="false" customWidth="true" hidden="false" outlineLevel="0" max="1545" min="1545" style="70" width="8"/>
    <col collapsed="false" customWidth="false" hidden="false" outlineLevel="0" max="1546" min="1546" style="70" width="42.57"/>
    <col collapsed="false" customWidth="true" hidden="false" outlineLevel="0" max="1547" min="1547" style="70" width="3.29"/>
    <col collapsed="false" customWidth="true" hidden="false" outlineLevel="0" max="1548" min="1548" style="70" width="8"/>
    <col collapsed="false" customWidth="false" hidden="false" outlineLevel="0" max="1549" min="1549" style="70" width="42.57"/>
    <col collapsed="false" customWidth="true" hidden="false" outlineLevel="0" max="1550" min="1550" style="70" width="3.29"/>
    <col collapsed="false" customWidth="true" hidden="false" outlineLevel="0" max="1551" min="1551" style="70" width="8"/>
    <col collapsed="false" customWidth="false" hidden="false" outlineLevel="0" max="1552" min="1552" style="70" width="42.57"/>
    <col collapsed="false" customWidth="true" hidden="false" outlineLevel="0" max="1553" min="1553" style="70" width="3.29"/>
    <col collapsed="false" customWidth="true" hidden="false" outlineLevel="0" max="1554" min="1554" style="70" width="8"/>
    <col collapsed="false" customWidth="false" hidden="false" outlineLevel="0" max="1555" min="1555" style="70" width="42.57"/>
    <col collapsed="false" customWidth="true" hidden="false" outlineLevel="0" max="1556" min="1556" style="70" width="3.29"/>
    <col collapsed="false" customWidth="true" hidden="false" outlineLevel="0" max="1557" min="1557" style="70" width="8"/>
    <col collapsed="false" customWidth="false" hidden="false" outlineLevel="0" max="1558" min="1558" style="70" width="42.57"/>
    <col collapsed="false" customWidth="true" hidden="false" outlineLevel="0" max="1559" min="1559" style="70" width="3.29"/>
    <col collapsed="false" customWidth="true" hidden="false" outlineLevel="0" max="1560" min="1560" style="70" width="8"/>
    <col collapsed="false" customWidth="false" hidden="false" outlineLevel="0" max="1561" min="1561" style="70" width="42.57"/>
    <col collapsed="false" customWidth="true" hidden="false" outlineLevel="0" max="1562" min="1562" style="70" width="3.29"/>
    <col collapsed="false" customWidth="true" hidden="false" outlineLevel="0" max="1563" min="1563" style="70" width="8"/>
    <col collapsed="false" customWidth="false" hidden="false" outlineLevel="0" max="1564" min="1564" style="70" width="42.57"/>
    <col collapsed="false" customWidth="true" hidden="false" outlineLevel="0" max="1565" min="1565" style="70" width="3.29"/>
    <col collapsed="false" customWidth="true" hidden="false" outlineLevel="0" max="1566" min="1566" style="70" width="8"/>
    <col collapsed="false" customWidth="false" hidden="false" outlineLevel="0" max="1567" min="1567" style="70" width="42.57"/>
    <col collapsed="false" customWidth="true" hidden="false" outlineLevel="0" max="1568" min="1568" style="70" width="3.29"/>
    <col collapsed="false" customWidth="true" hidden="false" outlineLevel="0" max="1569" min="1569" style="70" width="8"/>
    <col collapsed="false" customWidth="false" hidden="false" outlineLevel="0" max="1570" min="1570" style="70" width="42.57"/>
    <col collapsed="false" customWidth="true" hidden="false" outlineLevel="0" max="1571" min="1571" style="70" width="3.29"/>
    <col collapsed="false" customWidth="true" hidden="false" outlineLevel="0" max="1572" min="1572" style="70" width="8"/>
    <col collapsed="false" customWidth="false" hidden="false" outlineLevel="0" max="1573" min="1573" style="70" width="42.57"/>
    <col collapsed="false" customWidth="true" hidden="false" outlineLevel="0" max="1574" min="1574" style="70" width="3.29"/>
    <col collapsed="false" customWidth="true" hidden="false" outlineLevel="0" max="1575" min="1575" style="70" width="8"/>
    <col collapsed="false" customWidth="false" hidden="false" outlineLevel="0" max="1576" min="1576" style="70" width="42.57"/>
    <col collapsed="false" customWidth="true" hidden="false" outlineLevel="0" max="1577" min="1577" style="70" width="3.29"/>
    <col collapsed="false" customWidth="true" hidden="false" outlineLevel="0" max="1578" min="1578" style="70" width="8"/>
    <col collapsed="false" customWidth="false" hidden="false" outlineLevel="0" max="1579" min="1579" style="70" width="42.57"/>
    <col collapsed="false" customWidth="true" hidden="false" outlineLevel="0" max="1580" min="1580" style="70" width="3.29"/>
    <col collapsed="false" customWidth="true" hidden="false" outlineLevel="0" max="1581" min="1581" style="70" width="8"/>
    <col collapsed="false" customWidth="false" hidden="false" outlineLevel="0" max="1582" min="1582" style="70" width="42.57"/>
    <col collapsed="false" customWidth="true" hidden="false" outlineLevel="0" max="1583" min="1583" style="70" width="3.29"/>
    <col collapsed="false" customWidth="true" hidden="false" outlineLevel="0" max="1584" min="1584" style="70" width="8"/>
    <col collapsed="false" customWidth="false" hidden="false" outlineLevel="0" max="1585" min="1585" style="70" width="42.57"/>
    <col collapsed="false" customWidth="true" hidden="false" outlineLevel="0" max="1586" min="1586" style="70" width="3.29"/>
    <col collapsed="false" customWidth="true" hidden="false" outlineLevel="0" max="1587" min="1587" style="70" width="8"/>
    <col collapsed="false" customWidth="false" hidden="false" outlineLevel="0" max="1588" min="1588" style="70" width="42.57"/>
    <col collapsed="false" customWidth="true" hidden="false" outlineLevel="0" max="1589" min="1589" style="70" width="3.29"/>
    <col collapsed="false" customWidth="true" hidden="false" outlineLevel="0" max="1590" min="1590" style="70" width="8"/>
    <col collapsed="false" customWidth="false" hidden="false" outlineLevel="0" max="1591" min="1591" style="70" width="42.57"/>
    <col collapsed="false" customWidth="true" hidden="false" outlineLevel="0" max="1592" min="1592" style="70" width="3.29"/>
    <col collapsed="false" customWidth="true" hidden="false" outlineLevel="0" max="1593" min="1593" style="70" width="8"/>
    <col collapsed="false" customWidth="false" hidden="false" outlineLevel="0" max="1594" min="1594" style="70" width="42.57"/>
    <col collapsed="false" customWidth="true" hidden="false" outlineLevel="0" max="1595" min="1595" style="70" width="3.29"/>
    <col collapsed="false" customWidth="true" hidden="false" outlineLevel="0" max="1596" min="1596" style="70" width="8"/>
    <col collapsed="false" customWidth="false" hidden="false" outlineLevel="0" max="1597" min="1597" style="70" width="42.57"/>
    <col collapsed="false" customWidth="true" hidden="false" outlineLevel="0" max="1598" min="1598" style="70" width="3.29"/>
    <col collapsed="false" customWidth="true" hidden="false" outlineLevel="0" max="1599" min="1599" style="70" width="8"/>
    <col collapsed="false" customWidth="false" hidden="false" outlineLevel="0" max="1600" min="1600" style="70" width="42.57"/>
    <col collapsed="false" customWidth="true" hidden="false" outlineLevel="0" max="1601" min="1601" style="70" width="3.29"/>
    <col collapsed="false" customWidth="true" hidden="false" outlineLevel="0" max="1602" min="1602" style="70" width="8"/>
    <col collapsed="false" customWidth="false" hidden="false" outlineLevel="0" max="1603" min="1603" style="70" width="42.57"/>
    <col collapsed="false" customWidth="true" hidden="false" outlineLevel="0" max="1604" min="1604" style="70" width="3.29"/>
    <col collapsed="false" customWidth="true" hidden="false" outlineLevel="0" max="1605" min="1605" style="70" width="8"/>
    <col collapsed="false" customWidth="false" hidden="false" outlineLevel="0" max="1606" min="1606" style="70" width="42.57"/>
    <col collapsed="false" customWidth="true" hidden="false" outlineLevel="0" max="1607" min="1607" style="70" width="3.29"/>
    <col collapsed="false" customWidth="true" hidden="false" outlineLevel="0" max="1608" min="1608" style="70" width="8"/>
    <col collapsed="false" customWidth="false" hidden="false" outlineLevel="0" max="1609" min="1609" style="70" width="42.57"/>
    <col collapsed="false" customWidth="true" hidden="false" outlineLevel="0" max="1610" min="1610" style="70" width="3.29"/>
    <col collapsed="false" customWidth="true" hidden="false" outlineLevel="0" max="1611" min="1611" style="70" width="8"/>
    <col collapsed="false" customWidth="false" hidden="false" outlineLevel="0" max="1612" min="1612" style="70" width="42.57"/>
    <col collapsed="false" customWidth="true" hidden="false" outlineLevel="0" max="1613" min="1613" style="70" width="3.29"/>
    <col collapsed="false" customWidth="true" hidden="false" outlineLevel="0" max="1614" min="1614" style="70" width="8"/>
    <col collapsed="false" customWidth="false" hidden="false" outlineLevel="0" max="1615" min="1615" style="70" width="42.57"/>
    <col collapsed="false" customWidth="true" hidden="false" outlineLevel="0" max="1616" min="1616" style="70" width="3.29"/>
    <col collapsed="false" customWidth="true" hidden="false" outlineLevel="0" max="1617" min="1617" style="70" width="8"/>
    <col collapsed="false" customWidth="false" hidden="false" outlineLevel="0" max="1618" min="1618" style="70" width="42.57"/>
    <col collapsed="false" customWidth="true" hidden="false" outlineLevel="0" max="1619" min="1619" style="70" width="3.29"/>
    <col collapsed="false" customWidth="true" hidden="false" outlineLevel="0" max="1620" min="1620" style="70" width="8"/>
    <col collapsed="false" customWidth="false" hidden="false" outlineLevel="0" max="1621" min="1621" style="70" width="42.57"/>
    <col collapsed="false" customWidth="true" hidden="false" outlineLevel="0" max="1622" min="1622" style="70" width="3.29"/>
    <col collapsed="false" customWidth="true" hidden="false" outlineLevel="0" max="1623" min="1623" style="70" width="8"/>
    <col collapsed="false" customWidth="false" hidden="false" outlineLevel="0" max="1624" min="1624" style="70" width="42.57"/>
    <col collapsed="false" customWidth="true" hidden="false" outlineLevel="0" max="1625" min="1625" style="70" width="3.29"/>
    <col collapsed="false" customWidth="true" hidden="false" outlineLevel="0" max="1626" min="1626" style="70" width="8"/>
    <col collapsed="false" customWidth="false" hidden="false" outlineLevel="0" max="1627" min="1627" style="70" width="42.57"/>
    <col collapsed="false" customWidth="true" hidden="false" outlineLevel="0" max="1628" min="1628" style="70" width="3.29"/>
    <col collapsed="false" customWidth="true" hidden="false" outlineLevel="0" max="1629" min="1629" style="70" width="8"/>
    <col collapsed="false" customWidth="false" hidden="false" outlineLevel="0" max="1630" min="1630" style="70" width="42.57"/>
    <col collapsed="false" customWidth="true" hidden="false" outlineLevel="0" max="1631" min="1631" style="70" width="3.29"/>
    <col collapsed="false" customWidth="true" hidden="false" outlineLevel="0" max="1632" min="1632" style="70" width="8"/>
    <col collapsed="false" customWidth="false" hidden="false" outlineLevel="0" max="1633" min="1633" style="70" width="42.57"/>
    <col collapsed="false" customWidth="true" hidden="false" outlineLevel="0" max="1634" min="1634" style="70" width="3.29"/>
    <col collapsed="false" customWidth="true" hidden="false" outlineLevel="0" max="1635" min="1635" style="70" width="8"/>
    <col collapsed="false" customWidth="false" hidden="false" outlineLevel="0" max="1636" min="1636" style="70" width="42.57"/>
    <col collapsed="false" customWidth="true" hidden="false" outlineLevel="0" max="1637" min="1637" style="70" width="3.29"/>
    <col collapsed="false" customWidth="true" hidden="false" outlineLevel="0" max="1638" min="1638" style="70" width="8"/>
    <col collapsed="false" customWidth="false" hidden="false" outlineLevel="0" max="1639" min="1639" style="70" width="42.57"/>
    <col collapsed="false" customWidth="true" hidden="false" outlineLevel="0" max="1640" min="1640" style="70" width="3.29"/>
    <col collapsed="false" customWidth="true" hidden="false" outlineLevel="0" max="1641" min="1641" style="70" width="8"/>
    <col collapsed="false" customWidth="false" hidden="false" outlineLevel="0" max="1642" min="1642" style="70" width="42.57"/>
    <col collapsed="false" customWidth="true" hidden="false" outlineLevel="0" max="1643" min="1643" style="70" width="3.29"/>
    <col collapsed="false" customWidth="true" hidden="false" outlineLevel="0" max="1644" min="1644" style="70" width="8"/>
    <col collapsed="false" customWidth="false" hidden="false" outlineLevel="0" max="1645" min="1645" style="70" width="42.57"/>
    <col collapsed="false" customWidth="true" hidden="false" outlineLevel="0" max="1646" min="1646" style="70" width="3.29"/>
    <col collapsed="false" customWidth="true" hidden="false" outlineLevel="0" max="1647" min="1647" style="70" width="8"/>
    <col collapsed="false" customWidth="false" hidden="false" outlineLevel="0" max="1648" min="1648" style="70" width="42.57"/>
    <col collapsed="false" customWidth="true" hidden="false" outlineLevel="0" max="1649" min="1649" style="70" width="3.29"/>
    <col collapsed="false" customWidth="true" hidden="false" outlineLevel="0" max="1650" min="1650" style="70" width="8"/>
    <col collapsed="false" customWidth="false" hidden="false" outlineLevel="0" max="1651" min="1651" style="70" width="42.57"/>
    <col collapsed="false" customWidth="true" hidden="false" outlineLevel="0" max="1652" min="1652" style="70" width="3.29"/>
    <col collapsed="false" customWidth="true" hidden="false" outlineLevel="0" max="1653" min="1653" style="70" width="8"/>
    <col collapsed="false" customWidth="false" hidden="false" outlineLevel="0" max="1654" min="1654" style="70" width="42.57"/>
    <col collapsed="false" customWidth="true" hidden="false" outlineLevel="0" max="1655" min="1655" style="70" width="3.29"/>
    <col collapsed="false" customWidth="true" hidden="false" outlineLevel="0" max="1656" min="1656" style="70" width="8"/>
    <col collapsed="false" customWidth="false" hidden="false" outlineLevel="0" max="1657" min="1657" style="70" width="42.57"/>
    <col collapsed="false" customWidth="true" hidden="false" outlineLevel="0" max="1658" min="1658" style="70" width="3.29"/>
    <col collapsed="false" customWidth="true" hidden="false" outlineLevel="0" max="1659" min="1659" style="70" width="8"/>
    <col collapsed="false" customWidth="false" hidden="false" outlineLevel="0" max="1660" min="1660" style="70" width="42.57"/>
    <col collapsed="false" customWidth="true" hidden="false" outlineLevel="0" max="1661" min="1661" style="70" width="3.29"/>
    <col collapsed="false" customWidth="true" hidden="false" outlineLevel="0" max="1662" min="1662" style="70" width="8"/>
    <col collapsed="false" customWidth="false" hidden="false" outlineLevel="0" max="1663" min="1663" style="70" width="42.57"/>
    <col collapsed="false" customWidth="true" hidden="false" outlineLevel="0" max="1664" min="1664" style="70" width="3.29"/>
    <col collapsed="false" customWidth="true" hidden="false" outlineLevel="0" max="1665" min="1665" style="70" width="8"/>
    <col collapsed="false" customWidth="false" hidden="false" outlineLevel="0" max="1666" min="1666" style="70" width="42.57"/>
    <col collapsed="false" customWidth="true" hidden="false" outlineLevel="0" max="1667" min="1667" style="70" width="3.29"/>
    <col collapsed="false" customWidth="true" hidden="false" outlineLevel="0" max="1668" min="1668" style="70" width="8"/>
    <col collapsed="false" customWidth="false" hidden="false" outlineLevel="0" max="1669" min="1669" style="70" width="42.57"/>
    <col collapsed="false" customWidth="true" hidden="false" outlineLevel="0" max="1670" min="1670" style="70" width="3.29"/>
    <col collapsed="false" customWidth="true" hidden="false" outlineLevel="0" max="1671" min="1671" style="70" width="8"/>
    <col collapsed="false" customWidth="false" hidden="false" outlineLevel="0" max="1672" min="1672" style="70" width="42.57"/>
    <col collapsed="false" customWidth="true" hidden="false" outlineLevel="0" max="1673" min="1673" style="70" width="3.29"/>
    <col collapsed="false" customWidth="true" hidden="false" outlineLevel="0" max="1674" min="1674" style="70" width="8"/>
    <col collapsed="false" customWidth="false" hidden="false" outlineLevel="0" max="1675" min="1675" style="70" width="42.57"/>
    <col collapsed="false" customWidth="true" hidden="false" outlineLevel="0" max="1676" min="1676" style="70" width="3.29"/>
    <col collapsed="false" customWidth="true" hidden="false" outlineLevel="0" max="1677" min="1677" style="70" width="8"/>
    <col collapsed="false" customWidth="false" hidden="false" outlineLevel="0" max="1678" min="1678" style="70" width="42.57"/>
    <col collapsed="false" customWidth="true" hidden="false" outlineLevel="0" max="1679" min="1679" style="70" width="3.29"/>
    <col collapsed="false" customWidth="true" hidden="false" outlineLevel="0" max="1680" min="1680" style="70" width="8"/>
    <col collapsed="false" customWidth="false" hidden="false" outlineLevel="0" max="1681" min="1681" style="70" width="42.57"/>
    <col collapsed="false" customWidth="true" hidden="false" outlineLevel="0" max="1682" min="1682" style="70" width="3.29"/>
    <col collapsed="false" customWidth="true" hidden="false" outlineLevel="0" max="1683" min="1683" style="70" width="8"/>
    <col collapsed="false" customWidth="false" hidden="false" outlineLevel="0" max="1684" min="1684" style="70" width="42.57"/>
    <col collapsed="false" customWidth="true" hidden="false" outlineLevel="0" max="1685" min="1685" style="70" width="3.29"/>
    <col collapsed="false" customWidth="true" hidden="false" outlineLevel="0" max="1686" min="1686" style="70" width="8"/>
    <col collapsed="false" customWidth="false" hidden="false" outlineLevel="0" max="1687" min="1687" style="70" width="42.57"/>
    <col collapsed="false" customWidth="true" hidden="false" outlineLevel="0" max="1688" min="1688" style="70" width="3.29"/>
    <col collapsed="false" customWidth="true" hidden="false" outlineLevel="0" max="1689" min="1689" style="70" width="8"/>
    <col collapsed="false" customWidth="false" hidden="false" outlineLevel="0" max="1690" min="1690" style="70" width="42.57"/>
    <col collapsed="false" customWidth="true" hidden="false" outlineLevel="0" max="1691" min="1691" style="70" width="3.29"/>
    <col collapsed="false" customWidth="true" hidden="false" outlineLevel="0" max="1692" min="1692" style="70" width="8"/>
    <col collapsed="false" customWidth="false" hidden="false" outlineLevel="0" max="1693" min="1693" style="70" width="42.57"/>
    <col collapsed="false" customWidth="true" hidden="false" outlineLevel="0" max="1694" min="1694" style="70" width="3.29"/>
    <col collapsed="false" customWidth="true" hidden="false" outlineLevel="0" max="1695" min="1695" style="70" width="8"/>
    <col collapsed="false" customWidth="false" hidden="false" outlineLevel="0" max="1696" min="1696" style="70" width="42.57"/>
    <col collapsed="false" customWidth="true" hidden="false" outlineLevel="0" max="1697" min="1697" style="70" width="3.29"/>
    <col collapsed="false" customWidth="true" hidden="false" outlineLevel="0" max="1698" min="1698" style="70" width="8"/>
    <col collapsed="false" customWidth="false" hidden="false" outlineLevel="0" max="1699" min="1699" style="70" width="42.57"/>
    <col collapsed="false" customWidth="true" hidden="false" outlineLevel="0" max="1700" min="1700" style="70" width="3.29"/>
    <col collapsed="false" customWidth="true" hidden="false" outlineLevel="0" max="1701" min="1701" style="70" width="8"/>
    <col collapsed="false" customWidth="false" hidden="false" outlineLevel="0" max="1702" min="1702" style="70" width="42.57"/>
    <col collapsed="false" customWidth="true" hidden="false" outlineLevel="0" max="1703" min="1703" style="70" width="3.29"/>
    <col collapsed="false" customWidth="true" hidden="false" outlineLevel="0" max="1704" min="1704" style="70" width="8"/>
    <col collapsed="false" customWidth="false" hidden="false" outlineLevel="0" max="1705" min="1705" style="70" width="42.57"/>
    <col collapsed="false" customWidth="true" hidden="false" outlineLevel="0" max="1706" min="1706" style="70" width="3.29"/>
    <col collapsed="false" customWidth="true" hidden="false" outlineLevel="0" max="1707" min="1707" style="70" width="8"/>
    <col collapsed="false" customWidth="false" hidden="false" outlineLevel="0" max="1708" min="1708" style="70" width="42.57"/>
    <col collapsed="false" customWidth="true" hidden="false" outlineLevel="0" max="1709" min="1709" style="70" width="3.29"/>
    <col collapsed="false" customWidth="true" hidden="false" outlineLevel="0" max="1710" min="1710" style="70" width="8"/>
    <col collapsed="false" customWidth="false" hidden="false" outlineLevel="0" max="1711" min="1711" style="70" width="42.57"/>
    <col collapsed="false" customWidth="true" hidden="false" outlineLevel="0" max="1712" min="1712" style="70" width="3.29"/>
    <col collapsed="false" customWidth="true" hidden="false" outlineLevel="0" max="1713" min="1713" style="70" width="8"/>
    <col collapsed="false" customWidth="false" hidden="false" outlineLevel="0" max="1714" min="1714" style="70" width="42.57"/>
    <col collapsed="false" customWidth="true" hidden="false" outlineLevel="0" max="1715" min="1715" style="70" width="3.29"/>
    <col collapsed="false" customWidth="true" hidden="false" outlineLevel="0" max="1716" min="1716" style="70" width="8"/>
    <col collapsed="false" customWidth="false" hidden="false" outlineLevel="0" max="1717" min="1717" style="70" width="42.57"/>
    <col collapsed="false" customWidth="true" hidden="false" outlineLevel="0" max="1718" min="1718" style="70" width="3.29"/>
    <col collapsed="false" customWidth="true" hidden="false" outlineLevel="0" max="1719" min="1719" style="70" width="8"/>
    <col collapsed="false" customWidth="false" hidden="false" outlineLevel="0" max="1720" min="1720" style="70" width="42.57"/>
    <col collapsed="false" customWidth="true" hidden="false" outlineLevel="0" max="1721" min="1721" style="70" width="3.29"/>
    <col collapsed="false" customWidth="true" hidden="false" outlineLevel="0" max="1722" min="1722" style="70" width="8"/>
    <col collapsed="false" customWidth="false" hidden="false" outlineLevel="0" max="1723" min="1723" style="70" width="42.57"/>
    <col collapsed="false" customWidth="true" hidden="false" outlineLevel="0" max="1724" min="1724" style="70" width="3.29"/>
    <col collapsed="false" customWidth="true" hidden="false" outlineLevel="0" max="1725" min="1725" style="70" width="8"/>
    <col collapsed="false" customWidth="false" hidden="false" outlineLevel="0" max="1726" min="1726" style="70" width="42.57"/>
    <col collapsed="false" customWidth="true" hidden="false" outlineLevel="0" max="1727" min="1727" style="70" width="3.29"/>
    <col collapsed="false" customWidth="true" hidden="false" outlineLevel="0" max="1728" min="1728" style="70" width="8"/>
    <col collapsed="false" customWidth="false" hidden="false" outlineLevel="0" max="1729" min="1729" style="70" width="42.57"/>
    <col collapsed="false" customWidth="true" hidden="false" outlineLevel="0" max="1730" min="1730" style="70" width="3.29"/>
    <col collapsed="false" customWidth="true" hidden="false" outlineLevel="0" max="1731" min="1731" style="70" width="8"/>
    <col collapsed="false" customWidth="false" hidden="false" outlineLevel="0" max="1732" min="1732" style="70" width="42.57"/>
    <col collapsed="false" customWidth="true" hidden="false" outlineLevel="0" max="1733" min="1733" style="70" width="3.29"/>
    <col collapsed="false" customWidth="true" hidden="false" outlineLevel="0" max="1734" min="1734" style="70" width="8"/>
    <col collapsed="false" customWidth="false" hidden="false" outlineLevel="0" max="1735" min="1735" style="70" width="42.57"/>
    <col collapsed="false" customWidth="true" hidden="false" outlineLevel="0" max="1736" min="1736" style="70" width="3.29"/>
    <col collapsed="false" customWidth="true" hidden="false" outlineLevel="0" max="1737" min="1737" style="70" width="8"/>
    <col collapsed="false" customWidth="false" hidden="false" outlineLevel="0" max="1738" min="1738" style="70" width="42.57"/>
    <col collapsed="false" customWidth="true" hidden="false" outlineLevel="0" max="1739" min="1739" style="70" width="3.29"/>
    <col collapsed="false" customWidth="true" hidden="false" outlineLevel="0" max="1740" min="1740" style="70" width="8"/>
    <col collapsed="false" customWidth="false" hidden="false" outlineLevel="0" max="1741" min="1741" style="70" width="42.57"/>
    <col collapsed="false" customWidth="true" hidden="false" outlineLevel="0" max="1742" min="1742" style="70" width="3.29"/>
    <col collapsed="false" customWidth="true" hidden="false" outlineLevel="0" max="1743" min="1743" style="70" width="8"/>
    <col collapsed="false" customWidth="false" hidden="false" outlineLevel="0" max="1744" min="1744" style="70" width="42.57"/>
    <col collapsed="false" customWidth="true" hidden="false" outlineLevel="0" max="1745" min="1745" style="70" width="3.29"/>
    <col collapsed="false" customWidth="true" hidden="false" outlineLevel="0" max="1746" min="1746" style="70" width="8"/>
    <col collapsed="false" customWidth="false" hidden="false" outlineLevel="0" max="1747" min="1747" style="70" width="42.57"/>
    <col collapsed="false" customWidth="true" hidden="false" outlineLevel="0" max="1748" min="1748" style="70" width="3.29"/>
    <col collapsed="false" customWidth="true" hidden="false" outlineLevel="0" max="1749" min="1749" style="70" width="8"/>
    <col collapsed="false" customWidth="false" hidden="false" outlineLevel="0" max="1750" min="1750" style="70" width="42.57"/>
    <col collapsed="false" customWidth="true" hidden="false" outlineLevel="0" max="1751" min="1751" style="70" width="3.29"/>
    <col collapsed="false" customWidth="true" hidden="false" outlineLevel="0" max="1752" min="1752" style="70" width="8"/>
    <col collapsed="false" customWidth="false" hidden="false" outlineLevel="0" max="1753" min="1753" style="70" width="42.57"/>
    <col collapsed="false" customWidth="true" hidden="false" outlineLevel="0" max="1754" min="1754" style="70" width="3.29"/>
    <col collapsed="false" customWidth="true" hidden="false" outlineLevel="0" max="1755" min="1755" style="70" width="8"/>
    <col collapsed="false" customWidth="false" hidden="false" outlineLevel="0" max="1756" min="1756" style="70" width="42.57"/>
    <col collapsed="false" customWidth="true" hidden="false" outlineLevel="0" max="1757" min="1757" style="70" width="3.29"/>
    <col collapsed="false" customWidth="true" hidden="false" outlineLevel="0" max="1758" min="1758" style="70" width="8"/>
    <col collapsed="false" customWidth="false" hidden="false" outlineLevel="0" max="1759" min="1759" style="70" width="42.57"/>
    <col collapsed="false" customWidth="true" hidden="false" outlineLevel="0" max="1760" min="1760" style="70" width="3.29"/>
    <col collapsed="false" customWidth="true" hidden="false" outlineLevel="0" max="1761" min="1761" style="70" width="8"/>
    <col collapsed="false" customWidth="false" hidden="false" outlineLevel="0" max="1762" min="1762" style="70" width="42.57"/>
    <col collapsed="false" customWidth="true" hidden="false" outlineLevel="0" max="1763" min="1763" style="70" width="3.29"/>
    <col collapsed="false" customWidth="true" hidden="false" outlineLevel="0" max="1764" min="1764" style="70" width="8"/>
    <col collapsed="false" customWidth="false" hidden="false" outlineLevel="0" max="1765" min="1765" style="70" width="42.57"/>
    <col collapsed="false" customWidth="true" hidden="false" outlineLevel="0" max="1766" min="1766" style="70" width="3.29"/>
    <col collapsed="false" customWidth="true" hidden="false" outlineLevel="0" max="1767" min="1767" style="70" width="8"/>
    <col collapsed="false" customWidth="false" hidden="false" outlineLevel="0" max="1768" min="1768" style="70" width="42.57"/>
    <col collapsed="false" customWidth="true" hidden="false" outlineLevel="0" max="1769" min="1769" style="70" width="3.29"/>
    <col collapsed="false" customWidth="true" hidden="false" outlineLevel="0" max="1770" min="1770" style="70" width="8"/>
    <col collapsed="false" customWidth="false" hidden="false" outlineLevel="0" max="1771" min="1771" style="70" width="42.57"/>
    <col collapsed="false" customWidth="true" hidden="false" outlineLevel="0" max="1772" min="1772" style="70" width="3.29"/>
    <col collapsed="false" customWidth="true" hidden="false" outlineLevel="0" max="1773" min="1773" style="70" width="8"/>
    <col collapsed="false" customWidth="false" hidden="false" outlineLevel="0" max="1774" min="1774" style="70" width="42.57"/>
    <col collapsed="false" customWidth="true" hidden="false" outlineLevel="0" max="1775" min="1775" style="70" width="3.29"/>
    <col collapsed="false" customWidth="true" hidden="false" outlineLevel="0" max="1776" min="1776" style="70" width="8"/>
    <col collapsed="false" customWidth="false" hidden="false" outlineLevel="0" max="1777" min="1777" style="70" width="42.57"/>
    <col collapsed="false" customWidth="true" hidden="false" outlineLevel="0" max="1778" min="1778" style="70" width="3.29"/>
    <col collapsed="false" customWidth="true" hidden="false" outlineLevel="0" max="1779" min="1779" style="70" width="8"/>
    <col collapsed="false" customWidth="false" hidden="false" outlineLevel="0" max="1780" min="1780" style="70" width="42.57"/>
    <col collapsed="false" customWidth="true" hidden="false" outlineLevel="0" max="1781" min="1781" style="70" width="3.29"/>
    <col collapsed="false" customWidth="true" hidden="false" outlineLevel="0" max="1782" min="1782" style="70" width="8"/>
    <col collapsed="false" customWidth="false" hidden="false" outlineLevel="0" max="1783" min="1783" style="70" width="42.57"/>
    <col collapsed="false" customWidth="true" hidden="false" outlineLevel="0" max="1784" min="1784" style="70" width="3.29"/>
    <col collapsed="false" customWidth="true" hidden="false" outlineLevel="0" max="1785" min="1785" style="70" width="8"/>
    <col collapsed="false" customWidth="false" hidden="false" outlineLevel="0" max="1786" min="1786" style="70" width="42.57"/>
    <col collapsed="false" customWidth="true" hidden="false" outlineLevel="0" max="1787" min="1787" style="70" width="3.29"/>
    <col collapsed="false" customWidth="true" hidden="false" outlineLevel="0" max="1788" min="1788" style="70" width="8"/>
    <col collapsed="false" customWidth="false" hidden="false" outlineLevel="0" max="1789" min="1789" style="70" width="42.57"/>
    <col collapsed="false" customWidth="true" hidden="false" outlineLevel="0" max="1790" min="1790" style="70" width="3.29"/>
    <col collapsed="false" customWidth="true" hidden="false" outlineLevel="0" max="1791" min="1791" style="70" width="8"/>
    <col collapsed="false" customWidth="false" hidden="false" outlineLevel="0" max="1792" min="1792" style="70" width="42.57"/>
    <col collapsed="false" customWidth="true" hidden="false" outlineLevel="0" max="1793" min="1793" style="70" width="3.29"/>
    <col collapsed="false" customWidth="true" hidden="false" outlineLevel="0" max="1794" min="1794" style="70" width="8"/>
    <col collapsed="false" customWidth="false" hidden="false" outlineLevel="0" max="1795" min="1795" style="70" width="42.57"/>
    <col collapsed="false" customWidth="true" hidden="false" outlineLevel="0" max="1796" min="1796" style="70" width="3.29"/>
    <col collapsed="false" customWidth="true" hidden="false" outlineLevel="0" max="1797" min="1797" style="70" width="8"/>
    <col collapsed="false" customWidth="false" hidden="false" outlineLevel="0" max="1798" min="1798" style="70" width="42.57"/>
    <col collapsed="false" customWidth="true" hidden="false" outlineLevel="0" max="1799" min="1799" style="70" width="3.29"/>
    <col collapsed="false" customWidth="true" hidden="false" outlineLevel="0" max="1800" min="1800" style="70" width="8"/>
    <col collapsed="false" customWidth="false" hidden="false" outlineLevel="0" max="1801" min="1801" style="70" width="42.57"/>
    <col collapsed="false" customWidth="true" hidden="false" outlineLevel="0" max="1802" min="1802" style="70" width="3.29"/>
    <col collapsed="false" customWidth="true" hidden="false" outlineLevel="0" max="1803" min="1803" style="70" width="8"/>
    <col collapsed="false" customWidth="false" hidden="false" outlineLevel="0" max="1804" min="1804" style="70" width="42.57"/>
    <col collapsed="false" customWidth="true" hidden="false" outlineLevel="0" max="1805" min="1805" style="70" width="3.29"/>
    <col collapsed="false" customWidth="true" hidden="false" outlineLevel="0" max="1806" min="1806" style="70" width="8"/>
    <col collapsed="false" customWidth="false" hidden="false" outlineLevel="0" max="1807" min="1807" style="70" width="42.57"/>
    <col collapsed="false" customWidth="true" hidden="false" outlineLevel="0" max="1808" min="1808" style="70" width="3.29"/>
    <col collapsed="false" customWidth="true" hidden="false" outlineLevel="0" max="1809" min="1809" style="70" width="8"/>
    <col collapsed="false" customWidth="false" hidden="false" outlineLevel="0" max="1810" min="1810" style="70" width="42.57"/>
    <col collapsed="false" customWidth="true" hidden="false" outlineLevel="0" max="1811" min="1811" style="70" width="3.29"/>
    <col collapsed="false" customWidth="true" hidden="false" outlineLevel="0" max="1812" min="1812" style="70" width="8"/>
    <col collapsed="false" customWidth="false" hidden="false" outlineLevel="0" max="1813" min="1813" style="70" width="42.57"/>
    <col collapsed="false" customWidth="true" hidden="false" outlineLevel="0" max="1814" min="1814" style="70" width="3.29"/>
    <col collapsed="false" customWidth="true" hidden="false" outlineLevel="0" max="1815" min="1815" style="70" width="8"/>
    <col collapsed="false" customWidth="false" hidden="false" outlineLevel="0" max="1816" min="1816" style="70" width="42.57"/>
    <col collapsed="false" customWidth="true" hidden="false" outlineLevel="0" max="1817" min="1817" style="70" width="3.29"/>
    <col collapsed="false" customWidth="true" hidden="false" outlineLevel="0" max="1818" min="1818" style="70" width="8"/>
    <col collapsed="false" customWidth="false" hidden="false" outlineLevel="0" max="1819" min="1819" style="70" width="42.57"/>
    <col collapsed="false" customWidth="true" hidden="false" outlineLevel="0" max="1820" min="1820" style="70" width="3.29"/>
    <col collapsed="false" customWidth="true" hidden="false" outlineLevel="0" max="1821" min="1821" style="70" width="8"/>
    <col collapsed="false" customWidth="false" hidden="false" outlineLevel="0" max="1822" min="1822" style="70" width="42.57"/>
    <col collapsed="false" customWidth="true" hidden="false" outlineLevel="0" max="1823" min="1823" style="70" width="3.29"/>
    <col collapsed="false" customWidth="true" hidden="false" outlineLevel="0" max="1824" min="1824" style="70" width="8"/>
    <col collapsed="false" customWidth="false" hidden="false" outlineLevel="0" max="1825" min="1825" style="70" width="42.57"/>
    <col collapsed="false" customWidth="true" hidden="false" outlineLevel="0" max="1826" min="1826" style="70" width="3.29"/>
    <col collapsed="false" customWidth="true" hidden="false" outlineLevel="0" max="1827" min="1827" style="70" width="8"/>
    <col collapsed="false" customWidth="false" hidden="false" outlineLevel="0" max="1828" min="1828" style="70" width="42.57"/>
    <col collapsed="false" customWidth="true" hidden="false" outlineLevel="0" max="1829" min="1829" style="70" width="3.29"/>
    <col collapsed="false" customWidth="true" hidden="false" outlineLevel="0" max="1830" min="1830" style="70" width="8"/>
    <col collapsed="false" customWidth="false" hidden="false" outlineLevel="0" max="1831" min="1831" style="70" width="42.57"/>
    <col collapsed="false" customWidth="true" hidden="false" outlineLevel="0" max="1832" min="1832" style="70" width="3.29"/>
    <col collapsed="false" customWidth="true" hidden="false" outlineLevel="0" max="1833" min="1833" style="70" width="8"/>
    <col collapsed="false" customWidth="false" hidden="false" outlineLevel="0" max="1834" min="1834" style="70" width="42.57"/>
    <col collapsed="false" customWidth="true" hidden="false" outlineLevel="0" max="1835" min="1835" style="70" width="3.29"/>
    <col collapsed="false" customWidth="true" hidden="false" outlineLevel="0" max="1836" min="1836" style="70" width="8"/>
    <col collapsed="false" customWidth="false" hidden="false" outlineLevel="0" max="1837" min="1837" style="70" width="42.57"/>
    <col collapsed="false" customWidth="true" hidden="false" outlineLevel="0" max="1838" min="1838" style="70" width="3.29"/>
    <col collapsed="false" customWidth="true" hidden="false" outlineLevel="0" max="1839" min="1839" style="70" width="8"/>
    <col collapsed="false" customWidth="false" hidden="false" outlineLevel="0" max="1840" min="1840" style="70" width="42.57"/>
    <col collapsed="false" customWidth="true" hidden="false" outlineLevel="0" max="1841" min="1841" style="70" width="3.29"/>
    <col collapsed="false" customWidth="true" hidden="false" outlineLevel="0" max="1842" min="1842" style="70" width="8"/>
    <col collapsed="false" customWidth="false" hidden="false" outlineLevel="0" max="1843" min="1843" style="70" width="42.57"/>
    <col collapsed="false" customWidth="true" hidden="false" outlineLevel="0" max="1844" min="1844" style="70" width="3.29"/>
    <col collapsed="false" customWidth="true" hidden="false" outlineLevel="0" max="1845" min="1845" style="70" width="8"/>
    <col collapsed="false" customWidth="false" hidden="false" outlineLevel="0" max="1846" min="1846" style="70" width="42.57"/>
    <col collapsed="false" customWidth="true" hidden="false" outlineLevel="0" max="1847" min="1847" style="70" width="3.29"/>
    <col collapsed="false" customWidth="true" hidden="false" outlineLevel="0" max="1848" min="1848" style="70" width="8"/>
    <col collapsed="false" customWidth="false" hidden="false" outlineLevel="0" max="1849" min="1849" style="70" width="42.57"/>
    <col collapsed="false" customWidth="true" hidden="false" outlineLevel="0" max="1850" min="1850" style="70" width="3.29"/>
    <col collapsed="false" customWidth="true" hidden="false" outlineLevel="0" max="1851" min="1851" style="70" width="8"/>
    <col collapsed="false" customWidth="false" hidden="false" outlineLevel="0" max="1852" min="1852" style="70" width="42.57"/>
    <col collapsed="false" customWidth="true" hidden="false" outlineLevel="0" max="1853" min="1853" style="70" width="3.29"/>
    <col collapsed="false" customWidth="true" hidden="false" outlineLevel="0" max="1854" min="1854" style="70" width="8"/>
    <col collapsed="false" customWidth="false" hidden="false" outlineLevel="0" max="1855" min="1855" style="70" width="42.57"/>
    <col collapsed="false" customWidth="true" hidden="false" outlineLevel="0" max="1856" min="1856" style="70" width="3.29"/>
    <col collapsed="false" customWidth="true" hidden="false" outlineLevel="0" max="1857" min="1857" style="70" width="8"/>
    <col collapsed="false" customWidth="false" hidden="false" outlineLevel="0" max="1858" min="1858" style="70" width="42.57"/>
    <col collapsed="false" customWidth="true" hidden="false" outlineLevel="0" max="1859" min="1859" style="70" width="3.29"/>
    <col collapsed="false" customWidth="true" hidden="false" outlineLevel="0" max="1860" min="1860" style="70" width="8"/>
    <col collapsed="false" customWidth="false" hidden="false" outlineLevel="0" max="1861" min="1861" style="70" width="42.57"/>
    <col collapsed="false" customWidth="true" hidden="false" outlineLevel="0" max="1862" min="1862" style="70" width="3.29"/>
    <col collapsed="false" customWidth="true" hidden="false" outlineLevel="0" max="1863" min="1863" style="70" width="8"/>
    <col collapsed="false" customWidth="false" hidden="false" outlineLevel="0" max="1864" min="1864" style="70" width="42.57"/>
    <col collapsed="false" customWidth="true" hidden="false" outlineLevel="0" max="1865" min="1865" style="70" width="3.29"/>
    <col collapsed="false" customWidth="true" hidden="false" outlineLevel="0" max="1866" min="1866" style="70" width="8"/>
    <col collapsed="false" customWidth="false" hidden="false" outlineLevel="0" max="1867" min="1867" style="70" width="42.57"/>
    <col collapsed="false" customWidth="true" hidden="false" outlineLevel="0" max="1868" min="1868" style="70" width="3.29"/>
    <col collapsed="false" customWidth="true" hidden="false" outlineLevel="0" max="1869" min="1869" style="70" width="8"/>
    <col collapsed="false" customWidth="false" hidden="false" outlineLevel="0" max="1870" min="1870" style="70" width="42.57"/>
    <col collapsed="false" customWidth="true" hidden="false" outlineLevel="0" max="1871" min="1871" style="70" width="3.29"/>
    <col collapsed="false" customWidth="true" hidden="false" outlineLevel="0" max="1872" min="1872" style="70" width="8"/>
    <col collapsed="false" customWidth="false" hidden="false" outlineLevel="0" max="1873" min="1873" style="70" width="42.57"/>
    <col collapsed="false" customWidth="true" hidden="false" outlineLevel="0" max="1874" min="1874" style="70" width="3.29"/>
    <col collapsed="false" customWidth="true" hidden="false" outlineLevel="0" max="1875" min="1875" style="70" width="8"/>
    <col collapsed="false" customWidth="false" hidden="false" outlineLevel="0" max="1876" min="1876" style="70" width="42.57"/>
    <col collapsed="false" customWidth="true" hidden="false" outlineLevel="0" max="1877" min="1877" style="70" width="3.29"/>
    <col collapsed="false" customWidth="true" hidden="false" outlineLevel="0" max="1878" min="1878" style="70" width="8"/>
    <col collapsed="false" customWidth="false" hidden="false" outlineLevel="0" max="1879" min="1879" style="70" width="42.57"/>
    <col collapsed="false" customWidth="true" hidden="false" outlineLevel="0" max="1880" min="1880" style="70" width="3.29"/>
    <col collapsed="false" customWidth="true" hidden="false" outlineLevel="0" max="1881" min="1881" style="70" width="8"/>
    <col collapsed="false" customWidth="false" hidden="false" outlineLevel="0" max="1882" min="1882" style="70" width="42.57"/>
    <col collapsed="false" customWidth="true" hidden="false" outlineLevel="0" max="1883" min="1883" style="70" width="3.29"/>
    <col collapsed="false" customWidth="true" hidden="false" outlineLevel="0" max="1884" min="1884" style="70" width="8"/>
    <col collapsed="false" customWidth="false" hidden="false" outlineLevel="0" max="1885" min="1885" style="70" width="42.57"/>
    <col collapsed="false" customWidth="true" hidden="false" outlineLevel="0" max="1886" min="1886" style="70" width="3.29"/>
    <col collapsed="false" customWidth="true" hidden="false" outlineLevel="0" max="1887" min="1887" style="70" width="8"/>
    <col collapsed="false" customWidth="false" hidden="false" outlineLevel="0" max="1888" min="1888" style="70" width="42.57"/>
    <col collapsed="false" customWidth="true" hidden="false" outlineLevel="0" max="1889" min="1889" style="70" width="3.29"/>
    <col collapsed="false" customWidth="true" hidden="false" outlineLevel="0" max="1890" min="1890" style="70" width="8"/>
    <col collapsed="false" customWidth="false" hidden="false" outlineLevel="0" max="1891" min="1891" style="70" width="42.57"/>
    <col collapsed="false" customWidth="true" hidden="false" outlineLevel="0" max="1892" min="1892" style="70" width="3.29"/>
    <col collapsed="false" customWidth="true" hidden="false" outlineLevel="0" max="1893" min="1893" style="70" width="8"/>
    <col collapsed="false" customWidth="false" hidden="false" outlineLevel="0" max="1894" min="1894" style="70" width="42.57"/>
    <col collapsed="false" customWidth="true" hidden="false" outlineLevel="0" max="1895" min="1895" style="70" width="3.29"/>
    <col collapsed="false" customWidth="true" hidden="false" outlineLevel="0" max="1896" min="1896" style="70" width="8"/>
    <col collapsed="false" customWidth="false" hidden="false" outlineLevel="0" max="1897" min="1897" style="70" width="42.57"/>
    <col collapsed="false" customWidth="true" hidden="false" outlineLevel="0" max="1898" min="1898" style="70" width="3.29"/>
    <col collapsed="false" customWidth="true" hidden="false" outlineLevel="0" max="1899" min="1899" style="70" width="8"/>
    <col collapsed="false" customWidth="false" hidden="false" outlineLevel="0" max="1900" min="1900" style="70" width="42.57"/>
    <col collapsed="false" customWidth="true" hidden="false" outlineLevel="0" max="1901" min="1901" style="70" width="3.29"/>
    <col collapsed="false" customWidth="true" hidden="false" outlineLevel="0" max="1902" min="1902" style="70" width="8"/>
    <col collapsed="false" customWidth="false" hidden="false" outlineLevel="0" max="1903" min="1903" style="70" width="42.57"/>
    <col collapsed="false" customWidth="true" hidden="false" outlineLevel="0" max="1904" min="1904" style="70" width="3.29"/>
    <col collapsed="false" customWidth="true" hidden="false" outlineLevel="0" max="1905" min="1905" style="70" width="8"/>
    <col collapsed="false" customWidth="false" hidden="false" outlineLevel="0" max="1906" min="1906" style="70" width="42.57"/>
    <col collapsed="false" customWidth="true" hidden="false" outlineLevel="0" max="1907" min="1907" style="70" width="3.29"/>
    <col collapsed="false" customWidth="true" hidden="false" outlineLevel="0" max="1908" min="1908" style="70" width="8"/>
    <col collapsed="false" customWidth="false" hidden="false" outlineLevel="0" max="1909" min="1909" style="70" width="42.57"/>
    <col collapsed="false" customWidth="true" hidden="false" outlineLevel="0" max="1910" min="1910" style="70" width="3.29"/>
    <col collapsed="false" customWidth="true" hidden="false" outlineLevel="0" max="1911" min="1911" style="70" width="8"/>
    <col collapsed="false" customWidth="false" hidden="false" outlineLevel="0" max="1912" min="1912" style="70" width="42.57"/>
    <col collapsed="false" customWidth="true" hidden="false" outlineLevel="0" max="1913" min="1913" style="70" width="3.29"/>
    <col collapsed="false" customWidth="true" hidden="false" outlineLevel="0" max="1914" min="1914" style="70" width="8"/>
    <col collapsed="false" customWidth="false" hidden="false" outlineLevel="0" max="1915" min="1915" style="70" width="42.57"/>
    <col collapsed="false" customWidth="true" hidden="false" outlineLevel="0" max="1916" min="1916" style="70" width="3.29"/>
    <col collapsed="false" customWidth="true" hidden="false" outlineLevel="0" max="1917" min="1917" style="70" width="8"/>
    <col collapsed="false" customWidth="false" hidden="false" outlineLevel="0" max="1918" min="1918" style="70" width="42.57"/>
    <col collapsed="false" customWidth="true" hidden="false" outlineLevel="0" max="1919" min="1919" style="70" width="3.29"/>
    <col collapsed="false" customWidth="true" hidden="false" outlineLevel="0" max="1920" min="1920" style="70" width="8"/>
    <col collapsed="false" customWidth="false" hidden="false" outlineLevel="0" max="1921" min="1921" style="70" width="42.57"/>
    <col collapsed="false" customWidth="true" hidden="false" outlineLevel="0" max="1922" min="1922" style="70" width="3.29"/>
    <col collapsed="false" customWidth="true" hidden="false" outlineLevel="0" max="1923" min="1923" style="70" width="8"/>
    <col collapsed="false" customWidth="false" hidden="false" outlineLevel="0" max="1924" min="1924" style="70" width="42.57"/>
    <col collapsed="false" customWidth="true" hidden="false" outlineLevel="0" max="1925" min="1925" style="70" width="3.29"/>
    <col collapsed="false" customWidth="true" hidden="false" outlineLevel="0" max="1926" min="1926" style="70" width="8"/>
    <col collapsed="false" customWidth="false" hidden="false" outlineLevel="0" max="1927" min="1927" style="70" width="42.57"/>
    <col collapsed="false" customWidth="true" hidden="false" outlineLevel="0" max="1928" min="1928" style="70" width="3.29"/>
    <col collapsed="false" customWidth="true" hidden="false" outlineLevel="0" max="1929" min="1929" style="70" width="8"/>
    <col collapsed="false" customWidth="false" hidden="false" outlineLevel="0" max="1930" min="1930" style="70" width="42.57"/>
    <col collapsed="false" customWidth="true" hidden="false" outlineLevel="0" max="1931" min="1931" style="70" width="3.29"/>
    <col collapsed="false" customWidth="true" hidden="false" outlineLevel="0" max="1932" min="1932" style="70" width="8"/>
    <col collapsed="false" customWidth="false" hidden="false" outlineLevel="0" max="1933" min="1933" style="70" width="42.57"/>
    <col collapsed="false" customWidth="true" hidden="false" outlineLevel="0" max="1934" min="1934" style="70" width="3.29"/>
    <col collapsed="false" customWidth="true" hidden="false" outlineLevel="0" max="1935" min="1935" style="70" width="8"/>
    <col collapsed="false" customWidth="false" hidden="false" outlineLevel="0" max="1936" min="1936" style="70" width="42.57"/>
    <col collapsed="false" customWidth="true" hidden="false" outlineLevel="0" max="1937" min="1937" style="70" width="3.29"/>
    <col collapsed="false" customWidth="true" hidden="false" outlineLevel="0" max="1938" min="1938" style="70" width="8"/>
    <col collapsed="false" customWidth="false" hidden="false" outlineLevel="0" max="1939" min="1939" style="70" width="42.57"/>
    <col collapsed="false" customWidth="true" hidden="false" outlineLevel="0" max="1940" min="1940" style="70" width="3.29"/>
    <col collapsed="false" customWidth="true" hidden="false" outlineLevel="0" max="1941" min="1941" style="70" width="8"/>
    <col collapsed="false" customWidth="false" hidden="false" outlineLevel="0" max="1942" min="1942" style="70" width="42.57"/>
    <col collapsed="false" customWidth="true" hidden="false" outlineLevel="0" max="1943" min="1943" style="70" width="3.29"/>
    <col collapsed="false" customWidth="true" hidden="false" outlineLevel="0" max="1944" min="1944" style="70" width="8"/>
    <col collapsed="false" customWidth="false" hidden="false" outlineLevel="0" max="1945" min="1945" style="70" width="42.57"/>
    <col collapsed="false" customWidth="true" hidden="false" outlineLevel="0" max="1946" min="1946" style="70" width="3.29"/>
    <col collapsed="false" customWidth="true" hidden="false" outlineLevel="0" max="1947" min="1947" style="70" width="8"/>
    <col collapsed="false" customWidth="false" hidden="false" outlineLevel="0" max="1948" min="1948" style="70" width="42.57"/>
    <col collapsed="false" customWidth="true" hidden="false" outlineLevel="0" max="1949" min="1949" style="70" width="3.29"/>
    <col collapsed="false" customWidth="true" hidden="false" outlineLevel="0" max="1950" min="1950" style="70" width="8"/>
    <col collapsed="false" customWidth="false" hidden="false" outlineLevel="0" max="1951" min="1951" style="70" width="42.57"/>
    <col collapsed="false" customWidth="true" hidden="false" outlineLevel="0" max="1952" min="1952" style="70" width="3.29"/>
    <col collapsed="false" customWidth="true" hidden="false" outlineLevel="0" max="1953" min="1953" style="70" width="8"/>
    <col collapsed="false" customWidth="false" hidden="false" outlineLevel="0" max="1954" min="1954" style="70" width="42.57"/>
    <col collapsed="false" customWidth="true" hidden="false" outlineLevel="0" max="1955" min="1955" style="70" width="3.29"/>
    <col collapsed="false" customWidth="true" hidden="false" outlineLevel="0" max="1956" min="1956" style="70" width="8"/>
    <col collapsed="false" customWidth="false" hidden="false" outlineLevel="0" max="1957" min="1957" style="70" width="42.57"/>
    <col collapsed="false" customWidth="true" hidden="false" outlineLevel="0" max="1958" min="1958" style="70" width="3.29"/>
    <col collapsed="false" customWidth="true" hidden="false" outlineLevel="0" max="1959" min="1959" style="70" width="8"/>
    <col collapsed="false" customWidth="false" hidden="false" outlineLevel="0" max="1960" min="1960" style="70" width="42.57"/>
    <col collapsed="false" customWidth="true" hidden="false" outlineLevel="0" max="1961" min="1961" style="70" width="3.29"/>
    <col collapsed="false" customWidth="true" hidden="false" outlineLevel="0" max="1962" min="1962" style="70" width="8"/>
    <col collapsed="false" customWidth="false" hidden="false" outlineLevel="0" max="1963" min="1963" style="70" width="42.57"/>
    <col collapsed="false" customWidth="true" hidden="false" outlineLevel="0" max="1964" min="1964" style="70" width="3.29"/>
    <col collapsed="false" customWidth="true" hidden="false" outlineLevel="0" max="1965" min="1965" style="70" width="8"/>
    <col collapsed="false" customWidth="false" hidden="false" outlineLevel="0" max="1966" min="1966" style="70" width="42.57"/>
    <col collapsed="false" customWidth="true" hidden="false" outlineLevel="0" max="1967" min="1967" style="70" width="3.29"/>
    <col collapsed="false" customWidth="true" hidden="false" outlineLevel="0" max="1968" min="1968" style="70" width="8"/>
    <col collapsed="false" customWidth="false" hidden="false" outlineLevel="0" max="1969" min="1969" style="70" width="42.57"/>
    <col collapsed="false" customWidth="true" hidden="false" outlineLevel="0" max="1970" min="1970" style="70" width="3.29"/>
    <col collapsed="false" customWidth="true" hidden="false" outlineLevel="0" max="1971" min="1971" style="70" width="8"/>
    <col collapsed="false" customWidth="false" hidden="false" outlineLevel="0" max="1972" min="1972" style="70" width="42.57"/>
    <col collapsed="false" customWidth="true" hidden="false" outlineLevel="0" max="1973" min="1973" style="70" width="3.29"/>
    <col collapsed="false" customWidth="true" hidden="false" outlineLevel="0" max="1974" min="1974" style="70" width="8"/>
    <col collapsed="false" customWidth="false" hidden="false" outlineLevel="0" max="1975" min="1975" style="70" width="42.57"/>
    <col collapsed="false" customWidth="true" hidden="false" outlineLevel="0" max="1976" min="1976" style="70" width="3.29"/>
    <col collapsed="false" customWidth="true" hidden="false" outlineLevel="0" max="1977" min="1977" style="70" width="8"/>
    <col collapsed="false" customWidth="false" hidden="false" outlineLevel="0" max="1978" min="1978" style="70" width="42.57"/>
    <col collapsed="false" customWidth="true" hidden="false" outlineLevel="0" max="1979" min="1979" style="70" width="3.29"/>
    <col collapsed="false" customWidth="true" hidden="false" outlineLevel="0" max="1980" min="1980" style="70" width="8"/>
    <col collapsed="false" customWidth="false" hidden="false" outlineLevel="0" max="1981" min="1981" style="70" width="42.57"/>
    <col collapsed="false" customWidth="true" hidden="false" outlineLevel="0" max="1982" min="1982" style="70" width="3.29"/>
    <col collapsed="false" customWidth="true" hidden="false" outlineLevel="0" max="1983" min="1983" style="70" width="8"/>
    <col collapsed="false" customWidth="false" hidden="false" outlineLevel="0" max="1984" min="1984" style="70" width="42.57"/>
    <col collapsed="false" customWidth="true" hidden="false" outlineLevel="0" max="1985" min="1985" style="70" width="3.29"/>
    <col collapsed="false" customWidth="true" hidden="false" outlineLevel="0" max="1986" min="1986" style="70" width="8"/>
    <col collapsed="false" customWidth="false" hidden="false" outlineLevel="0" max="1987" min="1987" style="70" width="42.57"/>
    <col collapsed="false" customWidth="true" hidden="false" outlineLevel="0" max="1988" min="1988" style="70" width="3.29"/>
    <col collapsed="false" customWidth="true" hidden="false" outlineLevel="0" max="1989" min="1989" style="70" width="8"/>
    <col collapsed="false" customWidth="false" hidden="false" outlineLevel="0" max="1990" min="1990" style="70" width="42.57"/>
    <col collapsed="false" customWidth="true" hidden="false" outlineLevel="0" max="1991" min="1991" style="70" width="3.29"/>
    <col collapsed="false" customWidth="true" hidden="false" outlineLevel="0" max="1992" min="1992" style="70" width="8"/>
    <col collapsed="false" customWidth="false" hidden="false" outlineLevel="0" max="1993" min="1993" style="70" width="42.57"/>
    <col collapsed="false" customWidth="true" hidden="false" outlineLevel="0" max="1994" min="1994" style="70" width="3.29"/>
    <col collapsed="false" customWidth="true" hidden="false" outlineLevel="0" max="1995" min="1995" style="70" width="8"/>
    <col collapsed="false" customWidth="false" hidden="false" outlineLevel="0" max="1996" min="1996" style="70" width="42.57"/>
    <col collapsed="false" customWidth="true" hidden="false" outlineLevel="0" max="1997" min="1997" style="70" width="3.29"/>
    <col collapsed="false" customWidth="true" hidden="false" outlineLevel="0" max="1998" min="1998" style="70" width="8"/>
    <col collapsed="false" customWidth="false" hidden="false" outlineLevel="0" max="1999" min="1999" style="70" width="42.57"/>
    <col collapsed="false" customWidth="true" hidden="false" outlineLevel="0" max="2000" min="2000" style="70" width="3.29"/>
    <col collapsed="false" customWidth="true" hidden="false" outlineLevel="0" max="2001" min="2001" style="70" width="8"/>
    <col collapsed="false" customWidth="false" hidden="false" outlineLevel="0" max="2002" min="2002" style="70" width="42.57"/>
    <col collapsed="false" customWidth="true" hidden="false" outlineLevel="0" max="2003" min="2003" style="70" width="3.29"/>
    <col collapsed="false" customWidth="true" hidden="false" outlineLevel="0" max="2004" min="2004" style="70" width="8"/>
    <col collapsed="false" customWidth="false" hidden="false" outlineLevel="0" max="2005" min="2005" style="70" width="42.57"/>
    <col collapsed="false" customWidth="true" hidden="false" outlineLevel="0" max="2006" min="2006" style="70" width="3.29"/>
    <col collapsed="false" customWidth="true" hidden="false" outlineLevel="0" max="2007" min="2007" style="70" width="8"/>
    <col collapsed="false" customWidth="false" hidden="false" outlineLevel="0" max="2008" min="2008" style="70" width="42.57"/>
    <col collapsed="false" customWidth="true" hidden="false" outlineLevel="0" max="2009" min="2009" style="70" width="3.29"/>
    <col collapsed="false" customWidth="true" hidden="false" outlineLevel="0" max="2010" min="2010" style="70" width="8"/>
    <col collapsed="false" customWidth="false" hidden="false" outlineLevel="0" max="2011" min="2011" style="70" width="42.57"/>
    <col collapsed="false" customWidth="true" hidden="false" outlineLevel="0" max="2012" min="2012" style="70" width="3.29"/>
    <col collapsed="false" customWidth="true" hidden="false" outlineLevel="0" max="2013" min="2013" style="70" width="8"/>
    <col collapsed="false" customWidth="false" hidden="false" outlineLevel="0" max="2014" min="2014" style="70" width="42.57"/>
    <col collapsed="false" customWidth="true" hidden="false" outlineLevel="0" max="2015" min="2015" style="70" width="3.29"/>
    <col collapsed="false" customWidth="true" hidden="false" outlineLevel="0" max="2016" min="2016" style="70" width="8"/>
    <col collapsed="false" customWidth="false" hidden="false" outlineLevel="0" max="2017" min="2017" style="70" width="42.57"/>
    <col collapsed="false" customWidth="true" hidden="false" outlineLevel="0" max="2018" min="2018" style="70" width="3.29"/>
    <col collapsed="false" customWidth="true" hidden="false" outlineLevel="0" max="2019" min="2019" style="70" width="8"/>
    <col collapsed="false" customWidth="false" hidden="false" outlineLevel="0" max="2020" min="2020" style="70" width="42.57"/>
    <col collapsed="false" customWidth="true" hidden="false" outlineLevel="0" max="2021" min="2021" style="70" width="3.29"/>
    <col collapsed="false" customWidth="true" hidden="false" outlineLevel="0" max="2022" min="2022" style="70" width="8"/>
    <col collapsed="false" customWidth="false" hidden="false" outlineLevel="0" max="2023" min="2023" style="70" width="42.57"/>
    <col collapsed="false" customWidth="true" hidden="false" outlineLevel="0" max="2024" min="2024" style="70" width="3.29"/>
    <col collapsed="false" customWidth="true" hidden="false" outlineLevel="0" max="2025" min="2025" style="70" width="8"/>
    <col collapsed="false" customWidth="false" hidden="false" outlineLevel="0" max="2026" min="2026" style="70" width="42.57"/>
    <col collapsed="false" customWidth="true" hidden="false" outlineLevel="0" max="2027" min="2027" style="70" width="3.29"/>
    <col collapsed="false" customWidth="true" hidden="false" outlineLevel="0" max="2028" min="2028" style="70" width="8"/>
    <col collapsed="false" customWidth="false" hidden="false" outlineLevel="0" max="2029" min="2029" style="70" width="42.57"/>
    <col collapsed="false" customWidth="true" hidden="false" outlineLevel="0" max="2030" min="2030" style="70" width="3.29"/>
    <col collapsed="false" customWidth="true" hidden="false" outlineLevel="0" max="2031" min="2031" style="70" width="8"/>
    <col collapsed="false" customWidth="false" hidden="false" outlineLevel="0" max="2032" min="2032" style="70" width="42.57"/>
    <col collapsed="false" customWidth="true" hidden="false" outlineLevel="0" max="2033" min="2033" style="70" width="3.29"/>
    <col collapsed="false" customWidth="true" hidden="false" outlineLevel="0" max="2034" min="2034" style="70" width="8"/>
    <col collapsed="false" customWidth="false" hidden="false" outlineLevel="0" max="2035" min="2035" style="70" width="42.57"/>
    <col collapsed="false" customWidth="true" hidden="false" outlineLevel="0" max="2036" min="2036" style="70" width="3.29"/>
    <col collapsed="false" customWidth="true" hidden="false" outlineLevel="0" max="2037" min="2037" style="70" width="8"/>
    <col collapsed="false" customWidth="false" hidden="false" outlineLevel="0" max="2038" min="2038" style="70" width="42.57"/>
    <col collapsed="false" customWidth="true" hidden="false" outlineLevel="0" max="2039" min="2039" style="70" width="3.29"/>
    <col collapsed="false" customWidth="true" hidden="false" outlineLevel="0" max="2040" min="2040" style="70" width="8"/>
    <col collapsed="false" customWidth="false" hidden="false" outlineLevel="0" max="2041" min="2041" style="70" width="42.57"/>
    <col collapsed="false" customWidth="true" hidden="false" outlineLevel="0" max="2042" min="2042" style="70" width="3.29"/>
    <col collapsed="false" customWidth="true" hidden="false" outlineLevel="0" max="2043" min="2043" style="70" width="8"/>
    <col collapsed="false" customWidth="false" hidden="false" outlineLevel="0" max="2044" min="2044" style="70" width="42.57"/>
    <col collapsed="false" customWidth="true" hidden="false" outlineLevel="0" max="2045" min="2045" style="70" width="3.29"/>
    <col collapsed="false" customWidth="true" hidden="false" outlineLevel="0" max="2046" min="2046" style="70" width="8"/>
    <col collapsed="false" customWidth="false" hidden="false" outlineLevel="0" max="2047" min="2047" style="70" width="42.57"/>
    <col collapsed="false" customWidth="true" hidden="false" outlineLevel="0" max="2048" min="2048" style="70" width="3.29"/>
    <col collapsed="false" customWidth="true" hidden="false" outlineLevel="0" max="2049" min="2049" style="70" width="8"/>
    <col collapsed="false" customWidth="false" hidden="false" outlineLevel="0" max="2050" min="2050" style="70" width="42.57"/>
    <col collapsed="false" customWidth="true" hidden="false" outlineLevel="0" max="2051" min="2051" style="70" width="3.29"/>
    <col collapsed="false" customWidth="true" hidden="false" outlineLevel="0" max="2052" min="2052" style="70" width="8"/>
    <col collapsed="false" customWidth="false" hidden="false" outlineLevel="0" max="2053" min="2053" style="70" width="42.57"/>
    <col collapsed="false" customWidth="true" hidden="false" outlineLevel="0" max="2054" min="2054" style="70" width="3.29"/>
    <col collapsed="false" customWidth="true" hidden="false" outlineLevel="0" max="2055" min="2055" style="70" width="8"/>
    <col collapsed="false" customWidth="false" hidden="false" outlineLevel="0" max="2056" min="2056" style="70" width="42.57"/>
    <col collapsed="false" customWidth="true" hidden="false" outlineLevel="0" max="2057" min="2057" style="70" width="3.29"/>
    <col collapsed="false" customWidth="true" hidden="false" outlineLevel="0" max="2058" min="2058" style="70" width="8"/>
    <col collapsed="false" customWidth="false" hidden="false" outlineLevel="0" max="2059" min="2059" style="70" width="42.57"/>
    <col collapsed="false" customWidth="true" hidden="false" outlineLevel="0" max="2060" min="2060" style="70" width="3.29"/>
    <col collapsed="false" customWidth="true" hidden="false" outlineLevel="0" max="2061" min="2061" style="70" width="8"/>
    <col collapsed="false" customWidth="false" hidden="false" outlineLevel="0" max="2062" min="2062" style="70" width="42.57"/>
    <col collapsed="false" customWidth="true" hidden="false" outlineLevel="0" max="2063" min="2063" style="70" width="3.29"/>
    <col collapsed="false" customWidth="true" hidden="false" outlineLevel="0" max="2064" min="2064" style="70" width="8"/>
    <col collapsed="false" customWidth="false" hidden="false" outlineLevel="0" max="2065" min="2065" style="70" width="42.57"/>
    <col collapsed="false" customWidth="true" hidden="false" outlineLevel="0" max="2066" min="2066" style="70" width="3.29"/>
    <col collapsed="false" customWidth="true" hidden="false" outlineLevel="0" max="2067" min="2067" style="70" width="8"/>
    <col collapsed="false" customWidth="false" hidden="false" outlineLevel="0" max="2068" min="2068" style="70" width="42.57"/>
    <col collapsed="false" customWidth="true" hidden="false" outlineLevel="0" max="2069" min="2069" style="70" width="3.29"/>
    <col collapsed="false" customWidth="true" hidden="false" outlineLevel="0" max="2070" min="2070" style="70" width="8"/>
    <col collapsed="false" customWidth="false" hidden="false" outlineLevel="0" max="2071" min="2071" style="70" width="42.57"/>
    <col collapsed="false" customWidth="true" hidden="false" outlineLevel="0" max="2072" min="2072" style="70" width="3.29"/>
    <col collapsed="false" customWidth="true" hidden="false" outlineLevel="0" max="2073" min="2073" style="70" width="8"/>
    <col collapsed="false" customWidth="false" hidden="false" outlineLevel="0" max="2074" min="2074" style="70" width="42.57"/>
    <col collapsed="false" customWidth="true" hidden="false" outlineLevel="0" max="2075" min="2075" style="70" width="3.29"/>
    <col collapsed="false" customWidth="true" hidden="false" outlineLevel="0" max="2076" min="2076" style="70" width="8"/>
    <col collapsed="false" customWidth="false" hidden="false" outlineLevel="0" max="2077" min="2077" style="70" width="42.57"/>
    <col collapsed="false" customWidth="true" hidden="false" outlineLevel="0" max="2078" min="2078" style="70" width="3.29"/>
    <col collapsed="false" customWidth="true" hidden="false" outlineLevel="0" max="2079" min="2079" style="70" width="8"/>
    <col collapsed="false" customWidth="false" hidden="false" outlineLevel="0" max="2080" min="2080" style="70" width="42.57"/>
    <col collapsed="false" customWidth="true" hidden="false" outlineLevel="0" max="2081" min="2081" style="70" width="3.29"/>
    <col collapsed="false" customWidth="true" hidden="false" outlineLevel="0" max="2082" min="2082" style="70" width="8"/>
    <col collapsed="false" customWidth="false" hidden="false" outlineLevel="0" max="2083" min="2083" style="70" width="42.57"/>
    <col collapsed="false" customWidth="true" hidden="false" outlineLevel="0" max="2084" min="2084" style="70" width="3.29"/>
    <col collapsed="false" customWidth="true" hidden="false" outlineLevel="0" max="2085" min="2085" style="70" width="8"/>
    <col collapsed="false" customWidth="false" hidden="false" outlineLevel="0" max="2086" min="2086" style="70" width="42.57"/>
    <col collapsed="false" customWidth="true" hidden="false" outlineLevel="0" max="2087" min="2087" style="70" width="3.29"/>
    <col collapsed="false" customWidth="true" hidden="false" outlineLevel="0" max="2088" min="2088" style="70" width="8"/>
    <col collapsed="false" customWidth="false" hidden="false" outlineLevel="0" max="2089" min="2089" style="70" width="42.57"/>
    <col collapsed="false" customWidth="true" hidden="false" outlineLevel="0" max="2090" min="2090" style="70" width="3.29"/>
    <col collapsed="false" customWidth="true" hidden="false" outlineLevel="0" max="2091" min="2091" style="70" width="8"/>
    <col collapsed="false" customWidth="false" hidden="false" outlineLevel="0" max="2092" min="2092" style="70" width="42.57"/>
    <col collapsed="false" customWidth="true" hidden="false" outlineLevel="0" max="2093" min="2093" style="70" width="3.29"/>
    <col collapsed="false" customWidth="true" hidden="false" outlineLevel="0" max="2094" min="2094" style="70" width="8"/>
    <col collapsed="false" customWidth="false" hidden="false" outlineLevel="0" max="2095" min="2095" style="70" width="42.57"/>
    <col collapsed="false" customWidth="true" hidden="false" outlineLevel="0" max="2096" min="2096" style="70" width="3.29"/>
    <col collapsed="false" customWidth="true" hidden="false" outlineLevel="0" max="2097" min="2097" style="70" width="8"/>
    <col collapsed="false" customWidth="false" hidden="false" outlineLevel="0" max="2098" min="2098" style="70" width="42.57"/>
    <col collapsed="false" customWidth="true" hidden="false" outlineLevel="0" max="2099" min="2099" style="70" width="3.29"/>
    <col collapsed="false" customWidth="true" hidden="false" outlineLevel="0" max="2100" min="2100" style="70" width="8"/>
    <col collapsed="false" customWidth="false" hidden="false" outlineLevel="0" max="2101" min="2101" style="70" width="42.57"/>
    <col collapsed="false" customWidth="true" hidden="false" outlineLevel="0" max="2102" min="2102" style="70" width="3.29"/>
    <col collapsed="false" customWidth="true" hidden="false" outlineLevel="0" max="2103" min="2103" style="70" width="8"/>
    <col collapsed="false" customWidth="false" hidden="false" outlineLevel="0" max="2104" min="2104" style="70" width="42.57"/>
    <col collapsed="false" customWidth="true" hidden="false" outlineLevel="0" max="2105" min="2105" style="70" width="3.29"/>
    <col collapsed="false" customWidth="true" hidden="false" outlineLevel="0" max="2106" min="2106" style="70" width="8"/>
    <col collapsed="false" customWidth="false" hidden="false" outlineLevel="0" max="2107" min="2107" style="70" width="42.57"/>
    <col collapsed="false" customWidth="true" hidden="false" outlineLevel="0" max="2108" min="2108" style="70" width="3.29"/>
    <col collapsed="false" customWidth="true" hidden="false" outlineLevel="0" max="2109" min="2109" style="70" width="8"/>
    <col collapsed="false" customWidth="false" hidden="false" outlineLevel="0" max="2110" min="2110" style="70" width="42.57"/>
    <col collapsed="false" customWidth="true" hidden="false" outlineLevel="0" max="2111" min="2111" style="70" width="3.29"/>
    <col collapsed="false" customWidth="true" hidden="false" outlineLevel="0" max="2112" min="2112" style="70" width="8"/>
    <col collapsed="false" customWidth="false" hidden="false" outlineLevel="0" max="2113" min="2113" style="70" width="42.57"/>
    <col collapsed="false" customWidth="true" hidden="false" outlineLevel="0" max="2114" min="2114" style="70" width="3.29"/>
    <col collapsed="false" customWidth="true" hidden="false" outlineLevel="0" max="2115" min="2115" style="70" width="8"/>
    <col collapsed="false" customWidth="false" hidden="false" outlineLevel="0" max="2116" min="2116" style="70" width="42.57"/>
    <col collapsed="false" customWidth="true" hidden="false" outlineLevel="0" max="2117" min="2117" style="70" width="3.29"/>
    <col collapsed="false" customWidth="true" hidden="false" outlineLevel="0" max="2118" min="2118" style="70" width="8"/>
    <col collapsed="false" customWidth="false" hidden="false" outlineLevel="0" max="2119" min="2119" style="70" width="42.57"/>
    <col collapsed="false" customWidth="true" hidden="false" outlineLevel="0" max="2120" min="2120" style="70" width="3.29"/>
    <col collapsed="false" customWidth="true" hidden="false" outlineLevel="0" max="2121" min="2121" style="70" width="8"/>
    <col collapsed="false" customWidth="false" hidden="false" outlineLevel="0" max="2122" min="2122" style="70" width="42.57"/>
    <col collapsed="false" customWidth="true" hidden="false" outlineLevel="0" max="2123" min="2123" style="70" width="3.29"/>
    <col collapsed="false" customWidth="true" hidden="false" outlineLevel="0" max="2124" min="2124" style="70" width="8"/>
    <col collapsed="false" customWidth="false" hidden="false" outlineLevel="0" max="2125" min="2125" style="70" width="42.57"/>
    <col collapsed="false" customWidth="true" hidden="false" outlineLevel="0" max="2126" min="2126" style="70" width="3.29"/>
    <col collapsed="false" customWidth="true" hidden="false" outlineLevel="0" max="2127" min="2127" style="70" width="8"/>
    <col collapsed="false" customWidth="false" hidden="false" outlineLevel="0" max="2128" min="2128" style="70" width="42.57"/>
    <col collapsed="false" customWidth="true" hidden="false" outlineLevel="0" max="2129" min="2129" style="70" width="3.29"/>
    <col collapsed="false" customWidth="true" hidden="false" outlineLevel="0" max="2130" min="2130" style="70" width="8"/>
    <col collapsed="false" customWidth="false" hidden="false" outlineLevel="0" max="2131" min="2131" style="70" width="42.57"/>
    <col collapsed="false" customWidth="true" hidden="false" outlineLevel="0" max="2132" min="2132" style="70" width="3.29"/>
    <col collapsed="false" customWidth="true" hidden="false" outlineLevel="0" max="2133" min="2133" style="70" width="8"/>
    <col collapsed="false" customWidth="false" hidden="false" outlineLevel="0" max="2134" min="2134" style="70" width="42.57"/>
    <col collapsed="false" customWidth="true" hidden="false" outlineLevel="0" max="2135" min="2135" style="70" width="3.29"/>
    <col collapsed="false" customWidth="true" hidden="false" outlineLevel="0" max="2136" min="2136" style="70" width="8"/>
    <col collapsed="false" customWidth="false" hidden="false" outlineLevel="0" max="2137" min="2137" style="70" width="42.57"/>
    <col collapsed="false" customWidth="true" hidden="false" outlineLevel="0" max="2138" min="2138" style="70" width="3.29"/>
    <col collapsed="false" customWidth="true" hidden="false" outlineLevel="0" max="2139" min="2139" style="70" width="8"/>
    <col collapsed="false" customWidth="false" hidden="false" outlineLevel="0" max="2140" min="2140" style="70" width="42.57"/>
    <col collapsed="false" customWidth="true" hidden="false" outlineLevel="0" max="2141" min="2141" style="70" width="3.29"/>
    <col collapsed="false" customWidth="true" hidden="false" outlineLevel="0" max="2142" min="2142" style="70" width="8"/>
    <col collapsed="false" customWidth="false" hidden="false" outlineLevel="0" max="2143" min="2143" style="70" width="42.57"/>
    <col collapsed="false" customWidth="true" hidden="false" outlineLevel="0" max="2144" min="2144" style="70" width="3.29"/>
    <col collapsed="false" customWidth="true" hidden="false" outlineLevel="0" max="2145" min="2145" style="70" width="8"/>
    <col collapsed="false" customWidth="false" hidden="false" outlineLevel="0" max="2146" min="2146" style="70" width="42.57"/>
    <col collapsed="false" customWidth="true" hidden="false" outlineLevel="0" max="2147" min="2147" style="70" width="3.29"/>
    <col collapsed="false" customWidth="true" hidden="false" outlineLevel="0" max="2148" min="2148" style="70" width="8"/>
    <col collapsed="false" customWidth="false" hidden="false" outlineLevel="0" max="2149" min="2149" style="70" width="42.57"/>
    <col collapsed="false" customWidth="true" hidden="false" outlineLevel="0" max="2150" min="2150" style="70" width="3.29"/>
    <col collapsed="false" customWidth="true" hidden="false" outlineLevel="0" max="2151" min="2151" style="70" width="8"/>
    <col collapsed="false" customWidth="false" hidden="false" outlineLevel="0" max="2152" min="2152" style="70" width="42.57"/>
    <col collapsed="false" customWidth="true" hidden="false" outlineLevel="0" max="2153" min="2153" style="70" width="3.29"/>
    <col collapsed="false" customWidth="true" hidden="false" outlineLevel="0" max="2154" min="2154" style="70" width="8"/>
    <col collapsed="false" customWidth="false" hidden="false" outlineLevel="0" max="2155" min="2155" style="70" width="42.57"/>
    <col collapsed="false" customWidth="true" hidden="false" outlineLevel="0" max="2156" min="2156" style="70" width="3.29"/>
    <col collapsed="false" customWidth="true" hidden="false" outlineLevel="0" max="2157" min="2157" style="70" width="8"/>
    <col collapsed="false" customWidth="false" hidden="false" outlineLevel="0" max="2158" min="2158" style="70" width="42.57"/>
    <col collapsed="false" customWidth="true" hidden="false" outlineLevel="0" max="2159" min="2159" style="70" width="3.29"/>
    <col collapsed="false" customWidth="true" hidden="false" outlineLevel="0" max="2160" min="2160" style="70" width="8"/>
    <col collapsed="false" customWidth="false" hidden="false" outlineLevel="0" max="2161" min="2161" style="70" width="42.57"/>
    <col collapsed="false" customWidth="true" hidden="false" outlineLevel="0" max="2162" min="2162" style="70" width="3.29"/>
    <col collapsed="false" customWidth="true" hidden="false" outlineLevel="0" max="2163" min="2163" style="70" width="8"/>
    <col collapsed="false" customWidth="false" hidden="false" outlineLevel="0" max="2164" min="2164" style="70" width="42.57"/>
    <col collapsed="false" customWidth="true" hidden="false" outlineLevel="0" max="2165" min="2165" style="70" width="3.29"/>
    <col collapsed="false" customWidth="true" hidden="false" outlineLevel="0" max="2166" min="2166" style="70" width="8"/>
    <col collapsed="false" customWidth="false" hidden="false" outlineLevel="0" max="2167" min="2167" style="70" width="42.57"/>
    <col collapsed="false" customWidth="true" hidden="false" outlineLevel="0" max="2168" min="2168" style="70" width="3.29"/>
    <col collapsed="false" customWidth="true" hidden="false" outlineLevel="0" max="2169" min="2169" style="70" width="8"/>
    <col collapsed="false" customWidth="false" hidden="false" outlineLevel="0" max="2170" min="2170" style="70" width="42.57"/>
    <col collapsed="false" customWidth="true" hidden="false" outlineLevel="0" max="2171" min="2171" style="70" width="3.29"/>
    <col collapsed="false" customWidth="true" hidden="false" outlineLevel="0" max="2172" min="2172" style="70" width="8"/>
    <col collapsed="false" customWidth="false" hidden="false" outlineLevel="0" max="2173" min="2173" style="70" width="42.57"/>
    <col collapsed="false" customWidth="true" hidden="false" outlineLevel="0" max="2174" min="2174" style="70" width="3.29"/>
    <col collapsed="false" customWidth="true" hidden="false" outlineLevel="0" max="2175" min="2175" style="70" width="8"/>
    <col collapsed="false" customWidth="false" hidden="false" outlineLevel="0" max="2176" min="2176" style="70" width="42.57"/>
    <col collapsed="false" customWidth="true" hidden="false" outlineLevel="0" max="2177" min="2177" style="70" width="3.29"/>
    <col collapsed="false" customWidth="true" hidden="false" outlineLevel="0" max="2178" min="2178" style="70" width="8"/>
    <col collapsed="false" customWidth="false" hidden="false" outlineLevel="0" max="2179" min="2179" style="70" width="42.57"/>
    <col collapsed="false" customWidth="true" hidden="false" outlineLevel="0" max="2180" min="2180" style="70" width="3.29"/>
    <col collapsed="false" customWidth="true" hidden="false" outlineLevel="0" max="2181" min="2181" style="70" width="8"/>
    <col collapsed="false" customWidth="false" hidden="false" outlineLevel="0" max="2182" min="2182" style="70" width="42.57"/>
    <col collapsed="false" customWidth="true" hidden="false" outlineLevel="0" max="2183" min="2183" style="70" width="3.29"/>
    <col collapsed="false" customWidth="true" hidden="false" outlineLevel="0" max="2184" min="2184" style="70" width="8"/>
    <col collapsed="false" customWidth="false" hidden="false" outlineLevel="0" max="2185" min="2185" style="70" width="42.57"/>
    <col collapsed="false" customWidth="true" hidden="false" outlineLevel="0" max="2186" min="2186" style="70" width="3.29"/>
    <col collapsed="false" customWidth="true" hidden="false" outlineLevel="0" max="2187" min="2187" style="70" width="8"/>
    <col collapsed="false" customWidth="false" hidden="false" outlineLevel="0" max="2188" min="2188" style="70" width="42.57"/>
    <col collapsed="false" customWidth="true" hidden="false" outlineLevel="0" max="2189" min="2189" style="70" width="3.29"/>
    <col collapsed="false" customWidth="true" hidden="false" outlineLevel="0" max="2190" min="2190" style="70" width="8"/>
    <col collapsed="false" customWidth="false" hidden="false" outlineLevel="0" max="2191" min="2191" style="70" width="42.57"/>
    <col collapsed="false" customWidth="true" hidden="false" outlineLevel="0" max="2192" min="2192" style="70" width="3.29"/>
    <col collapsed="false" customWidth="true" hidden="false" outlineLevel="0" max="2193" min="2193" style="70" width="8"/>
    <col collapsed="false" customWidth="false" hidden="false" outlineLevel="0" max="2194" min="2194" style="70" width="42.57"/>
    <col collapsed="false" customWidth="true" hidden="false" outlineLevel="0" max="2195" min="2195" style="70" width="3.29"/>
    <col collapsed="false" customWidth="true" hidden="false" outlineLevel="0" max="2196" min="2196" style="70" width="8"/>
    <col collapsed="false" customWidth="false" hidden="false" outlineLevel="0" max="2197" min="2197" style="70" width="42.57"/>
    <col collapsed="false" customWidth="true" hidden="false" outlineLevel="0" max="2198" min="2198" style="70" width="3.29"/>
    <col collapsed="false" customWidth="true" hidden="false" outlineLevel="0" max="2199" min="2199" style="70" width="8"/>
    <col collapsed="false" customWidth="false" hidden="false" outlineLevel="0" max="2200" min="2200" style="70" width="42.57"/>
    <col collapsed="false" customWidth="true" hidden="false" outlineLevel="0" max="2201" min="2201" style="70" width="3.29"/>
    <col collapsed="false" customWidth="true" hidden="false" outlineLevel="0" max="2202" min="2202" style="70" width="8"/>
    <col collapsed="false" customWidth="false" hidden="false" outlineLevel="0" max="2203" min="2203" style="70" width="42.57"/>
    <col collapsed="false" customWidth="true" hidden="false" outlineLevel="0" max="2204" min="2204" style="70" width="3.29"/>
    <col collapsed="false" customWidth="true" hidden="false" outlineLevel="0" max="2205" min="2205" style="70" width="8"/>
    <col collapsed="false" customWidth="false" hidden="false" outlineLevel="0" max="2206" min="2206" style="70" width="42.57"/>
    <col collapsed="false" customWidth="true" hidden="false" outlineLevel="0" max="2207" min="2207" style="70" width="3.29"/>
    <col collapsed="false" customWidth="true" hidden="false" outlineLevel="0" max="2208" min="2208" style="70" width="8"/>
    <col collapsed="false" customWidth="false" hidden="false" outlineLevel="0" max="2209" min="2209" style="70" width="42.57"/>
    <col collapsed="false" customWidth="true" hidden="false" outlineLevel="0" max="2210" min="2210" style="70" width="3.29"/>
    <col collapsed="false" customWidth="true" hidden="false" outlineLevel="0" max="2211" min="2211" style="70" width="8"/>
    <col collapsed="false" customWidth="false" hidden="false" outlineLevel="0" max="2212" min="2212" style="70" width="42.57"/>
    <col collapsed="false" customWidth="true" hidden="false" outlineLevel="0" max="2213" min="2213" style="70" width="3.29"/>
    <col collapsed="false" customWidth="true" hidden="false" outlineLevel="0" max="2214" min="2214" style="70" width="8"/>
    <col collapsed="false" customWidth="false" hidden="false" outlineLevel="0" max="2215" min="2215" style="70" width="42.57"/>
    <col collapsed="false" customWidth="true" hidden="false" outlineLevel="0" max="2216" min="2216" style="70" width="3.29"/>
    <col collapsed="false" customWidth="true" hidden="false" outlineLevel="0" max="2217" min="2217" style="70" width="8"/>
    <col collapsed="false" customWidth="false" hidden="false" outlineLevel="0" max="2218" min="2218" style="70" width="42.57"/>
    <col collapsed="false" customWidth="true" hidden="false" outlineLevel="0" max="2219" min="2219" style="70" width="3.29"/>
    <col collapsed="false" customWidth="true" hidden="false" outlineLevel="0" max="2220" min="2220" style="70" width="8"/>
    <col collapsed="false" customWidth="false" hidden="false" outlineLevel="0" max="2221" min="2221" style="70" width="42.57"/>
    <col collapsed="false" customWidth="true" hidden="false" outlineLevel="0" max="2222" min="2222" style="70" width="3.29"/>
    <col collapsed="false" customWidth="true" hidden="false" outlineLevel="0" max="2223" min="2223" style="70" width="8"/>
    <col collapsed="false" customWidth="false" hidden="false" outlineLevel="0" max="2224" min="2224" style="70" width="42.57"/>
    <col collapsed="false" customWidth="true" hidden="false" outlineLevel="0" max="2225" min="2225" style="70" width="3.29"/>
    <col collapsed="false" customWidth="true" hidden="false" outlineLevel="0" max="2226" min="2226" style="70" width="8"/>
    <col collapsed="false" customWidth="false" hidden="false" outlineLevel="0" max="2227" min="2227" style="70" width="42.57"/>
    <col collapsed="false" customWidth="true" hidden="false" outlineLevel="0" max="2228" min="2228" style="70" width="3.29"/>
    <col collapsed="false" customWidth="true" hidden="false" outlineLevel="0" max="2229" min="2229" style="70" width="8"/>
    <col collapsed="false" customWidth="false" hidden="false" outlineLevel="0" max="2230" min="2230" style="70" width="42.57"/>
    <col collapsed="false" customWidth="true" hidden="false" outlineLevel="0" max="2231" min="2231" style="70" width="3.29"/>
    <col collapsed="false" customWidth="true" hidden="false" outlineLevel="0" max="2232" min="2232" style="70" width="8"/>
    <col collapsed="false" customWidth="false" hidden="false" outlineLevel="0" max="2233" min="2233" style="70" width="42.57"/>
    <col collapsed="false" customWidth="true" hidden="false" outlineLevel="0" max="2234" min="2234" style="70" width="3.29"/>
    <col collapsed="false" customWidth="true" hidden="false" outlineLevel="0" max="2235" min="2235" style="70" width="8"/>
    <col collapsed="false" customWidth="false" hidden="false" outlineLevel="0" max="2236" min="2236" style="70" width="42.57"/>
    <col collapsed="false" customWidth="true" hidden="false" outlineLevel="0" max="2237" min="2237" style="70" width="3.29"/>
    <col collapsed="false" customWidth="true" hidden="false" outlineLevel="0" max="2238" min="2238" style="70" width="8"/>
    <col collapsed="false" customWidth="false" hidden="false" outlineLevel="0" max="2239" min="2239" style="70" width="42.57"/>
    <col collapsed="false" customWidth="true" hidden="false" outlineLevel="0" max="2240" min="2240" style="70" width="3.29"/>
    <col collapsed="false" customWidth="true" hidden="false" outlineLevel="0" max="2241" min="2241" style="70" width="8"/>
    <col collapsed="false" customWidth="false" hidden="false" outlineLevel="0" max="2242" min="2242" style="70" width="42.57"/>
    <col collapsed="false" customWidth="true" hidden="false" outlineLevel="0" max="2243" min="2243" style="70" width="3.29"/>
    <col collapsed="false" customWidth="true" hidden="false" outlineLevel="0" max="2244" min="2244" style="70" width="8"/>
    <col collapsed="false" customWidth="false" hidden="false" outlineLevel="0" max="2245" min="2245" style="70" width="42.57"/>
    <col collapsed="false" customWidth="true" hidden="false" outlineLevel="0" max="2246" min="2246" style="70" width="3.29"/>
    <col collapsed="false" customWidth="true" hidden="false" outlineLevel="0" max="2247" min="2247" style="70" width="8"/>
    <col collapsed="false" customWidth="false" hidden="false" outlineLevel="0" max="2248" min="2248" style="70" width="42.57"/>
    <col collapsed="false" customWidth="true" hidden="false" outlineLevel="0" max="2249" min="2249" style="70" width="3.29"/>
    <col collapsed="false" customWidth="true" hidden="false" outlineLevel="0" max="2250" min="2250" style="70" width="8"/>
    <col collapsed="false" customWidth="false" hidden="false" outlineLevel="0" max="2251" min="2251" style="70" width="42.57"/>
    <col collapsed="false" customWidth="true" hidden="false" outlineLevel="0" max="2252" min="2252" style="70" width="3.29"/>
    <col collapsed="false" customWidth="true" hidden="false" outlineLevel="0" max="2253" min="2253" style="70" width="8"/>
    <col collapsed="false" customWidth="false" hidden="false" outlineLevel="0" max="2254" min="2254" style="70" width="42.57"/>
    <col collapsed="false" customWidth="true" hidden="false" outlineLevel="0" max="2255" min="2255" style="70" width="3.29"/>
    <col collapsed="false" customWidth="true" hidden="false" outlineLevel="0" max="2256" min="2256" style="70" width="8"/>
    <col collapsed="false" customWidth="false" hidden="false" outlineLevel="0" max="2257" min="2257" style="70" width="42.57"/>
    <col collapsed="false" customWidth="true" hidden="false" outlineLevel="0" max="2258" min="2258" style="70" width="3.29"/>
    <col collapsed="false" customWidth="true" hidden="false" outlineLevel="0" max="2259" min="2259" style="70" width="8"/>
    <col collapsed="false" customWidth="false" hidden="false" outlineLevel="0" max="2260" min="2260" style="70" width="42.57"/>
    <col collapsed="false" customWidth="true" hidden="false" outlineLevel="0" max="2261" min="2261" style="70" width="3.29"/>
    <col collapsed="false" customWidth="true" hidden="false" outlineLevel="0" max="2262" min="2262" style="70" width="8"/>
    <col collapsed="false" customWidth="false" hidden="false" outlineLevel="0" max="2263" min="2263" style="70" width="42.57"/>
    <col collapsed="false" customWidth="true" hidden="false" outlineLevel="0" max="2264" min="2264" style="70" width="3.29"/>
    <col collapsed="false" customWidth="true" hidden="false" outlineLevel="0" max="2265" min="2265" style="70" width="8"/>
    <col collapsed="false" customWidth="false" hidden="false" outlineLevel="0" max="2266" min="2266" style="70" width="42.57"/>
    <col collapsed="false" customWidth="true" hidden="false" outlineLevel="0" max="2267" min="2267" style="70" width="3.29"/>
    <col collapsed="false" customWidth="true" hidden="false" outlineLevel="0" max="2268" min="2268" style="70" width="8"/>
    <col collapsed="false" customWidth="false" hidden="false" outlineLevel="0" max="2269" min="2269" style="70" width="42.57"/>
    <col collapsed="false" customWidth="true" hidden="false" outlineLevel="0" max="2270" min="2270" style="70" width="3.29"/>
    <col collapsed="false" customWidth="true" hidden="false" outlineLevel="0" max="2271" min="2271" style="70" width="8"/>
    <col collapsed="false" customWidth="false" hidden="false" outlineLevel="0" max="2272" min="2272" style="70" width="42.57"/>
    <col collapsed="false" customWidth="true" hidden="false" outlineLevel="0" max="2273" min="2273" style="70" width="3.29"/>
    <col collapsed="false" customWidth="true" hidden="false" outlineLevel="0" max="2274" min="2274" style="70" width="8"/>
    <col collapsed="false" customWidth="false" hidden="false" outlineLevel="0" max="2275" min="2275" style="70" width="42.57"/>
    <col collapsed="false" customWidth="true" hidden="false" outlineLevel="0" max="2276" min="2276" style="70" width="3.29"/>
    <col collapsed="false" customWidth="true" hidden="false" outlineLevel="0" max="2277" min="2277" style="70" width="8"/>
    <col collapsed="false" customWidth="false" hidden="false" outlineLevel="0" max="2278" min="2278" style="70" width="42.57"/>
    <col collapsed="false" customWidth="true" hidden="false" outlineLevel="0" max="2279" min="2279" style="70" width="3.29"/>
    <col collapsed="false" customWidth="true" hidden="false" outlineLevel="0" max="2280" min="2280" style="70" width="8"/>
    <col collapsed="false" customWidth="false" hidden="false" outlineLevel="0" max="2281" min="2281" style="70" width="42.57"/>
    <col collapsed="false" customWidth="true" hidden="false" outlineLevel="0" max="2282" min="2282" style="70" width="3.29"/>
    <col collapsed="false" customWidth="true" hidden="false" outlineLevel="0" max="2283" min="2283" style="70" width="8"/>
    <col collapsed="false" customWidth="false" hidden="false" outlineLevel="0" max="2284" min="2284" style="70" width="42.57"/>
    <col collapsed="false" customWidth="true" hidden="false" outlineLevel="0" max="2285" min="2285" style="70" width="3.29"/>
    <col collapsed="false" customWidth="true" hidden="false" outlineLevel="0" max="2286" min="2286" style="70" width="8"/>
    <col collapsed="false" customWidth="false" hidden="false" outlineLevel="0" max="2287" min="2287" style="70" width="42.57"/>
    <col collapsed="false" customWidth="true" hidden="false" outlineLevel="0" max="2288" min="2288" style="70" width="3.29"/>
    <col collapsed="false" customWidth="true" hidden="false" outlineLevel="0" max="2289" min="2289" style="70" width="8"/>
    <col collapsed="false" customWidth="false" hidden="false" outlineLevel="0" max="2290" min="2290" style="70" width="42.57"/>
    <col collapsed="false" customWidth="true" hidden="false" outlineLevel="0" max="2291" min="2291" style="70" width="3.29"/>
    <col collapsed="false" customWidth="true" hidden="false" outlineLevel="0" max="2292" min="2292" style="70" width="8"/>
    <col collapsed="false" customWidth="false" hidden="false" outlineLevel="0" max="2293" min="2293" style="70" width="42.57"/>
    <col collapsed="false" customWidth="true" hidden="false" outlineLevel="0" max="2294" min="2294" style="70" width="3.29"/>
    <col collapsed="false" customWidth="true" hidden="false" outlineLevel="0" max="2295" min="2295" style="70" width="8"/>
    <col collapsed="false" customWidth="false" hidden="false" outlineLevel="0" max="2296" min="2296" style="70" width="42.57"/>
    <col collapsed="false" customWidth="true" hidden="false" outlineLevel="0" max="2297" min="2297" style="70" width="3.29"/>
    <col collapsed="false" customWidth="true" hidden="false" outlineLevel="0" max="2298" min="2298" style="70" width="8"/>
    <col collapsed="false" customWidth="false" hidden="false" outlineLevel="0" max="2299" min="2299" style="70" width="42.57"/>
    <col collapsed="false" customWidth="true" hidden="false" outlineLevel="0" max="2300" min="2300" style="70" width="3.29"/>
    <col collapsed="false" customWidth="true" hidden="false" outlineLevel="0" max="2301" min="2301" style="70" width="8"/>
    <col collapsed="false" customWidth="false" hidden="false" outlineLevel="0" max="2302" min="2302" style="70" width="42.57"/>
    <col collapsed="false" customWidth="true" hidden="false" outlineLevel="0" max="2303" min="2303" style="70" width="3.29"/>
    <col collapsed="false" customWidth="true" hidden="false" outlineLevel="0" max="2304" min="2304" style="70" width="8"/>
    <col collapsed="false" customWidth="false" hidden="false" outlineLevel="0" max="2305" min="2305" style="70" width="42.57"/>
    <col collapsed="false" customWidth="true" hidden="false" outlineLevel="0" max="2306" min="2306" style="70" width="3.29"/>
    <col collapsed="false" customWidth="true" hidden="false" outlineLevel="0" max="2307" min="2307" style="70" width="8"/>
    <col collapsed="false" customWidth="false" hidden="false" outlineLevel="0" max="2308" min="2308" style="70" width="42.57"/>
    <col collapsed="false" customWidth="true" hidden="false" outlineLevel="0" max="2309" min="2309" style="70" width="3.29"/>
    <col collapsed="false" customWidth="true" hidden="false" outlineLevel="0" max="2310" min="2310" style="70" width="8"/>
    <col collapsed="false" customWidth="false" hidden="false" outlineLevel="0" max="2311" min="2311" style="70" width="42.57"/>
    <col collapsed="false" customWidth="true" hidden="false" outlineLevel="0" max="2312" min="2312" style="70" width="3.29"/>
    <col collapsed="false" customWidth="true" hidden="false" outlineLevel="0" max="2313" min="2313" style="70" width="8"/>
    <col collapsed="false" customWidth="false" hidden="false" outlineLevel="0" max="2314" min="2314" style="70" width="42.57"/>
    <col collapsed="false" customWidth="true" hidden="false" outlineLevel="0" max="2315" min="2315" style="70" width="3.29"/>
    <col collapsed="false" customWidth="true" hidden="false" outlineLevel="0" max="2316" min="2316" style="70" width="8"/>
    <col collapsed="false" customWidth="false" hidden="false" outlineLevel="0" max="2317" min="2317" style="70" width="42.57"/>
    <col collapsed="false" customWidth="true" hidden="false" outlineLevel="0" max="2318" min="2318" style="70" width="3.29"/>
    <col collapsed="false" customWidth="true" hidden="false" outlineLevel="0" max="2319" min="2319" style="70" width="8"/>
    <col collapsed="false" customWidth="false" hidden="false" outlineLevel="0" max="2320" min="2320" style="70" width="42.57"/>
    <col collapsed="false" customWidth="true" hidden="false" outlineLevel="0" max="2321" min="2321" style="70" width="3.29"/>
    <col collapsed="false" customWidth="true" hidden="false" outlineLevel="0" max="2322" min="2322" style="70" width="8"/>
    <col collapsed="false" customWidth="false" hidden="false" outlineLevel="0" max="2323" min="2323" style="70" width="42.57"/>
    <col collapsed="false" customWidth="true" hidden="false" outlineLevel="0" max="2324" min="2324" style="70" width="3.29"/>
    <col collapsed="false" customWidth="true" hidden="false" outlineLevel="0" max="2325" min="2325" style="70" width="8"/>
    <col collapsed="false" customWidth="false" hidden="false" outlineLevel="0" max="2326" min="2326" style="70" width="42.57"/>
    <col collapsed="false" customWidth="true" hidden="false" outlineLevel="0" max="2327" min="2327" style="70" width="3.29"/>
    <col collapsed="false" customWidth="true" hidden="false" outlineLevel="0" max="2328" min="2328" style="70" width="8"/>
    <col collapsed="false" customWidth="false" hidden="false" outlineLevel="0" max="2329" min="2329" style="70" width="42.57"/>
    <col collapsed="false" customWidth="true" hidden="false" outlineLevel="0" max="2330" min="2330" style="70" width="3.29"/>
    <col collapsed="false" customWidth="true" hidden="false" outlineLevel="0" max="2331" min="2331" style="70" width="8"/>
    <col collapsed="false" customWidth="false" hidden="false" outlineLevel="0" max="2332" min="2332" style="70" width="42.57"/>
    <col collapsed="false" customWidth="true" hidden="false" outlineLevel="0" max="2333" min="2333" style="70" width="3.29"/>
    <col collapsed="false" customWidth="true" hidden="false" outlineLevel="0" max="2334" min="2334" style="70" width="8"/>
    <col collapsed="false" customWidth="false" hidden="false" outlineLevel="0" max="2335" min="2335" style="70" width="42.57"/>
    <col collapsed="false" customWidth="true" hidden="false" outlineLevel="0" max="2336" min="2336" style="70" width="3.29"/>
    <col collapsed="false" customWidth="true" hidden="false" outlineLevel="0" max="2337" min="2337" style="70" width="8"/>
    <col collapsed="false" customWidth="false" hidden="false" outlineLevel="0" max="2338" min="2338" style="70" width="42.57"/>
    <col collapsed="false" customWidth="true" hidden="false" outlineLevel="0" max="2339" min="2339" style="70" width="3.29"/>
    <col collapsed="false" customWidth="true" hidden="false" outlineLevel="0" max="2340" min="2340" style="70" width="8"/>
    <col collapsed="false" customWidth="false" hidden="false" outlineLevel="0" max="2341" min="2341" style="70" width="42.57"/>
    <col collapsed="false" customWidth="true" hidden="false" outlineLevel="0" max="2342" min="2342" style="70" width="3.29"/>
    <col collapsed="false" customWidth="true" hidden="false" outlineLevel="0" max="2343" min="2343" style="70" width="8"/>
    <col collapsed="false" customWidth="false" hidden="false" outlineLevel="0" max="2344" min="2344" style="70" width="42.57"/>
    <col collapsed="false" customWidth="true" hidden="false" outlineLevel="0" max="2345" min="2345" style="70" width="3.29"/>
    <col collapsed="false" customWidth="true" hidden="false" outlineLevel="0" max="2346" min="2346" style="70" width="8"/>
    <col collapsed="false" customWidth="false" hidden="false" outlineLevel="0" max="2347" min="2347" style="70" width="42.57"/>
    <col collapsed="false" customWidth="true" hidden="false" outlineLevel="0" max="2348" min="2348" style="70" width="3.29"/>
    <col collapsed="false" customWidth="true" hidden="false" outlineLevel="0" max="2349" min="2349" style="70" width="8"/>
    <col collapsed="false" customWidth="false" hidden="false" outlineLevel="0" max="2350" min="2350" style="70" width="42.57"/>
    <col collapsed="false" customWidth="true" hidden="false" outlineLevel="0" max="2351" min="2351" style="70" width="3.29"/>
    <col collapsed="false" customWidth="true" hidden="false" outlineLevel="0" max="2352" min="2352" style="70" width="8"/>
    <col collapsed="false" customWidth="false" hidden="false" outlineLevel="0" max="2353" min="2353" style="70" width="42.57"/>
    <col collapsed="false" customWidth="true" hidden="false" outlineLevel="0" max="2354" min="2354" style="70" width="3.29"/>
    <col collapsed="false" customWidth="true" hidden="false" outlineLevel="0" max="2355" min="2355" style="70" width="8"/>
    <col collapsed="false" customWidth="false" hidden="false" outlineLevel="0" max="2356" min="2356" style="70" width="42.57"/>
    <col collapsed="false" customWidth="true" hidden="false" outlineLevel="0" max="2357" min="2357" style="70" width="3.29"/>
    <col collapsed="false" customWidth="true" hidden="false" outlineLevel="0" max="2358" min="2358" style="70" width="8"/>
    <col collapsed="false" customWidth="false" hidden="false" outlineLevel="0" max="2359" min="2359" style="70" width="42.57"/>
    <col collapsed="false" customWidth="true" hidden="false" outlineLevel="0" max="2360" min="2360" style="70" width="3.29"/>
    <col collapsed="false" customWidth="true" hidden="false" outlineLevel="0" max="2361" min="2361" style="70" width="8"/>
    <col collapsed="false" customWidth="false" hidden="false" outlineLevel="0" max="2362" min="2362" style="70" width="42.57"/>
    <col collapsed="false" customWidth="true" hidden="false" outlineLevel="0" max="2363" min="2363" style="70" width="3.29"/>
    <col collapsed="false" customWidth="true" hidden="false" outlineLevel="0" max="2364" min="2364" style="70" width="8"/>
    <col collapsed="false" customWidth="false" hidden="false" outlineLevel="0" max="2365" min="2365" style="70" width="42.57"/>
    <col collapsed="false" customWidth="true" hidden="false" outlineLevel="0" max="2366" min="2366" style="70" width="3.29"/>
    <col collapsed="false" customWidth="true" hidden="false" outlineLevel="0" max="2367" min="2367" style="70" width="8"/>
    <col collapsed="false" customWidth="false" hidden="false" outlineLevel="0" max="2368" min="2368" style="70" width="42.57"/>
    <col collapsed="false" customWidth="true" hidden="false" outlineLevel="0" max="2369" min="2369" style="70" width="3.29"/>
    <col collapsed="false" customWidth="true" hidden="false" outlineLevel="0" max="2370" min="2370" style="70" width="8"/>
    <col collapsed="false" customWidth="false" hidden="false" outlineLevel="0" max="2371" min="2371" style="70" width="42.57"/>
    <col collapsed="false" customWidth="true" hidden="false" outlineLevel="0" max="2372" min="2372" style="70" width="3.29"/>
    <col collapsed="false" customWidth="true" hidden="false" outlineLevel="0" max="2373" min="2373" style="70" width="8"/>
    <col collapsed="false" customWidth="false" hidden="false" outlineLevel="0" max="2374" min="2374" style="70" width="42.57"/>
    <col collapsed="false" customWidth="true" hidden="false" outlineLevel="0" max="2375" min="2375" style="70" width="3.29"/>
    <col collapsed="false" customWidth="true" hidden="false" outlineLevel="0" max="2376" min="2376" style="70" width="8"/>
    <col collapsed="false" customWidth="false" hidden="false" outlineLevel="0" max="2377" min="2377" style="70" width="42.57"/>
    <col collapsed="false" customWidth="true" hidden="false" outlineLevel="0" max="2378" min="2378" style="70" width="3.29"/>
    <col collapsed="false" customWidth="true" hidden="false" outlineLevel="0" max="2379" min="2379" style="70" width="8"/>
    <col collapsed="false" customWidth="false" hidden="false" outlineLevel="0" max="2380" min="2380" style="70" width="42.57"/>
    <col collapsed="false" customWidth="true" hidden="false" outlineLevel="0" max="2381" min="2381" style="70" width="3.29"/>
    <col collapsed="false" customWidth="true" hidden="false" outlineLevel="0" max="2382" min="2382" style="70" width="8"/>
    <col collapsed="false" customWidth="false" hidden="false" outlineLevel="0" max="2383" min="2383" style="70" width="42.57"/>
    <col collapsed="false" customWidth="true" hidden="false" outlineLevel="0" max="2384" min="2384" style="70" width="3.29"/>
    <col collapsed="false" customWidth="true" hidden="false" outlineLevel="0" max="2385" min="2385" style="70" width="8"/>
    <col collapsed="false" customWidth="false" hidden="false" outlineLevel="0" max="2386" min="2386" style="70" width="42.57"/>
    <col collapsed="false" customWidth="true" hidden="false" outlineLevel="0" max="2387" min="2387" style="70" width="3.29"/>
    <col collapsed="false" customWidth="true" hidden="false" outlineLevel="0" max="2388" min="2388" style="70" width="8"/>
    <col collapsed="false" customWidth="false" hidden="false" outlineLevel="0" max="2389" min="2389" style="70" width="42.57"/>
    <col collapsed="false" customWidth="true" hidden="false" outlineLevel="0" max="2390" min="2390" style="70" width="3.29"/>
    <col collapsed="false" customWidth="true" hidden="false" outlineLevel="0" max="2391" min="2391" style="70" width="8"/>
    <col collapsed="false" customWidth="false" hidden="false" outlineLevel="0" max="2392" min="2392" style="70" width="42.57"/>
    <col collapsed="false" customWidth="true" hidden="false" outlineLevel="0" max="2393" min="2393" style="70" width="3.29"/>
    <col collapsed="false" customWidth="true" hidden="false" outlineLevel="0" max="2394" min="2394" style="70" width="8"/>
    <col collapsed="false" customWidth="false" hidden="false" outlineLevel="0" max="2395" min="2395" style="70" width="42.57"/>
    <col collapsed="false" customWidth="true" hidden="false" outlineLevel="0" max="2396" min="2396" style="70" width="3.29"/>
    <col collapsed="false" customWidth="true" hidden="false" outlineLevel="0" max="2397" min="2397" style="70" width="8"/>
    <col collapsed="false" customWidth="false" hidden="false" outlineLevel="0" max="2398" min="2398" style="70" width="42.57"/>
    <col collapsed="false" customWidth="true" hidden="false" outlineLevel="0" max="2399" min="2399" style="70" width="3.29"/>
    <col collapsed="false" customWidth="true" hidden="false" outlineLevel="0" max="2400" min="2400" style="70" width="8"/>
    <col collapsed="false" customWidth="false" hidden="false" outlineLevel="0" max="2401" min="2401" style="70" width="42.57"/>
    <col collapsed="false" customWidth="true" hidden="false" outlineLevel="0" max="2402" min="2402" style="70" width="3.29"/>
    <col collapsed="false" customWidth="true" hidden="false" outlineLevel="0" max="2403" min="2403" style="70" width="8"/>
    <col collapsed="false" customWidth="false" hidden="false" outlineLevel="0" max="2404" min="2404" style="70" width="42.57"/>
    <col collapsed="false" customWidth="true" hidden="false" outlineLevel="0" max="2405" min="2405" style="70" width="3.29"/>
    <col collapsed="false" customWidth="true" hidden="false" outlineLevel="0" max="2406" min="2406" style="70" width="8"/>
    <col collapsed="false" customWidth="false" hidden="false" outlineLevel="0" max="2407" min="2407" style="70" width="42.57"/>
    <col collapsed="false" customWidth="true" hidden="false" outlineLevel="0" max="2408" min="2408" style="70" width="3.29"/>
    <col collapsed="false" customWidth="true" hidden="false" outlineLevel="0" max="2409" min="2409" style="70" width="8"/>
    <col collapsed="false" customWidth="false" hidden="false" outlineLevel="0" max="2410" min="2410" style="70" width="42.57"/>
    <col collapsed="false" customWidth="true" hidden="false" outlineLevel="0" max="2411" min="2411" style="70" width="3.29"/>
    <col collapsed="false" customWidth="true" hidden="false" outlineLevel="0" max="2412" min="2412" style="70" width="8"/>
    <col collapsed="false" customWidth="false" hidden="false" outlineLevel="0" max="2413" min="2413" style="70" width="42.57"/>
    <col collapsed="false" customWidth="true" hidden="false" outlineLevel="0" max="2414" min="2414" style="70" width="3.29"/>
    <col collapsed="false" customWidth="true" hidden="false" outlineLevel="0" max="2415" min="2415" style="70" width="8"/>
    <col collapsed="false" customWidth="false" hidden="false" outlineLevel="0" max="2416" min="2416" style="70" width="42.57"/>
    <col collapsed="false" customWidth="true" hidden="false" outlineLevel="0" max="2417" min="2417" style="70" width="3.29"/>
    <col collapsed="false" customWidth="true" hidden="false" outlineLevel="0" max="2418" min="2418" style="70" width="8"/>
    <col collapsed="false" customWidth="false" hidden="false" outlineLevel="0" max="2419" min="2419" style="70" width="42.57"/>
    <col collapsed="false" customWidth="true" hidden="false" outlineLevel="0" max="2420" min="2420" style="70" width="3.29"/>
    <col collapsed="false" customWidth="true" hidden="false" outlineLevel="0" max="2421" min="2421" style="70" width="8"/>
    <col collapsed="false" customWidth="false" hidden="false" outlineLevel="0" max="2422" min="2422" style="70" width="42.57"/>
    <col collapsed="false" customWidth="true" hidden="false" outlineLevel="0" max="2423" min="2423" style="70" width="3.29"/>
    <col collapsed="false" customWidth="true" hidden="false" outlineLevel="0" max="2424" min="2424" style="70" width="8"/>
    <col collapsed="false" customWidth="false" hidden="false" outlineLevel="0" max="2425" min="2425" style="70" width="42.57"/>
    <col collapsed="false" customWidth="true" hidden="false" outlineLevel="0" max="2426" min="2426" style="70" width="3.29"/>
    <col collapsed="false" customWidth="true" hidden="false" outlineLevel="0" max="2427" min="2427" style="70" width="8"/>
    <col collapsed="false" customWidth="false" hidden="false" outlineLevel="0" max="2428" min="2428" style="70" width="42.57"/>
    <col collapsed="false" customWidth="true" hidden="false" outlineLevel="0" max="2429" min="2429" style="70" width="3.29"/>
    <col collapsed="false" customWidth="true" hidden="false" outlineLevel="0" max="2430" min="2430" style="70" width="8"/>
    <col collapsed="false" customWidth="false" hidden="false" outlineLevel="0" max="2431" min="2431" style="70" width="42.57"/>
    <col collapsed="false" customWidth="true" hidden="false" outlineLevel="0" max="2432" min="2432" style="70" width="3.29"/>
    <col collapsed="false" customWidth="true" hidden="false" outlineLevel="0" max="2433" min="2433" style="70" width="8"/>
    <col collapsed="false" customWidth="false" hidden="false" outlineLevel="0" max="2434" min="2434" style="70" width="42.57"/>
    <col collapsed="false" customWidth="true" hidden="false" outlineLevel="0" max="2435" min="2435" style="70" width="3.29"/>
    <col collapsed="false" customWidth="true" hidden="false" outlineLevel="0" max="2436" min="2436" style="70" width="8"/>
    <col collapsed="false" customWidth="false" hidden="false" outlineLevel="0" max="2437" min="2437" style="70" width="42.57"/>
    <col collapsed="false" customWidth="true" hidden="false" outlineLevel="0" max="2438" min="2438" style="70" width="3.29"/>
    <col collapsed="false" customWidth="true" hidden="false" outlineLevel="0" max="2439" min="2439" style="70" width="8"/>
    <col collapsed="false" customWidth="false" hidden="false" outlineLevel="0" max="2440" min="2440" style="70" width="42.57"/>
    <col collapsed="false" customWidth="true" hidden="false" outlineLevel="0" max="2441" min="2441" style="70" width="3.29"/>
    <col collapsed="false" customWidth="true" hidden="false" outlineLevel="0" max="2442" min="2442" style="70" width="8"/>
    <col collapsed="false" customWidth="false" hidden="false" outlineLevel="0" max="2443" min="2443" style="70" width="42.57"/>
    <col collapsed="false" customWidth="true" hidden="false" outlineLevel="0" max="2444" min="2444" style="70" width="3.29"/>
    <col collapsed="false" customWidth="true" hidden="false" outlineLevel="0" max="2445" min="2445" style="70" width="8"/>
    <col collapsed="false" customWidth="false" hidden="false" outlineLevel="0" max="2446" min="2446" style="70" width="42.57"/>
    <col collapsed="false" customWidth="true" hidden="false" outlineLevel="0" max="2447" min="2447" style="70" width="3.29"/>
    <col collapsed="false" customWidth="true" hidden="false" outlineLevel="0" max="2448" min="2448" style="70" width="8"/>
    <col collapsed="false" customWidth="false" hidden="false" outlineLevel="0" max="2449" min="2449" style="70" width="42.57"/>
    <col collapsed="false" customWidth="true" hidden="false" outlineLevel="0" max="2450" min="2450" style="70" width="3.29"/>
    <col collapsed="false" customWidth="true" hidden="false" outlineLevel="0" max="2451" min="2451" style="70" width="8"/>
    <col collapsed="false" customWidth="false" hidden="false" outlineLevel="0" max="2452" min="2452" style="70" width="42.57"/>
    <col collapsed="false" customWidth="true" hidden="false" outlineLevel="0" max="2453" min="2453" style="70" width="3.29"/>
    <col collapsed="false" customWidth="true" hidden="false" outlineLevel="0" max="2454" min="2454" style="70" width="8"/>
    <col collapsed="false" customWidth="false" hidden="false" outlineLevel="0" max="2455" min="2455" style="70" width="42.57"/>
    <col collapsed="false" customWidth="true" hidden="false" outlineLevel="0" max="2456" min="2456" style="70" width="3.29"/>
    <col collapsed="false" customWidth="true" hidden="false" outlineLevel="0" max="2457" min="2457" style="70" width="8"/>
    <col collapsed="false" customWidth="false" hidden="false" outlineLevel="0" max="2458" min="2458" style="70" width="42.57"/>
    <col collapsed="false" customWidth="true" hidden="false" outlineLevel="0" max="2459" min="2459" style="70" width="3.29"/>
    <col collapsed="false" customWidth="true" hidden="false" outlineLevel="0" max="2460" min="2460" style="70" width="8"/>
    <col collapsed="false" customWidth="false" hidden="false" outlineLevel="0" max="2461" min="2461" style="70" width="42.57"/>
    <col collapsed="false" customWidth="true" hidden="false" outlineLevel="0" max="2462" min="2462" style="70" width="3.29"/>
    <col collapsed="false" customWidth="true" hidden="false" outlineLevel="0" max="2463" min="2463" style="70" width="8"/>
    <col collapsed="false" customWidth="false" hidden="false" outlineLevel="0" max="2464" min="2464" style="70" width="42.57"/>
    <col collapsed="false" customWidth="true" hidden="false" outlineLevel="0" max="2465" min="2465" style="70" width="3.29"/>
    <col collapsed="false" customWidth="true" hidden="false" outlineLevel="0" max="2466" min="2466" style="70" width="8"/>
    <col collapsed="false" customWidth="false" hidden="false" outlineLevel="0" max="2467" min="2467" style="70" width="42.57"/>
    <col collapsed="false" customWidth="true" hidden="false" outlineLevel="0" max="2468" min="2468" style="70" width="3.29"/>
    <col collapsed="false" customWidth="true" hidden="false" outlineLevel="0" max="2469" min="2469" style="70" width="8"/>
    <col collapsed="false" customWidth="false" hidden="false" outlineLevel="0" max="2470" min="2470" style="70" width="42.57"/>
    <col collapsed="false" customWidth="true" hidden="false" outlineLevel="0" max="2471" min="2471" style="70" width="3.29"/>
    <col collapsed="false" customWidth="true" hidden="false" outlineLevel="0" max="2472" min="2472" style="70" width="8"/>
    <col collapsed="false" customWidth="false" hidden="false" outlineLevel="0" max="2473" min="2473" style="70" width="42.57"/>
    <col collapsed="false" customWidth="true" hidden="false" outlineLevel="0" max="2474" min="2474" style="70" width="3.29"/>
    <col collapsed="false" customWidth="true" hidden="false" outlineLevel="0" max="2475" min="2475" style="70" width="8"/>
    <col collapsed="false" customWidth="false" hidden="false" outlineLevel="0" max="2476" min="2476" style="70" width="42.57"/>
    <col collapsed="false" customWidth="true" hidden="false" outlineLevel="0" max="2477" min="2477" style="70" width="3.29"/>
    <col collapsed="false" customWidth="true" hidden="false" outlineLevel="0" max="2478" min="2478" style="70" width="8"/>
    <col collapsed="false" customWidth="false" hidden="false" outlineLevel="0" max="2479" min="2479" style="70" width="42.57"/>
    <col collapsed="false" customWidth="true" hidden="false" outlineLevel="0" max="2480" min="2480" style="70" width="3.29"/>
    <col collapsed="false" customWidth="true" hidden="false" outlineLevel="0" max="2481" min="2481" style="70" width="8"/>
    <col collapsed="false" customWidth="false" hidden="false" outlineLevel="0" max="2482" min="2482" style="70" width="42.57"/>
    <col collapsed="false" customWidth="true" hidden="false" outlineLevel="0" max="2483" min="2483" style="70" width="3.29"/>
    <col collapsed="false" customWidth="true" hidden="false" outlineLevel="0" max="2484" min="2484" style="70" width="8"/>
    <col collapsed="false" customWidth="false" hidden="false" outlineLevel="0" max="2485" min="2485" style="70" width="42.57"/>
    <col collapsed="false" customWidth="true" hidden="false" outlineLevel="0" max="2486" min="2486" style="70" width="3.29"/>
    <col collapsed="false" customWidth="true" hidden="false" outlineLevel="0" max="2487" min="2487" style="70" width="8"/>
    <col collapsed="false" customWidth="false" hidden="false" outlineLevel="0" max="2488" min="2488" style="70" width="42.57"/>
    <col collapsed="false" customWidth="true" hidden="false" outlineLevel="0" max="2489" min="2489" style="70" width="3.29"/>
    <col collapsed="false" customWidth="true" hidden="false" outlineLevel="0" max="2490" min="2490" style="70" width="8"/>
    <col collapsed="false" customWidth="false" hidden="false" outlineLevel="0" max="2491" min="2491" style="70" width="42.57"/>
    <col collapsed="false" customWidth="true" hidden="false" outlineLevel="0" max="2492" min="2492" style="70" width="3.29"/>
    <col collapsed="false" customWidth="true" hidden="false" outlineLevel="0" max="2493" min="2493" style="70" width="8"/>
    <col collapsed="false" customWidth="false" hidden="false" outlineLevel="0" max="2494" min="2494" style="70" width="42.57"/>
    <col collapsed="false" customWidth="true" hidden="false" outlineLevel="0" max="2495" min="2495" style="70" width="3.29"/>
    <col collapsed="false" customWidth="true" hidden="false" outlineLevel="0" max="2496" min="2496" style="70" width="8"/>
    <col collapsed="false" customWidth="false" hidden="false" outlineLevel="0" max="2497" min="2497" style="70" width="42.57"/>
    <col collapsed="false" customWidth="true" hidden="false" outlineLevel="0" max="2498" min="2498" style="70" width="3.29"/>
    <col collapsed="false" customWidth="true" hidden="false" outlineLevel="0" max="2499" min="2499" style="70" width="8"/>
    <col collapsed="false" customWidth="false" hidden="false" outlineLevel="0" max="2500" min="2500" style="70" width="42.57"/>
    <col collapsed="false" customWidth="true" hidden="false" outlineLevel="0" max="2501" min="2501" style="70" width="3.29"/>
    <col collapsed="false" customWidth="true" hidden="false" outlineLevel="0" max="2502" min="2502" style="70" width="8"/>
    <col collapsed="false" customWidth="false" hidden="false" outlineLevel="0" max="2503" min="2503" style="70" width="42.57"/>
    <col collapsed="false" customWidth="true" hidden="false" outlineLevel="0" max="2504" min="2504" style="70" width="3.29"/>
    <col collapsed="false" customWidth="true" hidden="false" outlineLevel="0" max="2505" min="2505" style="70" width="8"/>
    <col collapsed="false" customWidth="false" hidden="false" outlineLevel="0" max="2506" min="2506" style="70" width="42.57"/>
    <col collapsed="false" customWidth="true" hidden="false" outlineLevel="0" max="2507" min="2507" style="70" width="3.29"/>
    <col collapsed="false" customWidth="true" hidden="false" outlineLevel="0" max="2508" min="2508" style="70" width="8"/>
    <col collapsed="false" customWidth="false" hidden="false" outlineLevel="0" max="2509" min="2509" style="70" width="42.57"/>
    <col collapsed="false" customWidth="true" hidden="false" outlineLevel="0" max="2510" min="2510" style="70" width="3.29"/>
    <col collapsed="false" customWidth="true" hidden="false" outlineLevel="0" max="2511" min="2511" style="70" width="8"/>
    <col collapsed="false" customWidth="false" hidden="false" outlineLevel="0" max="2512" min="2512" style="70" width="42.57"/>
    <col collapsed="false" customWidth="true" hidden="false" outlineLevel="0" max="2513" min="2513" style="70" width="3.29"/>
    <col collapsed="false" customWidth="true" hidden="false" outlineLevel="0" max="2514" min="2514" style="70" width="8"/>
    <col collapsed="false" customWidth="false" hidden="false" outlineLevel="0" max="2515" min="2515" style="70" width="42.57"/>
    <col collapsed="false" customWidth="true" hidden="false" outlineLevel="0" max="2516" min="2516" style="70" width="3.29"/>
    <col collapsed="false" customWidth="true" hidden="false" outlineLevel="0" max="2517" min="2517" style="70" width="8"/>
    <col collapsed="false" customWidth="false" hidden="false" outlineLevel="0" max="2518" min="2518" style="70" width="42.57"/>
    <col collapsed="false" customWidth="true" hidden="false" outlineLevel="0" max="2519" min="2519" style="70" width="3.29"/>
    <col collapsed="false" customWidth="true" hidden="false" outlineLevel="0" max="2520" min="2520" style="70" width="8"/>
    <col collapsed="false" customWidth="false" hidden="false" outlineLevel="0" max="2521" min="2521" style="70" width="42.57"/>
    <col collapsed="false" customWidth="true" hidden="false" outlineLevel="0" max="2522" min="2522" style="70" width="3.29"/>
    <col collapsed="false" customWidth="true" hidden="false" outlineLevel="0" max="2523" min="2523" style="70" width="8"/>
    <col collapsed="false" customWidth="false" hidden="false" outlineLevel="0" max="2524" min="2524" style="70" width="42.57"/>
    <col collapsed="false" customWidth="true" hidden="false" outlineLevel="0" max="2525" min="2525" style="70" width="3.29"/>
    <col collapsed="false" customWidth="true" hidden="false" outlineLevel="0" max="2526" min="2526" style="70" width="8"/>
    <col collapsed="false" customWidth="false" hidden="false" outlineLevel="0" max="2527" min="2527" style="70" width="42.57"/>
    <col collapsed="false" customWidth="true" hidden="false" outlineLevel="0" max="2528" min="2528" style="70" width="3.29"/>
    <col collapsed="false" customWidth="true" hidden="false" outlineLevel="0" max="2529" min="2529" style="70" width="8"/>
    <col collapsed="false" customWidth="false" hidden="false" outlineLevel="0" max="2530" min="2530" style="70" width="42.57"/>
    <col collapsed="false" customWidth="true" hidden="false" outlineLevel="0" max="2531" min="2531" style="70" width="3.29"/>
    <col collapsed="false" customWidth="true" hidden="false" outlineLevel="0" max="2532" min="2532" style="70" width="8"/>
    <col collapsed="false" customWidth="false" hidden="false" outlineLevel="0" max="2533" min="2533" style="70" width="42.57"/>
    <col collapsed="false" customWidth="true" hidden="false" outlineLevel="0" max="2534" min="2534" style="70" width="3.29"/>
    <col collapsed="false" customWidth="true" hidden="false" outlineLevel="0" max="2535" min="2535" style="70" width="8"/>
    <col collapsed="false" customWidth="false" hidden="false" outlineLevel="0" max="2536" min="2536" style="70" width="42.57"/>
    <col collapsed="false" customWidth="true" hidden="false" outlineLevel="0" max="2537" min="2537" style="70" width="3.29"/>
    <col collapsed="false" customWidth="true" hidden="false" outlineLevel="0" max="2538" min="2538" style="70" width="8"/>
    <col collapsed="false" customWidth="false" hidden="false" outlineLevel="0" max="2539" min="2539" style="70" width="42.57"/>
    <col collapsed="false" customWidth="true" hidden="false" outlineLevel="0" max="2540" min="2540" style="70" width="3.29"/>
    <col collapsed="false" customWidth="true" hidden="false" outlineLevel="0" max="2541" min="2541" style="70" width="8"/>
    <col collapsed="false" customWidth="false" hidden="false" outlineLevel="0" max="2542" min="2542" style="70" width="42.57"/>
    <col collapsed="false" customWidth="true" hidden="false" outlineLevel="0" max="2543" min="2543" style="70" width="3.29"/>
    <col collapsed="false" customWidth="true" hidden="false" outlineLevel="0" max="2544" min="2544" style="70" width="8"/>
    <col collapsed="false" customWidth="false" hidden="false" outlineLevel="0" max="2545" min="2545" style="70" width="42.57"/>
    <col collapsed="false" customWidth="true" hidden="false" outlineLevel="0" max="2546" min="2546" style="70" width="3.29"/>
    <col collapsed="false" customWidth="true" hidden="false" outlineLevel="0" max="2547" min="2547" style="70" width="8"/>
    <col collapsed="false" customWidth="false" hidden="false" outlineLevel="0" max="2548" min="2548" style="70" width="42.57"/>
    <col collapsed="false" customWidth="true" hidden="false" outlineLevel="0" max="2549" min="2549" style="70" width="3.29"/>
    <col collapsed="false" customWidth="true" hidden="false" outlineLevel="0" max="2550" min="2550" style="70" width="8"/>
    <col collapsed="false" customWidth="false" hidden="false" outlineLevel="0" max="2551" min="2551" style="70" width="42.57"/>
    <col collapsed="false" customWidth="true" hidden="false" outlineLevel="0" max="2552" min="2552" style="70" width="3.29"/>
    <col collapsed="false" customWidth="true" hidden="false" outlineLevel="0" max="2553" min="2553" style="70" width="8"/>
    <col collapsed="false" customWidth="false" hidden="false" outlineLevel="0" max="2554" min="2554" style="70" width="42.57"/>
    <col collapsed="false" customWidth="true" hidden="false" outlineLevel="0" max="2555" min="2555" style="70" width="3.29"/>
    <col collapsed="false" customWidth="true" hidden="false" outlineLevel="0" max="2556" min="2556" style="70" width="8"/>
    <col collapsed="false" customWidth="false" hidden="false" outlineLevel="0" max="2557" min="2557" style="70" width="42.57"/>
    <col collapsed="false" customWidth="true" hidden="false" outlineLevel="0" max="2558" min="2558" style="70" width="3.29"/>
    <col collapsed="false" customWidth="true" hidden="false" outlineLevel="0" max="2559" min="2559" style="70" width="8"/>
    <col collapsed="false" customWidth="false" hidden="false" outlineLevel="0" max="2560" min="2560" style="70" width="42.57"/>
    <col collapsed="false" customWidth="true" hidden="false" outlineLevel="0" max="2561" min="2561" style="70" width="3.29"/>
    <col collapsed="false" customWidth="true" hidden="false" outlineLevel="0" max="2562" min="2562" style="70" width="8"/>
    <col collapsed="false" customWidth="false" hidden="false" outlineLevel="0" max="2563" min="2563" style="70" width="42.57"/>
    <col collapsed="false" customWidth="true" hidden="false" outlineLevel="0" max="2564" min="2564" style="70" width="3.29"/>
    <col collapsed="false" customWidth="true" hidden="false" outlineLevel="0" max="2565" min="2565" style="70" width="8"/>
    <col collapsed="false" customWidth="false" hidden="false" outlineLevel="0" max="2566" min="2566" style="70" width="42.57"/>
    <col collapsed="false" customWidth="true" hidden="false" outlineLevel="0" max="2567" min="2567" style="70" width="3.29"/>
    <col collapsed="false" customWidth="true" hidden="false" outlineLevel="0" max="2568" min="2568" style="70" width="8"/>
    <col collapsed="false" customWidth="false" hidden="false" outlineLevel="0" max="2569" min="2569" style="70" width="42.57"/>
    <col collapsed="false" customWidth="true" hidden="false" outlineLevel="0" max="2570" min="2570" style="70" width="3.29"/>
    <col collapsed="false" customWidth="true" hidden="false" outlineLevel="0" max="2571" min="2571" style="70" width="8"/>
    <col collapsed="false" customWidth="false" hidden="false" outlineLevel="0" max="2572" min="2572" style="70" width="42.57"/>
    <col collapsed="false" customWidth="true" hidden="false" outlineLevel="0" max="2573" min="2573" style="70" width="3.29"/>
    <col collapsed="false" customWidth="true" hidden="false" outlineLevel="0" max="2574" min="2574" style="70" width="8"/>
    <col collapsed="false" customWidth="false" hidden="false" outlineLevel="0" max="2575" min="2575" style="70" width="42.57"/>
    <col collapsed="false" customWidth="true" hidden="false" outlineLevel="0" max="2576" min="2576" style="70" width="3.29"/>
    <col collapsed="false" customWidth="true" hidden="false" outlineLevel="0" max="2577" min="2577" style="70" width="8"/>
    <col collapsed="false" customWidth="false" hidden="false" outlineLevel="0" max="2578" min="2578" style="70" width="42.57"/>
    <col collapsed="false" customWidth="true" hidden="false" outlineLevel="0" max="2579" min="2579" style="70" width="3.29"/>
    <col collapsed="false" customWidth="true" hidden="false" outlineLevel="0" max="2580" min="2580" style="70" width="8"/>
    <col collapsed="false" customWidth="false" hidden="false" outlineLevel="0" max="2581" min="2581" style="70" width="42.57"/>
    <col collapsed="false" customWidth="true" hidden="false" outlineLevel="0" max="2582" min="2582" style="70" width="3.29"/>
    <col collapsed="false" customWidth="true" hidden="false" outlineLevel="0" max="2583" min="2583" style="70" width="8"/>
    <col collapsed="false" customWidth="false" hidden="false" outlineLevel="0" max="2584" min="2584" style="70" width="42.57"/>
    <col collapsed="false" customWidth="true" hidden="false" outlineLevel="0" max="2585" min="2585" style="70" width="3.29"/>
    <col collapsed="false" customWidth="true" hidden="false" outlineLevel="0" max="2586" min="2586" style="70" width="8"/>
    <col collapsed="false" customWidth="false" hidden="false" outlineLevel="0" max="2587" min="2587" style="70" width="42.57"/>
    <col collapsed="false" customWidth="true" hidden="false" outlineLevel="0" max="2588" min="2588" style="70" width="3.29"/>
    <col collapsed="false" customWidth="true" hidden="false" outlineLevel="0" max="2589" min="2589" style="70" width="8"/>
    <col collapsed="false" customWidth="false" hidden="false" outlineLevel="0" max="2590" min="2590" style="70" width="42.57"/>
    <col collapsed="false" customWidth="true" hidden="false" outlineLevel="0" max="2591" min="2591" style="70" width="3.29"/>
    <col collapsed="false" customWidth="true" hidden="false" outlineLevel="0" max="2592" min="2592" style="70" width="8"/>
    <col collapsed="false" customWidth="false" hidden="false" outlineLevel="0" max="2593" min="2593" style="70" width="42.57"/>
    <col collapsed="false" customWidth="true" hidden="false" outlineLevel="0" max="2594" min="2594" style="70" width="3.29"/>
    <col collapsed="false" customWidth="true" hidden="false" outlineLevel="0" max="2595" min="2595" style="70" width="8"/>
    <col collapsed="false" customWidth="false" hidden="false" outlineLevel="0" max="2596" min="2596" style="70" width="42.57"/>
    <col collapsed="false" customWidth="true" hidden="false" outlineLevel="0" max="2597" min="2597" style="70" width="3.29"/>
    <col collapsed="false" customWidth="true" hidden="false" outlineLevel="0" max="2598" min="2598" style="70" width="8"/>
    <col collapsed="false" customWidth="false" hidden="false" outlineLevel="0" max="2599" min="2599" style="70" width="42.57"/>
    <col collapsed="false" customWidth="true" hidden="false" outlineLevel="0" max="2600" min="2600" style="70" width="3.29"/>
    <col collapsed="false" customWidth="true" hidden="false" outlineLevel="0" max="2601" min="2601" style="70" width="8"/>
    <col collapsed="false" customWidth="false" hidden="false" outlineLevel="0" max="2602" min="2602" style="70" width="42.57"/>
    <col collapsed="false" customWidth="true" hidden="false" outlineLevel="0" max="2603" min="2603" style="70" width="3.29"/>
    <col collapsed="false" customWidth="true" hidden="false" outlineLevel="0" max="2604" min="2604" style="70" width="8"/>
    <col collapsed="false" customWidth="false" hidden="false" outlineLevel="0" max="2605" min="2605" style="70" width="42.57"/>
    <col collapsed="false" customWidth="true" hidden="false" outlineLevel="0" max="2606" min="2606" style="70" width="3.29"/>
    <col collapsed="false" customWidth="true" hidden="false" outlineLevel="0" max="2607" min="2607" style="70" width="8"/>
    <col collapsed="false" customWidth="false" hidden="false" outlineLevel="0" max="2608" min="2608" style="70" width="42.57"/>
    <col collapsed="false" customWidth="true" hidden="false" outlineLevel="0" max="2609" min="2609" style="70" width="3.29"/>
    <col collapsed="false" customWidth="true" hidden="false" outlineLevel="0" max="2610" min="2610" style="70" width="8"/>
    <col collapsed="false" customWidth="false" hidden="false" outlineLevel="0" max="2611" min="2611" style="70" width="42.57"/>
    <col collapsed="false" customWidth="true" hidden="false" outlineLevel="0" max="2612" min="2612" style="70" width="3.29"/>
    <col collapsed="false" customWidth="true" hidden="false" outlineLevel="0" max="2613" min="2613" style="70" width="8"/>
    <col collapsed="false" customWidth="false" hidden="false" outlineLevel="0" max="2614" min="2614" style="70" width="42.57"/>
    <col collapsed="false" customWidth="true" hidden="false" outlineLevel="0" max="2615" min="2615" style="70" width="3.29"/>
    <col collapsed="false" customWidth="true" hidden="false" outlineLevel="0" max="2616" min="2616" style="70" width="8"/>
    <col collapsed="false" customWidth="false" hidden="false" outlineLevel="0" max="2617" min="2617" style="70" width="42.57"/>
    <col collapsed="false" customWidth="true" hidden="false" outlineLevel="0" max="2618" min="2618" style="70" width="3.29"/>
    <col collapsed="false" customWidth="true" hidden="false" outlineLevel="0" max="2619" min="2619" style="70" width="8"/>
    <col collapsed="false" customWidth="false" hidden="false" outlineLevel="0" max="2620" min="2620" style="70" width="42.57"/>
    <col collapsed="false" customWidth="true" hidden="false" outlineLevel="0" max="2621" min="2621" style="70" width="3.29"/>
    <col collapsed="false" customWidth="true" hidden="false" outlineLevel="0" max="2622" min="2622" style="70" width="8"/>
    <col collapsed="false" customWidth="false" hidden="false" outlineLevel="0" max="2623" min="2623" style="70" width="42.57"/>
    <col collapsed="false" customWidth="true" hidden="false" outlineLevel="0" max="2624" min="2624" style="70" width="3.29"/>
    <col collapsed="false" customWidth="true" hidden="false" outlineLevel="0" max="2625" min="2625" style="70" width="8"/>
    <col collapsed="false" customWidth="false" hidden="false" outlineLevel="0" max="2626" min="2626" style="70" width="42.57"/>
    <col collapsed="false" customWidth="true" hidden="false" outlineLevel="0" max="2627" min="2627" style="70" width="3.29"/>
    <col collapsed="false" customWidth="true" hidden="false" outlineLevel="0" max="2628" min="2628" style="70" width="8"/>
    <col collapsed="false" customWidth="false" hidden="false" outlineLevel="0" max="2629" min="2629" style="70" width="42.57"/>
    <col collapsed="false" customWidth="true" hidden="false" outlineLevel="0" max="2630" min="2630" style="70" width="3.29"/>
    <col collapsed="false" customWidth="true" hidden="false" outlineLevel="0" max="2631" min="2631" style="70" width="8"/>
    <col collapsed="false" customWidth="false" hidden="false" outlineLevel="0" max="2632" min="2632" style="70" width="42.57"/>
    <col collapsed="false" customWidth="true" hidden="false" outlineLevel="0" max="2633" min="2633" style="70" width="3.29"/>
    <col collapsed="false" customWidth="true" hidden="false" outlineLevel="0" max="2634" min="2634" style="70" width="8"/>
    <col collapsed="false" customWidth="false" hidden="false" outlineLevel="0" max="2635" min="2635" style="70" width="42.57"/>
    <col collapsed="false" customWidth="true" hidden="false" outlineLevel="0" max="2636" min="2636" style="70" width="3.29"/>
    <col collapsed="false" customWidth="true" hidden="false" outlineLevel="0" max="2637" min="2637" style="70" width="8"/>
    <col collapsed="false" customWidth="false" hidden="false" outlineLevel="0" max="2638" min="2638" style="70" width="42.57"/>
    <col collapsed="false" customWidth="true" hidden="false" outlineLevel="0" max="2639" min="2639" style="70" width="3.29"/>
    <col collapsed="false" customWidth="true" hidden="false" outlineLevel="0" max="2640" min="2640" style="70" width="8"/>
    <col collapsed="false" customWidth="false" hidden="false" outlineLevel="0" max="2641" min="2641" style="70" width="42.57"/>
    <col collapsed="false" customWidth="true" hidden="false" outlineLevel="0" max="2642" min="2642" style="70" width="3.29"/>
    <col collapsed="false" customWidth="true" hidden="false" outlineLevel="0" max="2643" min="2643" style="70" width="8"/>
    <col collapsed="false" customWidth="false" hidden="false" outlineLevel="0" max="2644" min="2644" style="70" width="42.57"/>
    <col collapsed="false" customWidth="true" hidden="false" outlineLevel="0" max="2645" min="2645" style="70" width="3.29"/>
    <col collapsed="false" customWidth="true" hidden="false" outlineLevel="0" max="2646" min="2646" style="70" width="8"/>
    <col collapsed="false" customWidth="false" hidden="false" outlineLevel="0" max="2647" min="2647" style="70" width="42.57"/>
    <col collapsed="false" customWidth="true" hidden="false" outlineLevel="0" max="2648" min="2648" style="70" width="3.29"/>
    <col collapsed="false" customWidth="true" hidden="false" outlineLevel="0" max="2649" min="2649" style="70" width="8"/>
    <col collapsed="false" customWidth="false" hidden="false" outlineLevel="0" max="2650" min="2650" style="70" width="42.57"/>
    <col collapsed="false" customWidth="true" hidden="false" outlineLevel="0" max="2651" min="2651" style="70" width="3.29"/>
    <col collapsed="false" customWidth="true" hidden="false" outlineLevel="0" max="2652" min="2652" style="70" width="8"/>
    <col collapsed="false" customWidth="false" hidden="false" outlineLevel="0" max="2653" min="2653" style="70" width="42.57"/>
    <col collapsed="false" customWidth="true" hidden="false" outlineLevel="0" max="2654" min="2654" style="70" width="3.29"/>
    <col collapsed="false" customWidth="true" hidden="false" outlineLevel="0" max="2655" min="2655" style="70" width="8"/>
    <col collapsed="false" customWidth="false" hidden="false" outlineLevel="0" max="2656" min="2656" style="70" width="42.57"/>
    <col collapsed="false" customWidth="true" hidden="false" outlineLevel="0" max="2657" min="2657" style="70" width="3.29"/>
    <col collapsed="false" customWidth="true" hidden="false" outlineLevel="0" max="2658" min="2658" style="70" width="8"/>
    <col collapsed="false" customWidth="false" hidden="false" outlineLevel="0" max="2659" min="2659" style="70" width="42.57"/>
    <col collapsed="false" customWidth="true" hidden="false" outlineLevel="0" max="2660" min="2660" style="70" width="3.29"/>
    <col collapsed="false" customWidth="true" hidden="false" outlineLevel="0" max="2661" min="2661" style="70" width="8"/>
    <col collapsed="false" customWidth="false" hidden="false" outlineLevel="0" max="2662" min="2662" style="70" width="42.57"/>
    <col collapsed="false" customWidth="true" hidden="false" outlineLevel="0" max="2663" min="2663" style="70" width="3.29"/>
    <col collapsed="false" customWidth="true" hidden="false" outlineLevel="0" max="2664" min="2664" style="70" width="8"/>
    <col collapsed="false" customWidth="false" hidden="false" outlineLevel="0" max="2665" min="2665" style="70" width="42.57"/>
    <col collapsed="false" customWidth="true" hidden="false" outlineLevel="0" max="2666" min="2666" style="70" width="3.29"/>
    <col collapsed="false" customWidth="true" hidden="false" outlineLevel="0" max="2667" min="2667" style="70" width="8"/>
    <col collapsed="false" customWidth="false" hidden="false" outlineLevel="0" max="2668" min="2668" style="70" width="42.57"/>
    <col collapsed="false" customWidth="true" hidden="false" outlineLevel="0" max="2669" min="2669" style="70" width="3.29"/>
    <col collapsed="false" customWidth="true" hidden="false" outlineLevel="0" max="2670" min="2670" style="70" width="8"/>
    <col collapsed="false" customWidth="false" hidden="false" outlineLevel="0" max="2671" min="2671" style="70" width="42.57"/>
    <col collapsed="false" customWidth="true" hidden="false" outlineLevel="0" max="2672" min="2672" style="70" width="3.29"/>
    <col collapsed="false" customWidth="true" hidden="false" outlineLevel="0" max="2673" min="2673" style="70" width="8"/>
    <col collapsed="false" customWidth="false" hidden="false" outlineLevel="0" max="2674" min="2674" style="70" width="42.57"/>
    <col collapsed="false" customWidth="true" hidden="false" outlineLevel="0" max="2675" min="2675" style="70" width="3.29"/>
    <col collapsed="false" customWidth="true" hidden="false" outlineLevel="0" max="2676" min="2676" style="70" width="8"/>
    <col collapsed="false" customWidth="false" hidden="false" outlineLevel="0" max="2677" min="2677" style="70" width="42.57"/>
    <col collapsed="false" customWidth="true" hidden="false" outlineLevel="0" max="2678" min="2678" style="70" width="3.29"/>
    <col collapsed="false" customWidth="true" hidden="false" outlineLevel="0" max="2679" min="2679" style="70" width="8"/>
    <col collapsed="false" customWidth="false" hidden="false" outlineLevel="0" max="2680" min="2680" style="70" width="42.57"/>
    <col collapsed="false" customWidth="true" hidden="false" outlineLevel="0" max="2681" min="2681" style="70" width="3.29"/>
    <col collapsed="false" customWidth="true" hidden="false" outlineLevel="0" max="2682" min="2682" style="70" width="8"/>
    <col collapsed="false" customWidth="false" hidden="false" outlineLevel="0" max="2683" min="2683" style="70" width="42.57"/>
    <col collapsed="false" customWidth="true" hidden="false" outlineLevel="0" max="2684" min="2684" style="70" width="3.29"/>
    <col collapsed="false" customWidth="true" hidden="false" outlineLevel="0" max="2685" min="2685" style="70" width="8"/>
    <col collapsed="false" customWidth="false" hidden="false" outlineLevel="0" max="2686" min="2686" style="70" width="42.57"/>
    <col collapsed="false" customWidth="true" hidden="false" outlineLevel="0" max="2687" min="2687" style="70" width="3.29"/>
    <col collapsed="false" customWidth="true" hidden="false" outlineLevel="0" max="2688" min="2688" style="70" width="8"/>
    <col collapsed="false" customWidth="false" hidden="false" outlineLevel="0" max="2689" min="2689" style="70" width="42.57"/>
    <col collapsed="false" customWidth="true" hidden="false" outlineLevel="0" max="2690" min="2690" style="70" width="3.29"/>
    <col collapsed="false" customWidth="true" hidden="false" outlineLevel="0" max="2691" min="2691" style="70" width="8"/>
    <col collapsed="false" customWidth="false" hidden="false" outlineLevel="0" max="2692" min="2692" style="70" width="42.57"/>
    <col collapsed="false" customWidth="true" hidden="false" outlineLevel="0" max="2693" min="2693" style="70" width="3.29"/>
    <col collapsed="false" customWidth="true" hidden="false" outlineLevel="0" max="2694" min="2694" style="70" width="8"/>
    <col collapsed="false" customWidth="false" hidden="false" outlineLevel="0" max="2695" min="2695" style="70" width="42.57"/>
    <col collapsed="false" customWidth="true" hidden="false" outlineLevel="0" max="2696" min="2696" style="70" width="3.29"/>
    <col collapsed="false" customWidth="true" hidden="false" outlineLevel="0" max="2697" min="2697" style="70" width="8"/>
    <col collapsed="false" customWidth="false" hidden="false" outlineLevel="0" max="2698" min="2698" style="70" width="42.57"/>
    <col collapsed="false" customWidth="true" hidden="false" outlineLevel="0" max="2699" min="2699" style="70" width="3.29"/>
    <col collapsed="false" customWidth="true" hidden="false" outlineLevel="0" max="2700" min="2700" style="70" width="8"/>
    <col collapsed="false" customWidth="false" hidden="false" outlineLevel="0" max="2701" min="2701" style="70" width="42.57"/>
    <col collapsed="false" customWidth="true" hidden="false" outlineLevel="0" max="2702" min="2702" style="70" width="3.29"/>
    <col collapsed="false" customWidth="true" hidden="false" outlineLevel="0" max="2703" min="2703" style="70" width="8"/>
    <col collapsed="false" customWidth="false" hidden="false" outlineLevel="0" max="2704" min="2704" style="70" width="42.57"/>
    <col collapsed="false" customWidth="true" hidden="false" outlineLevel="0" max="2705" min="2705" style="70" width="3.29"/>
    <col collapsed="false" customWidth="true" hidden="false" outlineLevel="0" max="2706" min="2706" style="70" width="8"/>
    <col collapsed="false" customWidth="false" hidden="false" outlineLevel="0" max="2707" min="2707" style="70" width="42.57"/>
    <col collapsed="false" customWidth="true" hidden="false" outlineLevel="0" max="2708" min="2708" style="70" width="3.29"/>
    <col collapsed="false" customWidth="true" hidden="false" outlineLevel="0" max="2709" min="2709" style="70" width="8"/>
    <col collapsed="false" customWidth="false" hidden="false" outlineLevel="0" max="2710" min="2710" style="70" width="42.57"/>
    <col collapsed="false" customWidth="true" hidden="false" outlineLevel="0" max="2711" min="2711" style="70" width="3.29"/>
    <col collapsed="false" customWidth="true" hidden="false" outlineLevel="0" max="2712" min="2712" style="70" width="8"/>
    <col collapsed="false" customWidth="false" hidden="false" outlineLevel="0" max="2713" min="2713" style="70" width="42.57"/>
    <col collapsed="false" customWidth="true" hidden="false" outlineLevel="0" max="2714" min="2714" style="70" width="3.29"/>
    <col collapsed="false" customWidth="true" hidden="false" outlineLevel="0" max="2715" min="2715" style="70" width="8"/>
    <col collapsed="false" customWidth="false" hidden="false" outlineLevel="0" max="2716" min="2716" style="70" width="42.57"/>
    <col collapsed="false" customWidth="true" hidden="false" outlineLevel="0" max="2717" min="2717" style="70" width="3.29"/>
    <col collapsed="false" customWidth="true" hidden="false" outlineLevel="0" max="2718" min="2718" style="70" width="8"/>
    <col collapsed="false" customWidth="false" hidden="false" outlineLevel="0" max="2719" min="2719" style="70" width="42.57"/>
    <col collapsed="false" customWidth="true" hidden="false" outlineLevel="0" max="2720" min="2720" style="70" width="3.29"/>
    <col collapsed="false" customWidth="true" hidden="false" outlineLevel="0" max="2721" min="2721" style="70" width="8"/>
    <col collapsed="false" customWidth="false" hidden="false" outlineLevel="0" max="2722" min="2722" style="70" width="42.57"/>
    <col collapsed="false" customWidth="true" hidden="false" outlineLevel="0" max="2723" min="2723" style="70" width="3.29"/>
    <col collapsed="false" customWidth="true" hidden="false" outlineLevel="0" max="2724" min="2724" style="70" width="8"/>
    <col collapsed="false" customWidth="false" hidden="false" outlineLevel="0" max="2725" min="2725" style="70" width="42.57"/>
    <col collapsed="false" customWidth="true" hidden="false" outlineLevel="0" max="2726" min="2726" style="70" width="3.29"/>
    <col collapsed="false" customWidth="true" hidden="false" outlineLevel="0" max="2727" min="2727" style="70" width="8"/>
    <col collapsed="false" customWidth="false" hidden="false" outlineLevel="0" max="2728" min="2728" style="70" width="42.57"/>
    <col collapsed="false" customWidth="true" hidden="false" outlineLevel="0" max="2729" min="2729" style="70" width="3.29"/>
    <col collapsed="false" customWidth="true" hidden="false" outlineLevel="0" max="2730" min="2730" style="70" width="8"/>
    <col collapsed="false" customWidth="false" hidden="false" outlineLevel="0" max="2731" min="2731" style="70" width="42.57"/>
    <col collapsed="false" customWidth="true" hidden="false" outlineLevel="0" max="2732" min="2732" style="70" width="3.29"/>
    <col collapsed="false" customWidth="true" hidden="false" outlineLevel="0" max="2733" min="2733" style="70" width="8"/>
    <col collapsed="false" customWidth="false" hidden="false" outlineLevel="0" max="2734" min="2734" style="70" width="42.57"/>
    <col collapsed="false" customWidth="true" hidden="false" outlineLevel="0" max="2735" min="2735" style="70" width="3.29"/>
    <col collapsed="false" customWidth="true" hidden="false" outlineLevel="0" max="2736" min="2736" style="70" width="8"/>
    <col collapsed="false" customWidth="false" hidden="false" outlineLevel="0" max="2737" min="2737" style="70" width="42.57"/>
    <col collapsed="false" customWidth="true" hidden="false" outlineLevel="0" max="2738" min="2738" style="70" width="3.29"/>
    <col collapsed="false" customWidth="true" hidden="false" outlineLevel="0" max="2739" min="2739" style="70" width="8"/>
    <col collapsed="false" customWidth="false" hidden="false" outlineLevel="0" max="2740" min="2740" style="70" width="42.57"/>
    <col collapsed="false" customWidth="true" hidden="false" outlineLevel="0" max="2741" min="2741" style="70" width="3.29"/>
    <col collapsed="false" customWidth="true" hidden="false" outlineLevel="0" max="2742" min="2742" style="70" width="8"/>
    <col collapsed="false" customWidth="false" hidden="false" outlineLevel="0" max="2743" min="2743" style="70" width="42.57"/>
    <col collapsed="false" customWidth="true" hidden="false" outlineLevel="0" max="2744" min="2744" style="70" width="3.29"/>
    <col collapsed="false" customWidth="true" hidden="false" outlineLevel="0" max="2745" min="2745" style="70" width="8"/>
    <col collapsed="false" customWidth="false" hidden="false" outlineLevel="0" max="2746" min="2746" style="70" width="42.57"/>
    <col collapsed="false" customWidth="true" hidden="false" outlineLevel="0" max="2747" min="2747" style="70" width="3.29"/>
    <col collapsed="false" customWidth="true" hidden="false" outlineLevel="0" max="2748" min="2748" style="70" width="8"/>
    <col collapsed="false" customWidth="false" hidden="false" outlineLevel="0" max="2749" min="2749" style="70" width="42.57"/>
    <col collapsed="false" customWidth="true" hidden="false" outlineLevel="0" max="2750" min="2750" style="70" width="3.29"/>
    <col collapsed="false" customWidth="true" hidden="false" outlineLevel="0" max="2751" min="2751" style="70" width="8"/>
    <col collapsed="false" customWidth="false" hidden="false" outlineLevel="0" max="2752" min="2752" style="70" width="42.57"/>
    <col collapsed="false" customWidth="true" hidden="false" outlineLevel="0" max="2753" min="2753" style="70" width="3.29"/>
    <col collapsed="false" customWidth="true" hidden="false" outlineLevel="0" max="2754" min="2754" style="70" width="8"/>
    <col collapsed="false" customWidth="false" hidden="false" outlineLevel="0" max="2755" min="2755" style="70" width="42.57"/>
    <col collapsed="false" customWidth="true" hidden="false" outlineLevel="0" max="2756" min="2756" style="70" width="3.29"/>
    <col collapsed="false" customWidth="true" hidden="false" outlineLevel="0" max="2757" min="2757" style="70" width="8"/>
    <col collapsed="false" customWidth="false" hidden="false" outlineLevel="0" max="2758" min="2758" style="70" width="42.57"/>
    <col collapsed="false" customWidth="true" hidden="false" outlineLevel="0" max="2759" min="2759" style="70" width="3.29"/>
    <col collapsed="false" customWidth="true" hidden="false" outlineLevel="0" max="2760" min="2760" style="70" width="8"/>
    <col collapsed="false" customWidth="false" hidden="false" outlineLevel="0" max="2761" min="2761" style="70" width="42.57"/>
    <col collapsed="false" customWidth="true" hidden="false" outlineLevel="0" max="2762" min="2762" style="70" width="3.29"/>
    <col collapsed="false" customWidth="true" hidden="false" outlineLevel="0" max="2763" min="2763" style="70" width="8"/>
    <col collapsed="false" customWidth="false" hidden="false" outlineLevel="0" max="2764" min="2764" style="70" width="42.57"/>
    <col collapsed="false" customWidth="true" hidden="false" outlineLevel="0" max="2765" min="2765" style="70" width="3.29"/>
    <col collapsed="false" customWidth="true" hidden="false" outlineLevel="0" max="2766" min="2766" style="70" width="8"/>
    <col collapsed="false" customWidth="false" hidden="false" outlineLevel="0" max="2767" min="2767" style="70" width="42.57"/>
    <col collapsed="false" customWidth="true" hidden="false" outlineLevel="0" max="2768" min="2768" style="70" width="3.29"/>
    <col collapsed="false" customWidth="true" hidden="false" outlineLevel="0" max="2769" min="2769" style="70" width="8"/>
    <col collapsed="false" customWidth="false" hidden="false" outlineLevel="0" max="2770" min="2770" style="70" width="42.57"/>
    <col collapsed="false" customWidth="true" hidden="false" outlineLevel="0" max="2771" min="2771" style="70" width="3.29"/>
    <col collapsed="false" customWidth="true" hidden="false" outlineLevel="0" max="2772" min="2772" style="70" width="8"/>
    <col collapsed="false" customWidth="false" hidden="false" outlineLevel="0" max="2773" min="2773" style="70" width="42.57"/>
    <col collapsed="false" customWidth="true" hidden="false" outlineLevel="0" max="2774" min="2774" style="70" width="3.29"/>
    <col collapsed="false" customWidth="true" hidden="false" outlineLevel="0" max="2775" min="2775" style="70" width="8"/>
    <col collapsed="false" customWidth="false" hidden="false" outlineLevel="0" max="2776" min="2776" style="70" width="42.57"/>
    <col collapsed="false" customWidth="true" hidden="false" outlineLevel="0" max="2777" min="2777" style="70" width="3.29"/>
    <col collapsed="false" customWidth="true" hidden="false" outlineLevel="0" max="2778" min="2778" style="70" width="8"/>
    <col collapsed="false" customWidth="false" hidden="false" outlineLevel="0" max="2779" min="2779" style="70" width="42.57"/>
    <col collapsed="false" customWidth="true" hidden="false" outlineLevel="0" max="2780" min="2780" style="70" width="3.29"/>
    <col collapsed="false" customWidth="true" hidden="false" outlineLevel="0" max="2781" min="2781" style="70" width="8"/>
    <col collapsed="false" customWidth="false" hidden="false" outlineLevel="0" max="2782" min="2782" style="70" width="42.57"/>
    <col collapsed="false" customWidth="true" hidden="false" outlineLevel="0" max="2783" min="2783" style="70" width="3.29"/>
    <col collapsed="false" customWidth="true" hidden="false" outlineLevel="0" max="2784" min="2784" style="70" width="8"/>
    <col collapsed="false" customWidth="false" hidden="false" outlineLevel="0" max="2785" min="2785" style="70" width="42.57"/>
    <col collapsed="false" customWidth="true" hidden="false" outlineLevel="0" max="2786" min="2786" style="70" width="3.29"/>
    <col collapsed="false" customWidth="true" hidden="false" outlineLevel="0" max="2787" min="2787" style="70" width="8"/>
    <col collapsed="false" customWidth="false" hidden="false" outlineLevel="0" max="2788" min="2788" style="70" width="42.57"/>
    <col collapsed="false" customWidth="true" hidden="false" outlineLevel="0" max="2789" min="2789" style="70" width="3.29"/>
    <col collapsed="false" customWidth="true" hidden="false" outlineLevel="0" max="2790" min="2790" style="70" width="8"/>
    <col collapsed="false" customWidth="false" hidden="false" outlineLevel="0" max="2791" min="2791" style="70" width="42.57"/>
    <col collapsed="false" customWidth="true" hidden="false" outlineLevel="0" max="2792" min="2792" style="70" width="3.29"/>
    <col collapsed="false" customWidth="true" hidden="false" outlineLevel="0" max="2793" min="2793" style="70" width="8"/>
    <col collapsed="false" customWidth="false" hidden="false" outlineLevel="0" max="2794" min="2794" style="70" width="42.57"/>
    <col collapsed="false" customWidth="true" hidden="false" outlineLevel="0" max="2795" min="2795" style="70" width="3.29"/>
    <col collapsed="false" customWidth="true" hidden="false" outlineLevel="0" max="2796" min="2796" style="70" width="8"/>
    <col collapsed="false" customWidth="false" hidden="false" outlineLevel="0" max="2797" min="2797" style="70" width="42.57"/>
    <col collapsed="false" customWidth="true" hidden="false" outlineLevel="0" max="2798" min="2798" style="70" width="3.29"/>
    <col collapsed="false" customWidth="true" hidden="false" outlineLevel="0" max="2799" min="2799" style="70" width="8"/>
    <col collapsed="false" customWidth="false" hidden="false" outlineLevel="0" max="2800" min="2800" style="70" width="42.57"/>
    <col collapsed="false" customWidth="true" hidden="false" outlineLevel="0" max="2801" min="2801" style="70" width="3.29"/>
    <col collapsed="false" customWidth="true" hidden="false" outlineLevel="0" max="2802" min="2802" style="70" width="8"/>
    <col collapsed="false" customWidth="false" hidden="false" outlineLevel="0" max="2803" min="2803" style="70" width="42.57"/>
    <col collapsed="false" customWidth="true" hidden="false" outlineLevel="0" max="2804" min="2804" style="70" width="3.29"/>
    <col collapsed="false" customWidth="true" hidden="false" outlineLevel="0" max="2805" min="2805" style="70" width="8"/>
    <col collapsed="false" customWidth="false" hidden="false" outlineLevel="0" max="2806" min="2806" style="70" width="42.57"/>
    <col collapsed="false" customWidth="true" hidden="false" outlineLevel="0" max="2807" min="2807" style="70" width="3.29"/>
    <col collapsed="false" customWidth="true" hidden="false" outlineLevel="0" max="2808" min="2808" style="70" width="8"/>
    <col collapsed="false" customWidth="false" hidden="false" outlineLevel="0" max="2809" min="2809" style="70" width="42.57"/>
    <col collapsed="false" customWidth="true" hidden="false" outlineLevel="0" max="2810" min="2810" style="70" width="3.29"/>
    <col collapsed="false" customWidth="true" hidden="false" outlineLevel="0" max="2811" min="2811" style="70" width="8"/>
    <col collapsed="false" customWidth="false" hidden="false" outlineLevel="0" max="2812" min="2812" style="70" width="42.57"/>
    <col collapsed="false" customWidth="true" hidden="false" outlineLevel="0" max="2813" min="2813" style="70" width="3.29"/>
    <col collapsed="false" customWidth="true" hidden="false" outlineLevel="0" max="2814" min="2814" style="70" width="8"/>
    <col collapsed="false" customWidth="false" hidden="false" outlineLevel="0" max="2815" min="2815" style="70" width="42.57"/>
    <col collapsed="false" customWidth="true" hidden="false" outlineLevel="0" max="2816" min="2816" style="70" width="3.29"/>
    <col collapsed="false" customWidth="true" hidden="false" outlineLevel="0" max="2817" min="2817" style="70" width="8"/>
    <col collapsed="false" customWidth="false" hidden="false" outlineLevel="0" max="2818" min="2818" style="70" width="42.57"/>
    <col collapsed="false" customWidth="true" hidden="false" outlineLevel="0" max="2819" min="2819" style="70" width="3.29"/>
    <col collapsed="false" customWidth="true" hidden="false" outlineLevel="0" max="2820" min="2820" style="70" width="8"/>
    <col collapsed="false" customWidth="false" hidden="false" outlineLevel="0" max="2821" min="2821" style="70" width="42.57"/>
    <col collapsed="false" customWidth="true" hidden="false" outlineLevel="0" max="2822" min="2822" style="70" width="3.29"/>
    <col collapsed="false" customWidth="true" hidden="false" outlineLevel="0" max="2823" min="2823" style="70" width="8"/>
    <col collapsed="false" customWidth="false" hidden="false" outlineLevel="0" max="2824" min="2824" style="70" width="42.57"/>
    <col collapsed="false" customWidth="true" hidden="false" outlineLevel="0" max="2825" min="2825" style="70" width="3.29"/>
    <col collapsed="false" customWidth="true" hidden="false" outlineLevel="0" max="2826" min="2826" style="70" width="8"/>
    <col collapsed="false" customWidth="false" hidden="false" outlineLevel="0" max="2827" min="2827" style="70" width="42.57"/>
    <col collapsed="false" customWidth="true" hidden="false" outlineLevel="0" max="2828" min="2828" style="70" width="3.29"/>
    <col collapsed="false" customWidth="true" hidden="false" outlineLevel="0" max="2829" min="2829" style="70" width="8"/>
    <col collapsed="false" customWidth="false" hidden="false" outlineLevel="0" max="2830" min="2830" style="70" width="42.57"/>
    <col collapsed="false" customWidth="true" hidden="false" outlineLevel="0" max="2831" min="2831" style="70" width="3.29"/>
    <col collapsed="false" customWidth="true" hidden="false" outlineLevel="0" max="2832" min="2832" style="70" width="8"/>
    <col collapsed="false" customWidth="false" hidden="false" outlineLevel="0" max="2833" min="2833" style="70" width="42.57"/>
    <col collapsed="false" customWidth="true" hidden="false" outlineLevel="0" max="2834" min="2834" style="70" width="3.29"/>
    <col collapsed="false" customWidth="true" hidden="false" outlineLevel="0" max="2835" min="2835" style="70" width="8"/>
    <col collapsed="false" customWidth="false" hidden="false" outlineLevel="0" max="2836" min="2836" style="70" width="42.57"/>
    <col collapsed="false" customWidth="true" hidden="false" outlineLevel="0" max="2837" min="2837" style="70" width="3.29"/>
    <col collapsed="false" customWidth="true" hidden="false" outlineLevel="0" max="2838" min="2838" style="70" width="8"/>
    <col collapsed="false" customWidth="false" hidden="false" outlineLevel="0" max="2839" min="2839" style="70" width="42.57"/>
    <col collapsed="false" customWidth="true" hidden="false" outlineLevel="0" max="2840" min="2840" style="70" width="3.29"/>
    <col collapsed="false" customWidth="true" hidden="false" outlineLevel="0" max="2841" min="2841" style="70" width="8"/>
    <col collapsed="false" customWidth="false" hidden="false" outlineLevel="0" max="2842" min="2842" style="70" width="42.57"/>
    <col collapsed="false" customWidth="true" hidden="false" outlineLevel="0" max="2843" min="2843" style="70" width="3.29"/>
    <col collapsed="false" customWidth="true" hidden="false" outlineLevel="0" max="2844" min="2844" style="70" width="8"/>
    <col collapsed="false" customWidth="false" hidden="false" outlineLevel="0" max="2845" min="2845" style="70" width="42.57"/>
    <col collapsed="false" customWidth="true" hidden="false" outlineLevel="0" max="2846" min="2846" style="70" width="3.29"/>
    <col collapsed="false" customWidth="true" hidden="false" outlineLevel="0" max="2847" min="2847" style="70" width="8"/>
    <col collapsed="false" customWidth="false" hidden="false" outlineLevel="0" max="2848" min="2848" style="70" width="42.57"/>
    <col collapsed="false" customWidth="true" hidden="false" outlineLevel="0" max="2849" min="2849" style="70" width="3.29"/>
    <col collapsed="false" customWidth="true" hidden="false" outlineLevel="0" max="2850" min="2850" style="70" width="8"/>
    <col collapsed="false" customWidth="false" hidden="false" outlineLevel="0" max="2851" min="2851" style="70" width="42.57"/>
    <col collapsed="false" customWidth="true" hidden="false" outlineLevel="0" max="2852" min="2852" style="70" width="3.29"/>
    <col collapsed="false" customWidth="true" hidden="false" outlineLevel="0" max="2853" min="2853" style="70" width="8"/>
    <col collapsed="false" customWidth="false" hidden="false" outlineLevel="0" max="2854" min="2854" style="70" width="42.57"/>
    <col collapsed="false" customWidth="true" hidden="false" outlineLevel="0" max="2855" min="2855" style="70" width="3.29"/>
    <col collapsed="false" customWidth="true" hidden="false" outlineLevel="0" max="2856" min="2856" style="70" width="8"/>
    <col collapsed="false" customWidth="false" hidden="false" outlineLevel="0" max="2857" min="2857" style="70" width="42.57"/>
    <col collapsed="false" customWidth="true" hidden="false" outlineLevel="0" max="2858" min="2858" style="70" width="3.29"/>
    <col collapsed="false" customWidth="true" hidden="false" outlineLevel="0" max="2859" min="2859" style="70" width="8"/>
    <col collapsed="false" customWidth="false" hidden="false" outlineLevel="0" max="2860" min="2860" style="70" width="42.57"/>
    <col collapsed="false" customWidth="true" hidden="false" outlineLevel="0" max="2861" min="2861" style="70" width="3.29"/>
    <col collapsed="false" customWidth="true" hidden="false" outlineLevel="0" max="2862" min="2862" style="70" width="8"/>
    <col collapsed="false" customWidth="false" hidden="false" outlineLevel="0" max="2863" min="2863" style="70" width="42.57"/>
    <col collapsed="false" customWidth="true" hidden="false" outlineLevel="0" max="2864" min="2864" style="70" width="3.29"/>
    <col collapsed="false" customWidth="true" hidden="false" outlineLevel="0" max="2865" min="2865" style="70" width="8"/>
    <col collapsed="false" customWidth="false" hidden="false" outlineLevel="0" max="2866" min="2866" style="70" width="42.57"/>
    <col collapsed="false" customWidth="true" hidden="false" outlineLevel="0" max="2867" min="2867" style="70" width="3.29"/>
    <col collapsed="false" customWidth="true" hidden="false" outlineLevel="0" max="2868" min="2868" style="70" width="8"/>
    <col collapsed="false" customWidth="false" hidden="false" outlineLevel="0" max="2869" min="2869" style="70" width="42.57"/>
    <col collapsed="false" customWidth="true" hidden="false" outlineLevel="0" max="2870" min="2870" style="70" width="3.29"/>
    <col collapsed="false" customWidth="true" hidden="false" outlineLevel="0" max="2871" min="2871" style="70" width="8"/>
    <col collapsed="false" customWidth="false" hidden="false" outlineLevel="0" max="2872" min="2872" style="70" width="42.57"/>
    <col collapsed="false" customWidth="true" hidden="false" outlineLevel="0" max="2873" min="2873" style="70" width="3.29"/>
    <col collapsed="false" customWidth="true" hidden="false" outlineLevel="0" max="2874" min="2874" style="70" width="8"/>
    <col collapsed="false" customWidth="false" hidden="false" outlineLevel="0" max="2875" min="2875" style="70" width="42.57"/>
    <col collapsed="false" customWidth="true" hidden="false" outlineLevel="0" max="2876" min="2876" style="70" width="3.29"/>
    <col collapsed="false" customWidth="true" hidden="false" outlineLevel="0" max="2877" min="2877" style="70" width="8"/>
    <col collapsed="false" customWidth="false" hidden="false" outlineLevel="0" max="2878" min="2878" style="70" width="42.57"/>
    <col collapsed="false" customWidth="true" hidden="false" outlineLevel="0" max="2879" min="2879" style="70" width="3.29"/>
    <col collapsed="false" customWidth="true" hidden="false" outlineLevel="0" max="2880" min="2880" style="70" width="8"/>
    <col collapsed="false" customWidth="false" hidden="false" outlineLevel="0" max="2881" min="2881" style="70" width="42.57"/>
    <col collapsed="false" customWidth="true" hidden="false" outlineLevel="0" max="2882" min="2882" style="70" width="3.29"/>
    <col collapsed="false" customWidth="true" hidden="false" outlineLevel="0" max="2883" min="2883" style="70" width="8"/>
    <col collapsed="false" customWidth="false" hidden="false" outlineLevel="0" max="2884" min="2884" style="70" width="42.57"/>
    <col collapsed="false" customWidth="true" hidden="false" outlineLevel="0" max="2885" min="2885" style="70" width="3.29"/>
    <col collapsed="false" customWidth="true" hidden="false" outlineLevel="0" max="2886" min="2886" style="70" width="8"/>
    <col collapsed="false" customWidth="false" hidden="false" outlineLevel="0" max="2887" min="2887" style="70" width="42.57"/>
    <col collapsed="false" customWidth="true" hidden="false" outlineLevel="0" max="2888" min="2888" style="70" width="3.29"/>
    <col collapsed="false" customWidth="true" hidden="false" outlineLevel="0" max="2889" min="2889" style="70" width="8"/>
    <col collapsed="false" customWidth="false" hidden="false" outlineLevel="0" max="2890" min="2890" style="70" width="42.57"/>
    <col collapsed="false" customWidth="true" hidden="false" outlineLevel="0" max="2891" min="2891" style="70" width="3.29"/>
    <col collapsed="false" customWidth="true" hidden="false" outlineLevel="0" max="2892" min="2892" style="70" width="8"/>
    <col collapsed="false" customWidth="false" hidden="false" outlineLevel="0" max="2893" min="2893" style="70" width="42.57"/>
    <col collapsed="false" customWidth="true" hidden="false" outlineLevel="0" max="2894" min="2894" style="70" width="3.29"/>
    <col collapsed="false" customWidth="true" hidden="false" outlineLevel="0" max="2895" min="2895" style="70" width="8"/>
    <col collapsed="false" customWidth="false" hidden="false" outlineLevel="0" max="2896" min="2896" style="70" width="42.57"/>
    <col collapsed="false" customWidth="true" hidden="false" outlineLevel="0" max="2897" min="2897" style="70" width="3.29"/>
    <col collapsed="false" customWidth="true" hidden="false" outlineLevel="0" max="2898" min="2898" style="70" width="8"/>
    <col collapsed="false" customWidth="false" hidden="false" outlineLevel="0" max="2899" min="2899" style="70" width="42.57"/>
    <col collapsed="false" customWidth="true" hidden="false" outlineLevel="0" max="2900" min="2900" style="70" width="3.29"/>
    <col collapsed="false" customWidth="true" hidden="false" outlineLevel="0" max="2901" min="2901" style="70" width="8"/>
    <col collapsed="false" customWidth="false" hidden="false" outlineLevel="0" max="2902" min="2902" style="70" width="42.57"/>
    <col collapsed="false" customWidth="true" hidden="false" outlineLevel="0" max="2903" min="2903" style="70" width="3.29"/>
    <col collapsed="false" customWidth="true" hidden="false" outlineLevel="0" max="2904" min="2904" style="70" width="8"/>
    <col collapsed="false" customWidth="false" hidden="false" outlineLevel="0" max="2905" min="2905" style="70" width="42.57"/>
    <col collapsed="false" customWidth="true" hidden="false" outlineLevel="0" max="2906" min="2906" style="70" width="3.29"/>
    <col collapsed="false" customWidth="true" hidden="false" outlineLevel="0" max="2907" min="2907" style="70" width="8"/>
    <col collapsed="false" customWidth="false" hidden="false" outlineLevel="0" max="2908" min="2908" style="70" width="42.57"/>
    <col collapsed="false" customWidth="true" hidden="false" outlineLevel="0" max="2909" min="2909" style="70" width="3.29"/>
    <col collapsed="false" customWidth="true" hidden="false" outlineLevel="0" max="2910" min="2910" style="70" width="8"/>
    <col collapsed="false" customWidth="false" hidden="false" outlineLevel="0" max="2911" min="2911" style="70" width="42.57"/>
    <col collapsed="false" customWidth="true" hidden="false" outlineLevel="0" max="2912" min="2912" style="70" width="3.29"/>
    <col collapsed="false" customWidth="true" hidden="false" outlineLevel="0" max="2913" min="2913" style="70" width="8"/>
    <col collapsed="false" customWidth="false" hidden="false" outlineLevel="0" max="2914" min="2914" style="70" width="42.57"/>
    <col collapsed="false" customWidth="true" hidden="false" outlineLevel="0" max="2915" min="2915" style="70" width="3.29"/>
    <col collapsed="false" customWidth="true" hidden="false" outlineLevel="0" max="2916" min="2916" style="70" width="8"/>
    <col collapsed="false" customWidth="false" hidden="false" outlineLevel="0" max="2917" min="2917" style="70" width="42.57"/>
    <col collapsed="false" customWidth="true" hidden="false" outlineLevel="0" max="2918" min="2918" style="70" width="3.29"/>
    <col collapsed="false" customWidth="true" hidden="false" outlineLevel="0" max="2919" min="2919" style="70" width="8"/>
    <col collapsed="false" customWidth="false" hidden="false" outlineLevel="0" max="2920" min="2920" style="70" width="42.57"/>
    <col collapsed="false" customWidth="true" hidden="false" outlineLevel="0" max="2921" min="2921" style="70" width="3.29"/>
    <col collapsed="false" customWidth="true" hidden="false" outlineLevel="0" max="2922" min="2922" style="70" width="8"/>
    <col collapsed="false" customWidth="false" hidden="false" outlineLevel="0" max="2923" min="2923" style="70" width="42.57"/>
    <col collapsed="false" customWidth="true" hidden="false" outlineLevel="0" max="2924" min="2924" style="70" width="3.29"/>
    <col collapsed="false" customWidth="true" hidden="false" outlineLevel="0" max="2925" min="2925" style="70" width="8"/>
    <col collapsed="false" customWidth="false" hidden="false" outlineLevel="0" max="2926" min="2926" style="70" width="42.57"/>
    <col collapsed="false" customWidth="true" hidden="false" outlineLevel="0" max="2927" min="2927" style="70" width="3.29"/>
    <col collapsed="false" customWidth="true" hidden="false" outlineLevel="0" max="2928" min="2928" style="70" width="8"/>
    <col collapsed="false" customWidth="false" hidden="false" outlineLevel="0" max="2929" min="2929" style="70" width="42.57"/>
    <col collapsed="false" customWidth="true" hidden="false" outlineLevel="0" max="2930" min="2930" style="70" width="3.29"/>
    <col collapsed="false" customWidth="true" hidden="false" outlineLevel="0" max="2931" min="2931" style="70" width="8"/>
    <col collapsed="false" customWidth="false" hidden="false" outlineLevel="0" max="2932" min="2932" style="70" width="42.57"/>
    <col collapsed="false" customWidth="true" hidden="false" outlineLevel="0" max="2933" min="2933" style="70" width="3.29"/>
    <col collapsed="false" customWidth="true" hidden="false" outlineLevel="0" max="2934" min="2934" style="70" width="8"/>
    <col collapsed="false" customWidth="false" hidden="false" outlineLevel="0" max="2935" min="2935" style="70" width="42.57"/>
    <col collapsed="false" customWidth="true" hidden="false" outlineLevel="0" max="2936" min="2936" style="70" width="3.29"/>
    <col collapsed="false" customWidth="true" hidden="false" outlineLevel="0" max="2937" min="2937" style="70" width="8"/>
    <col collapsed="false" customWidth="false" hidden="false" outlineLevel="0" max="2938" min="2938" style="70" width="42.57"/>
    <col collapsed="false" customWidth="true" hidden="false" outlineLevel="0" max="2939" min="2939" style="70" width="3.29"/>
    <col collapsed="false" customWidth="true" hidden="false" outlineLevel="0" max="2940" min="2940" style="70" width="8"/>
    <col collapsed="false" customWidth="false" hidden="false" outlineLevel="0" max="2941" min="2941" style="70" width="42.57"/>
    <col collapsed="false" customWidth="true" hidden="false" outlineLevel="0" max="2942" min="2942" style="70" width="3.29"/>
    <col collapsed="false" customWidth="true" hidden="false" outlineLevel="0" max="2943" min="2943" style="70" width="8"/>
    <col collapsed="false" customWidth="false" hidden="false" outlineLevel="0" max="2944" min="2944" style="70" width="42.57"/>
    <col collapsed="false" customWidth="true" hidden="false" outlineLevel="0" max="2945" min="2945" style="70" width="3.29"/>
    <col collapsed="false" customWidth="true" hidden="false" outlineLevel="0" max="2946" min="2946" style="70" width="8"/>
    <col collapsed="false" customWidth="false" hidden="false" outlineLevel="0" max="2947" min="2947" style="70" width="42.57"/>
    <col collapsed="false" customWidth="true" hidden="false" outlineLevel="0" max="2948" min="2948" style="70" width="3.29"/>
    <col collapsed="false" customWidth="true" hidden="false" outlineLevel="0" max="2949" min="2949" style="70" width="8"/>
    <col collapsed="false" customWidth="false" hidden="false" outlineLevel="0" max="2950" min="2950" style="70" width="42.57"/>
    <col collapsed="false" customWidth="true" hidden="false" outlineLevel="0" max="2951" min="2951" style="70" width="3.29"/>
    <col collapsed="false" customWidth="true" hidden="false" outlineLevel="0" max="2952" min="2952" style="70" width="8"/>
    <col collapsed="false" customWidth="false" hidden="false" outlineLevel="0" max="2953" min="2953" style="70" width="42.57"/>
    <col collapsed="false" customWidth="true" hidden="false" outlineLevel="0" max="2954" min="2954" style="70" width="3.29"/>
    <col collapsed="false" customWidth="true" hidden="false" outlineLevel="0" max="2955" min="2955" style="70" width="8"/>
    <col collapsed="false" customWidth="false" hidden="false" outlineLevel="0" max="2956" min="2956" style="70" width="42.57"/>
    <col collapsed="false" customWidth="true" hidden="false" outlineLevel="0" max="2957" min="2957" style="70" width="3.29"/>
    <col collapsed="false" customWidth="true" hidden="false" outlineLevel="0" max="2958" min="2958" style="70" width="8"/>
    <col collapsed="false" customWidth="false" hidden="false" outlineLevel="0" max="2959" min="2959" style="70" width="42.57"/>
    <col collapsed="false" customWidth="true" hidden="false" outlineLevel="0" max="2960" min="2960" style="70" width="3.29"/>
    <col collapsed="false" customWidth="true" hidden="false" outlineLevel="0" max="2961" min="2961" style="70" width="8"/>
    <col collapsed="false" customWidth="false" hidden="false" outlineLevel="0" max="2962" min="2962" style="70" width="42.57"/>
    <col collapsed="false" customWidth="true" hidden="false" outlineLevel="0" max="2963" min="2963" style="70" width="3.29"/>
    <col collapsed="false" customWidth="true" hidden="false" outlineLevel="0" max="2964" min="2964" style="70" width="8"/>
    <col collapsed="false" customWidth="false" hidden="false" outlineLevel="0" max="2965" min="2965" style="70" width="42.57"/>
    <col collapsed="false" customWidth="true" hidden="false" outlineLevel="0" max="2966" min="2966" style="70" width="3.29"/>
    <col collapsed="false" customWidth="true" hidden="false" outlineLevel="0" max="2967" min="2967" style="70" width="8"/>
    <col collapsed="false" customWidth="false" hidden="false" outlineLevel="0" max="2968" min="2968" style="70" width="42.57"/>
    <col collapsed="false" customWidth="true" hidden="false" outlineLevel="0" max="2969" min="2969" style="70" width="3.29"/>
    <col collapsed="false" customWidth="true" hidden="false" outlineLevel="0" max="2970" min="2970" style="70" width="8"/>
    <col collapsed="false" customWidth="false" hidden="false" outlineLevel="0" max="2971" min="2971" style="70" width="42.57"/>
    <col collapsed="false" customWidth="true" hidden="false" outlineLevel="0" max="2972" min="2972" style="70" width="3.29"/>
    <col collapsed="false" customWidth="true" hidden="false" outlineLevel="0" max="2973" min="2973" style="70" width="8"/>
    <col collapsed="false" customWidth="false" hidden="false" outlineLevel="0" max="2974" min="2974" style="70" width="42.57"/>
    <col collapsed="false" customWidth="true" hidden="false" outlineLevel="0" max="2975" min="2975" style="70" width="3.29"/>
    <col collapsed="false" customWidth="true" hidden="false" outlineLevel="0" max="2976" min="2976" style="70" width="8"/>
    <col collapsed="false" customWidth="false" hidden="false" outlineLevel="0" max="2977" min="2977" style="70" width="42.57"/>
    <col collapsed="false" customWidth="true" hidden="false" outlineLevel="0" max="2978" min="2978" style="70" width="3.29"/>
    <col collapsed="false" customWidth="true" hidden="false" outlineLevel="0" max="2979" min="2979" style="70" width="8"/>
    <col collapsed="false" customWidth="false" hidden="false" outlineLevel="0" max="2980" min="2980" style="70" width="42.57"/>
    <col collapsed="false" customWidth="true" hidden="false" outlineLevel="0" max="2981" min="2981" style="70" width="3.29"/>
    <col collapsed="false" customWidth="true" hidden="false" outlineLevel="0" max="2982" min="2982" style="70" width="8"/>
    <col collapsed="false" customWidth="false" hidden="false" outlineLevel="0" max="2983" min="2983" style="70" width="42.57"/>
    <col collapsed="false" customWidth="true" hidden="false" outlineLevel="0" max="2984" min="2984" style="70" width="3.29"/>
    <col collapsed="false" customWidth="true" hidden="false" outlineLevel="0" max="2985" min="2985" style="70" width="8"/>
    <col collapsed="false" customWidth="false" hidden="false" outlineLevel="0" max="2986" min="2986" style="70" width="42.57"/>
    <col collapsed="false" customWidth="true" hidden="false" outlineLevel="0" max="2987" min="2987" style="70" width="3.29"/>
    <col collapsed="false" customWidth="true" hidden="false" outlineLevel="0" max="2988" min="2988" style="70" width="8"/>
    <col collapsed="false" customWidth="false" hidden="false" outlineLevel="0" max="2989" min="2989" style="70" width="42.57"/>
    <col collapsed="false" customWidth="true" hidden="false" outlineLevel="0" max="2990" min="2990" style="70" width="3.29"/>
    <col collapsed="false" customWidth="true" hidden="false" outlineLevel="0" max="2991" min="2991" style="70" width="8"/>
    <col collapsed="false" customWidth="false" hidden="false" outlineLevel="0" max="2992" min="2992" style="70" width="42.57"/>
    <col collapsed="false" customWidth="true" hidden="false" outlineLevel="0" max="2993" min="2993" style="70" width="3.29"/>
    <col collapsed="false" customWidth="true" hidden="false" outlineLevel="0" max="2994" min="2994" style="70" width="8"/>
    <col collapsed="false" customWidth="false" hidden="false" outlineLevel="0" max="2995" min="2995" style="70" width="42.57"/>
    <col collapsed="false" customWidth="true" hidden="false" outlineLevel="0" max="2996" min="2996" style="70" width="3.29"/>
    <col collapsed="false" customWidth="true" hidden="false" outlineLevel="0" max="2997" min="2997" style="70" width="8"/>
    <col collapsed="false" customWidth="false" hidden="false" outlineLevel="0" max="2998" min="2998" style="70" width="42.57"/>
    <col collapsed="false" customWidth="true" hidden="false" outlineLevel="0" max="2999" min="2999" style="70" width="3.29"/>
    <col collapsed="false" customWidth="true" hidden="false" outlineLevel="0" max="3000" min="3000" style="70" width="8"/>
    <col collapsed="false" customWidth="false" hidden="false" outlineLevel="0" max="3001" min="3001" style="70" width="42.57"/>
    <col collapsed="false" customWidth="true" hidden="false" outlineLevel="0" max="3002" min="3002" style="70" width="3.29"/>
    <col collapsed="false" customWidth="true" hidden="false" outlineLevel="0" max="3003" min="3003" style="70" width="8"/>
    <col collapsed="false" customWidth="false" hidden="false" outlineLevel="0" max="3004" min="3004" style="70" width="42.57"/>
    <col collapsed="false" customWidth="true" hidden="false" outlineLevel="0" max="3005" min="3005" style="70" width="3.29"/>
    <col collapsed="false" customWidth="true" hidden="false" outlineLevel="0" max="3006" min="3006" style="70" width="8"/>
    <col collapsed="false" customWidth="false" hidden="false" outlineLevel="0" max="3007" min="3007" style="70" width="42.57"/>
    <col collapsed="false" customWidth="true" hidden="false" outlineLevel="0" max="3008" min="3008" style="70" width="3.29"/>
    <col collapsed="false" customWidth="true" hidden="false" outlineLevel="0" max="3009" min="3009" style="70" width="8"/>
    <col collapsed="false" customWidth="false" hidden="false" outlineLevel="0" max="3010" min="3010" style="70" width="42.57"/>
    <col collapsed="false" customWidth="true" hidden="false" outlineLevel="0" max="3011" min="3011" style="70" width="3.29"/>
    <col collapsed="false" customWidth="true" hidden="false" outlineLevel="0" max="3012" min="3012" style="70" width="8"/>
    <col collapsed="false" customWidth="false" hidden="false" outlineLevel="0" max="3013" min="3013" style="70" width="42.57"/>
    <col collapsed="false" customWidth="true" hidden="false" outlineLevel="0" max="3014" min="3014" style="70" width="3.29"/>
    <col collapsed="false" customWidth="true" hidden="false" outlineLevel="0" max="3015" min="3015" style="70" width="8"/>
    <col collapsed="false" customWidth="false" hidden="false" outlineLevel="0" max="3016" min="3016" style="70" width="42.57"/>
    <col collapsed="false" customWidth="true" hidden="false" outlineLevel="0" max="3017" min="3017" style="70" width="3.29"/>
    <col collapsed="false" customWidth="true" hidden="false" outlineLevel="0" max="3018" min="3018" style="70" width="8"/>
    <col collapsed="false" customWidth="false" hidden="false" outlineLevel="0" max="3019" min="3019" style="70" width="42.57"/>
    <col collapsed="false" customWidth="true" hidden="false" outlineLevel="0" max="3020" min="3020" style="70" width="3.29"/>
    <col collapsed="false" customWidth="true" hidden="false" outlineLevel="0" max="3021" min="3021" style="70" width="8"/>
    <col collapsed="false" customWidth="false" hidden="false" outlineLevel="0" max="3022" min="3022" style="70" width="42.57"/>
    <col collapsed="false" customWidth="true" hidden="false" outlineLevel="0" max="3023" min="3023" style="70" width="3.29"/>
    <col collapsed="false" customWidth="true" hidden="false" outlineLevel="0" max="3024" min="3024" style="70" width="8"/>
    <col collapsed="false" customWidth="false" hidden="false" outlineLevel="0" max="3025" min="3025" style="70" width="42.57"/>
    <col collapsed="false" customWidth="true" hidden="false" outlineLevel="0" max="3026" min="3026" style="70" width="3.29"/>
    <col collapsed="false" customWidth="true" hidden="false" outlineLevel="0" max="3027" min="3027" style="70" width="8"/>
    <col collapsed="false" customWidth="false" hidden="false" outlineLevel="0" max="3028" min="3028" style="70" width="42.57"/>
    <col collapsed="false" customWidth="true" hidden="false" outlineLevel="0" max="3029" min="3029" style="70" width="3.29"/>
    <col collapsed="false" customWidth="true" hidden="false" outlineLevel="0" max="3030" min="3030" style="70" width="8"/>
    <col collapsed="false" customWidth="false" hidden="false" outlineLevel="0" max="3031" min="3031" style="70" width="42.57"/>
    <col collapsed="false" customWidth="true" hidden="false" outlineLevel="0" max="3032" min="3032" style="70" width="3.29"/>
    <col collapsed="false" customWidth="true" hidden="false" outlineLevel="0" max="3033" min="3033" style="70" width="8"/>
    <col collapsed="false" customWidth="false" hidden="false" outlineLevel="0" max="3034" min="3034" style="70" width="42.57"/>
    <col collapsed="false" customWidth="true" hidden="false" outlineLevel="0" max="3035" min="3035" style="70" width="3.29"/>
    <col collapsed="false" customWidth="true" hidden="false" outlineLevel="0" max="3036" min="3036" style="70" width="8"/>
    <col collapsed="false" customWidth="false" hidden="false" outlineLevel="0" max="3037" min="3037" style="70" width="42.57"/>
    <col collapsed="false" customWidth="true" hidden="false" outlineLevel="0" max="3038" min="3038" style="70" width="3.29"/>
    <col collapsed="false" customWidth="true" hidden="false" outlineLevel="0" max="3039" min="3039" style="70" width="8"/>
    <col collapsed="false" customWidth="false" hidden="false" outlineLevel="0" max="3040" min="3040" style="70" width="42.57"/>
    <col collapsed="false" customWidth="true" hidden="false" outlineLevel="0" max="3041" min="3041" style="70" width="3.29"/>
    <col collapsed="false" customWidth="true" hidden="false" outlineLevel="0" max="3042" min="3042" style="70" width="8"/>
    <col collapsed="false" customWidth="false" hidden="false" outlineLevel="0" max="3043" min="3043" style="70" width="42.57"/>
    <col collapsed="false" customWidth="true" hidden="false" outlineLevel="0" max="3044" min="3044" style="70" width="3.29"/>
    <col collapsed="false" customWidth="true" hidden="false" outlineLevel="0" max="3045" min="3045" style="70" width="8"/>
    <col collapsed="false" customWidth="false" hidden="false" outlineLevel="0" max="3046" min="3046" style="70" width="42.57"/>
    <col collapsed="false" customWidth="true" hidden="false" outlineLevel="0" max="3047" min="3047" style="70" width="3.29"/>
    <col collapsed="false" customWidth="true" hidden="false" outlineLevel="0" max="3048" min="3048" style="70" width="8"/>
    <col collapsed="false" customWidth="false" hidden="false" outlineLevel="0" max="3049" min="3049" style="70" width="42.57"/>
    <col collapsed="false" customWidth="true" hidden="false" outlineLevel="0" max="3050" min="3050" style="70" width="3.29"/>
    <col collapsed="false" customWidth="true" hidden="false" outlineLevel="0" max="3051" min="3051" style="70" width="8"/>
    <col collapsed="false" customWidth="false" hidden="false" outlineLevel="0" max="3052" min="3052" style="70" width="42.57"/>
    <col collapsed="false" customWidth="true" hidden="false" outlineLevel="0" max="3053" min="3053" style="70" width="3.29"/>
    <col collapsed="false" customWidth="true" hidden="false" outlineLevel="0" max="3054" min="3054" style="70" width="8"/>
    <col collapsed="false" customWidth="false" hidden="false" outlineLevel="0" max="3055" min="3055" style="70" width="42.57"/>
    <col collapsed="false" customWidth="true" hidden="false" outlineLevel="0" max="3056" min="3056" style="70" width="3.29"/>
    <col collapsed="false" customWidth="true" hidden="false" outlineLevel="0" max="3057" min="3057" style="70" width="8"/>
    <col collapsed="false" customWidth="false" hidden="false" outlineLevel="0" max="3058" min="3058" style="70" width="42.57"/>
    <col collapsed="false" customWidth="true" hidden="false" outlineLevel="0" max="3059" min="3059" style="70" width="3.29"/>
    <col collapsed="false" customWidth="true" hidden="false" outlineLevel="0" max="3060" min="3060" style="70" width="8"/>
    <col collapsed="false" customWidth="false" hidden="false" outlineLevel="0" max="3061" min="3061" style="70" width="42.57"/>
    <col collapsed="false" customWidth="true" hidden="false" outlineLevel="0" max="3062" min="3062" style="70" width="3.29"/>
    <col collapsed="false" customWidth="true" hidden="false" outlineLevel="0" max="3063" min="3063" style="70" width="8"/>
    <col collapsed="false" customWidth="false" hidden="false" outlineLevel="0" max="3064" min="3064" style="70" width="42.57"/>
    <col collapsed="false" customWidth="true" hidden="false" outlineLevel="0" max="3065" min="3065" style="70" width="3.29"/>
    <col collapsed="false" customWidth="true" hidden="false" outlineLevel="0" max="3066" min="3066" style="70" width="8"/>
    <col collapsed="false" customWidth="false" hidden="false" outlineLevel="0" max="3067" min="3067" style="70" width="42.57"/>
    <col collapsed="false" customWidth="true" hidden="false" outlineLevel="0" max="3068" min="3068" style="70" width="3.29"/>
    <col collapsed="false" customWidth="true" hidden="false" outlineLevel="0" max="3069" min="3069" style="70" width="8"/>
    <col collapsed="false" customWidth="false" hidden="false" outlineLevel="0" max="3070" min="3070" style="70" width="42.57"/>
    <col collapsed="false" customWidth="true" hidden="false" outlineLevel="0" max="3071" min="3071" style="70" width="3.29"/>
    <col collapsed="false" customWidth="true" hidden="false" outlineLevel="0" max="3072" min="3072" style="70" width="8"/>
    <col collapsed="false" customWidth="false" hidden="false" outlineLevel="0" max="3073" min="3073" style="70" width="42.57"/>
    <col collapsed="false" customWidth="true" hidden="false" outlineLevel="0" max="3074" min="3074" style="70" width="3.29"/>
    <col collapsed="false" customWidth="true" hidden="false" outlineLevel="0" max="3075" min="3075" style="70" width="8"/>
    <col collapsed="false" customWidth="false" hidden="false" outlineLevel="0" max="3076" min="3076" style="70" width="42.57"/>
    <col collapsed="false" customWidth="true" hidden="false" outlineLevel="0" max="3077" min="3077" style="70" width="3.29"/>
    <col collapsed="false" customWidth="true" hidden="false" outlineLevel="0" max="3078" min="3078" style="70" width="8"/>
    <col collapsed="false" customWidth="false" hidden="false" outlineLevel="0" max="3079" min="3079" style="70" width="42.57"/>
    <col collapsed="false" customWidth="true" hidden="false" outlineLevel="0" max="3080" min="3080" style="70" width="3.29"/>
    <col collapsed="false" customWidth="true" hidden="false" outlineLevel="0" max="3081" min="3081" style="70" width="8"/>
    <col collapsed="false" customWidth="false" hidden="false" outlineLevel="0" max="3082" min="3082" style="70" width="42.57"/>
    <col collapsed="false" customWidth="true" hidden="false" outlineLevel="0" max="3083" min="3083" style="70" width="3.29"/>
    <col collapsed="false" customWidth="true" hidden="false" outlineLevel="0" max="3084" min="3084" style="70" width="8"/>
    <col collapsed="false" customWidth="false" hidden="false" outlineLevel="0" max="3085" min="3085" style="70" width="42.57"/>
    <col collapsed="false" customWidth="true" hidden="false" outlineLevel="0" max="3086" min="3086" style="70" width="3.29"/>
    <col collapsed="false" customWidth="true" hidden="false" outlineLevel="0" max="3087" min="3087" style="70" width="8"/>
    <col collapsed="false" customWidth="false" hidden="false" outlineLevel="0" max="3088" min="3088" style="70" width="42.57"/>
    <col collapsed="false" customWidth="true" hidden="false" outlineLevel="0" max="3089" min="3089" style="70" width="3.29"/>
    <col collapsed="false" customWidth="true" hidden="false" outlineLevel="0" max="3090" min="3090" style="70" width="8"/>
    <col collapsed="false" customWidth="false" hidden="false" outlineLevel="0" max="3091" min="3091" style="70" width="42.57"/>
    <col collapsed="false" customWidth="true" hidden="false" outlineLevel="0" max="3092" min="3092" style="70" width="3.29"/>
    <col collapsed="false" customWidth="true" hidden="false" outlineLevel="0" max="3093" min="3093" style="70" width="8"/>
    <col collapsed="false" customWidth="false" hidden="false" outlineLevel="0" max="3094" min="3094" style="70" width="42.57"/>
    <col collapsed="false" customWidth="true" hidden="false" outlineLevel="0" max="3095" min="3095" style="70" width="3.29"/>
    <col collapsed="false" customWidth="true" hidden="false" outlineLevel="0" max="3096" min="3096" style="70" width="8"/>
    <col collapsed="false" customWidth="false" hidden="false" outlineLevel="0" max="3097" min="3097" style="70" width="42.57"/>
    <col collapsed="false" customWidth="true" hidden="false" outlineLevel="0" max="3098" min="3098" style="70" width="3.29"/>
    <col collapsed="false" customWidth="true" hidden="false" outlineLevel="0" max="3099" min="3099" style="70" width="8"/>
    <col collapsed="false" customWidth="false" hidden="false" outlineLevel="0" max="3100" min="3100" style="70" width="42.57"/>
    <col collapsed="false" customWidth="true" hidden="false" outlineLevel="0" max="3101" min="3101" style="70" width="3.29"/>
    <col collapsed="false" customWidth="true" hidden="false" outlineLevel="0" max="3102" min="3102" style="70" width="8"/>
    <col collapsed="false" customWidth="false" hidden="false" outlineLevel="0" max="3103" min="3103" style="70" width="42.57"/>
    <col collapsed="false" customWidth="true" hidden="false" outlineLevel="0" max="3104" min="3104" style="70" width="3.29"/>
    <col collapsed="false" customWidth="true" hidden="false" outlineLevel="0" max="3105" min="3105" style="70" width="8"/>
    <col collapsed="false" customWidth="false" hidden="false" outlineLevel="0" max="3106" min="3106" style="70" width="42.57"/>
    <col collapsed="false" customWidth="true" hidden="false" outlineLevel="0" max="3107" min="3107" style="70" width="3.29"/>
    <col collapsed="false" customWidth="true" hidden="false" outlineLevel="0" max="3108" min="3108" style="70" width="8"/>
    <col collapsed="false" customWidth="false" hidden="false" outlineLevel="0" max="3109" min="3109" style="70" width="42.57"/>
    <col collapsed="false" customWidth="true" hidden="false" outlineLevel="0" max="3110" min="3110" style="70" width="3.29"/>
    <col collapsed="false" customWidth="true" hidden="false" outlineLevel="0" max="3111" min="3111" style="70" width="8"/>
    <col collapsed="false" customWidth="false" hidden="false" outlineLevel="0" max="3112" min="3112" style="70" width="42.57"/>
    <col collapsed="false" customWidth="true" hidden="false" outlineLevel="0" max="3113" min="3113" style="70" width="3.29"/>
    <col collapsed="false" customWidth="true" hidden="false" outlineLevel="0" max="3114" min="3114" style="70" width="8"/>
    <col collapsed="false" customWidth="false" hidden="false" outlineLevel="0" max="3115" min="3115" style="70" width="42.57"/>
    <col collapsed="false" customWidth="true" hidden="false" outlineLevel="0" max="3116" min="3116" style="70" width="3.29"/>
    <col collapsed="false" customWidth="true" hidden="false" outlineLevel="0" max="3117" min="3117" style="70" width="8"/>
    <col collapsed="false" customWidth="false" hidden="false" outlineLevel="0" max="3118" min="3118" style="70" width="42.57"/>
    <col collapsed="false" customWidth="true" hidden="false" outlineLevel="0" max="3119" min="3119" style="70" width="3.29"/>
    <col collapsed="false" customWidth="true" hidden="false" outlineLevel="0" max="3120" min="3120" style="70" width="8"/>
    <col collapsed="false" customWidth="false" hidden="false" outlineLevel="0" max="3121" min="3121" style="70" width="42.57"/>
    <col collapsed="false" customWidth="true" hidden="false" outlineLevel="0" max="3122" min="3122" style="70" width="3.29"/>
    <col collapsed="false" customWidth="true" hidden="false" outlineLevel="0" max="3123" min="3123" style="70" width="8"/>
    <col collapsed="false" customWidth="false" hidden="false" outlineLevel="0" max="3124" min="3124" style="70" width="42.57"/>
    <col collapsed="false" customWidth="true" hidden="false" outlineLevel="0" max="3125" min="3125" style="70" width="3.29"/>
    <col collapsed="false" customWidth="true" hidden="false" outlineLevel="0" max="3126" min="3126" style="70" width="8"/>
    <col collapsed="false" customWidth="false" hidden="false" outlineLevel="0" max="3127" min="3127" style="70" width="42.57"/>
    <col collapsed="false" customWidth="true" hidden="false" outlineLevel="0" max="3128" min="3128" style="70" width="3.29"/>
    <col collapsed="false" customWidth="true" hidden="false" outlineLevel="0" max="3129" min="3129" style="70" width="8"/>
    <col collapsed="false" customWidth="false" hidden="false" outlineLevel="0" max="3130" min="3130" style="70" width="42.57"/>
    <col collapsed="false" customWidth="true" hidden="false" outlineLevel="0" max="3131" min="3131" style="70" width="3.29"/>
    <col collapsed="false" customWidth="true" hidden="false" outlineLevel="0" max="3132" min="3132" style="70" width="8"/>
    <col collapsed="false" customWidth="false" hidden="false" outlineLevel="0" max="3133" min="3133" style="70" width="42.57"/>
    <col collapsed="false" customWidth="true" hidden="false" outlineLevel="0" max="3134" min="3134" style="70" width="3.29"/>
    <col collapsed="false" customWidth="true" hidden="false" outlineLevel="0" max="3135" min="3135" style="70" width="8"/>
    <col collapsed="false" customWidth="false" hidden="false" outlineLevel="0" max="3136" min="3136" style="70" width="42.57"/>
    <col collapsed="false" customWidth="true" hidden="false" outlineLevel="0" max="3137" min="3137" style="70" width="3.29"/>
    <col collapsed="false" customWidth="true" hidden="false" outlineLevel="0" max="3138" min="3138" style="70" width="8"/>
    <col collapsed="false" customWidth="false" hidden="false" outlineLevel="0" max="3139" min="3139" style="70" width="42.57"/>
    <col collapsed="false" customWidth="true" hidden="false" outlineLevel="0" max="3140" min="3140" style="70" width="3.29"/>
    <col collapsed="false" customWidth="true" hidden="false" outlineLevel="0" max="3141" min="3141" style="70" width="8"/>
    <col collapsed="false" customWidth="false" hidden="false" outlineLevel="0" max="3142" min="3142" style="70" width="42.57"/>
    <col collapsed="false" customWidth="true" hidden="false" outlineLevel="0" max="3143" min="3143" style="70" width="3.29"/>
    <col collapsed="false" customWidth="true" hidden="false" outlineLevel="0" max="3144" min="3144" style="70" width="8"/>
    <col collapsed="false" customWidth="false" hidden="false" outlineLevel="0" max="3145" min="3145" style="70" width="42.57"/>
    <col collapsed="false" customWidth="true" hidden="false" outlineLevel="0" max="3146" min="3146" style="70" width="3.29"/>
    <col collapsed="false" customWidth="true" hidden="false" outlineLevel="0" max="3147" min="3147" style="70" width="8"/>
    <col collapsed="false" customWidth="false" hidden="false" outlineLevel="0" max="3148" min="3148" style="70" width="42.57"/>
    <col collapsed="false" customWidth="true" hidden="false" outlineLevel="0" max="3149" min="3149" style="70" width="3.29"/>
    <col collapsed="false" customWidth="true" hidden="false" outlineLevel="0" max="3150" min="3150" style="70" width="8"/>
    <col collapsed="false" customWidth="false" hidden="false" outlineLevel="0" max="3151" min="3151" style="70" width="42.57"/>
    <col collapsed="false" customWidth="true" hidden="false" outlineLevel="0" max="3152" min="3152" style="70" width="3.29"/>
    <col collapsed="false" customWidth="true" hidden="false" outlineLevel="0" max="3153" min="3153" style="70" width="8"/>
    <col collapsed="false" customWidth="false" hidden="false" outlineLevel="0" max="3154" min="3154" style="70" width="42.57"/>
    <col collapsed="false" customWidth="true" hidden="false" outlineLevel="0" max="3155" min="3155" style="70" width="3.29"/>
    <col collapsed="false" customWidth="true" hidden="false" outlineLevel="0" max="3156" min="3156" style="70" width="8"/>
    <col collapsed="false" customWidth="false" hidden="false" outlineLevel="0" max="3157" min="3157" style="70" width="42.57"/>
    <col collapsed="false" customWidth="true" hidden="false" outlineLevel="0" max="3158" min="3158" style="70" width="3.29"/>
    <col collapsed="false" customWidth="true" hidden="false" outlineLevel="0" max="3159" min="3159" style="70" width="8"/>
    <col collapsed="false" customWidth="false" hidden="false" outlineLevel="0" max="3160" min="3160" style="70" width="42.57"/>
    <col collapsed="false" customWidth="true" hidden="false" outlineLevel="0" max="3161" min="3161" style="70" width="3.29"/>
    <col collapsed="false" customWidth="true" hidden="false" outlineLevel="0" max="3162" min="3162" style="70" width="8"/>
    <col collapsed="false" customWidth="false" hidden="false" outlineLevel="0" max="3163" min="3163" style="70" width="42.57"/>
    <col collapsed="false" customWidth="true" hidden="false" outlineLevel="0" max="3164" min="3164" style="70" width="3.29"/>
    <col collapsed="false" customWidth="true" hidden="false" outlineLevel="0" max="3165" min="3165" style="70" width="8"/>
    <col collapsed="false" customWidth="false" hidden="false" outlineLevel="0" max="3166" min="3166" style="70" width="42.57"/>
    <col collapsed="false" customWidth="true" hidden="false" outlineLevel="0" max="3167" min="3167" style="70" width="3.29"/>
    <col collapsed="false" customWidth="true" hidden="false" outlineLevel="0" max="3168" min="3168" style="70" width="8"/>
    <col collapsed="false" customWidth="false" hidden="false" outlineLevel="0" max="3169" min="3169" style="70" width="42.57"/>
    <col collapsed="false" customWidth="true" hidden="false" outlineLevel="0" max="3170" min="3170" style="70" width="3.29"/>
    <col collapsed="false" customWidth="true" hidden="false" outlineLevel="0" max="3171" min="3171" style="70" width="8"/>
    <col collapsed="false" customWidth="false" hidden="false" outlineLevel="0" max="3172" min="3172" style="70" width="42.57"/>
    <col collapsed="false" customWidth="true" hidden="false" outlineLevel="0" max="3173" min="3173" style="70" width="3.29"/>
    <col collapsed="false" customWidth="true" hidden="false" outlineLevel="0" max="3174" min="3174" style="70" width="8"/>
    <col collapsed="false" customWidth="false" hidden="false" outlineLevel="0" max="3175" min="3175" style="70" width="42.57"/>
    <col collapsed="false" customWidth="true" hidden="false" outlineLevel="0" max="3176" min="3176" style="70" width="3.29"/>
    <col collapsed="false" customWidth="true" hidden="false" outlineLevel="0" max="3177" min="3177" style="70" width="8"/>
    <col collapsed="false" customWidth="false" hidden="false" outlineLevel="0" max="3178" min="3178" style="70" width="42.57"/>
    <col collapsed="false" customWidth="true" hidden="false" outlineLevel="0" max="3179" min="3179" style="70" width="3.29"/>
    <col collapsed="false" customWidth="true" hidden="false" outlineLevel="0" max="3180" min="3180" style="70" width="8"/>
    <col collapsed="false" customWidth="false" hidden="false" outlineLevel="0" max="3181" min="3181" style="70" width="42.57"/>
    <col collapsed="false" customWidth="true" hidden="false" outlineLevel="0" max="3182" min="3182" style="70" width="3.29"/>
    <col collapsed="false" customWidth="true" hidden="false" outlineLevel="0" max="3183" min="3183" style="70" width="8"/>
    <col collapsed="false" customWidth="false" hidden="false" outlineLevel="0" max="3184" min="3184" style="70" width="42.57"/>
    <col collapsed="false" customWidth="true" hidden="false" outlineLevel="0" max="3185" min="3185" style="70" width="3.29"/>
    <col collapsed="false" customWidth="true" hidden="false" outlineLevel="0" max="3186" min="3186" style="70" width="8"/>
    <col collapsed="false" customWidth="false" hidden="false" outlineLevel="0" max="3187" min="3187" style="70" width="42.57"/>
    <col collapsed="false" customWidth="true" hidden="false" outlineLevel="0" max="3188" min="3188" style="70" width="3.29"/>
    <col collapsed="false" customWidth="true" hidden="false" outlineLevel="0" max="3189" min="3189" style="70" width="8"/>
    <col collapsed="false" customWidth="false" hidden="false" outlineLevel="0" max="3190" min="3190" style="70" width="42.57"/>
    <col collapsed="false" customWidth="true" hidden="false" outlineLevel="0" max="3191" min="3191" style="70" width="3.29"/>
    <col collapsed="false" customWidth="true" hidden="false" outlineLevel="0" max="3192" min="3192" style="70" width="8"/>
    <col collapsed="false" customWidth="false" hidden="false" outlineLevel="0" max="3193" min="3193" style="70" width="42.57"/>
    <col collapsed="false" customWidth="true" hidden="false" outlineLevel="0" max="3194" min="3194" style="70" width="3.29"/>
    <col collapsed="false" customWidth="true" hidden="false" outlineLevel="0" max="3195" min="3195" style="70" width="8"/>
    <col collapsed="false" customWidth="false" hidden="false" outlineLevel="0" max="3196" min="3196" style="70" width="42.57"/>
    <col collapsed="false" customWidth="true" hidden="false" outlineLevel="0" max="3197" min="3197" style="70" width="3.29"/>
    <col collapsed="false" customWidth="true" hidden="false" outlineLevel="0" max="3198" min="3198" style="70" width="8"/>
    <col collapsed="false" customWidth="false" hidden="false" outlineLevel="0" max="3199" min="3199" style="70" width="42.57"/>
    <col collapsed="false" customWidth="true" hidden="false" outlineLevel="0" max="3200" min="3200" style="70" width="3.29"/>
    <col collapsed="false" customWidth="true" hidden="false" outlineLevel="0" max="3201" min="3201" style="70" width="8"/>
    <col collapsed="false" customWidth="false" hidden="false" outlineLevel="0" max="3202" min="3202" style="70" width="42.57"/>
    <col collapsed="false" customWidth="true" hidden="false" outlineLevel="0" max="3203" min="3203" style="70" width="3.29"/>
    <col collapsed="false" customWidth="true" hidden="false" outlineLevel="0" max="3204" min="3204" style="70" width="8"/>
    <col collapsed="false" customWidth="false" hidden="false" outlineLevel="0" max="3205" min="3205" style="70" width="42.57"/>
    <col collapsed="false" customWidth="true" hidden="false" outlineLevel="0" max="3206" min="3206" style="70" width="3.29"/>
    <col collapsed="false" customWidth="true" hidden="false" outlineLevel="0" max="3207" min="3207" style="70" width="8"/>
    <col collapsed="false" customWidth="false" hidden="false" outlineLevel="0" max="3208" min="3208" style="70" width="42.57"/>
    <col collapsed="false" customWidth="true" hidden="false" outlineLevel="0" max="3209" min="3209" style="70" width="3.29"/>
    <col collapsed="false" customWidth="true" hidden="false" outlineLevel="0" max="3210" min="3210" style="70" width="8"/>
    <col collapsed="false" customWidth="false" hidden="false" outlineLevel="0" max="3211" min="3211" style="70" width="42.57"/>
    <col collapsed="false" customWidth="true" hidden="false" outlineLevel="0" max="3212" min="3212" style="70" width="3.29"/>
    <col collapsed="false" customWidth="true" hidden="false" outlineLevel="0" max="3213" min="3213" style="70" width="8"/>
    <col collapsed="false" customWidth="false" hidden="false" outlineLevel="0" max="3214" min="3214" style="70" width="42.57"/>
    <col collapsed="false" customWidth="true" hidden="false" outlineLevel="0" max="3215" min="3215" style="70" width="3.29"/>
    <col collapsed="false" customWidth="true" hidden="false" outlineLevel="0" max="3216" min="3216" style="70" width="8"/>
    <col collapsed="false" customWidth="false" hidden="false" outlineLevel="0" max="3217" min="3217" style="70" width="42.57"/>
    <col collapsed="false" customWidth="true" hidden="false" outlineLevel="0" max="3218" min="3218" style="70" width="3.29"/>
    <col collapsed="false" customWidth="true" hidden="false" outlineLevel="0" max="3219" min="3219" style="70" width="8"/>
    <col collapsed="false" customWidth="false" hidden="false" outlineLevel="0" max="3220" min="3220" style="70" width="42.57"/>
    <col collapsed="false" customWidth="true" hidden="false" outlineLevel="0" max="3221" min="3221" style="70" width="3.29"/>
    <col collapsed="false" customWidth="true" hidden="false" outlineLevel="0" max="3222" min="3222" style="70" width="8"/>
    <col collapsed="false" customWidth="false" hidden="false" outlineLevel="0" max="3223" min="3223" style="70" width="42.57"/>
    <col collapsed="false" customWidth="true" hidden="false" outlineLevel="0" max="3224" min="3224" style="70" width="3.29"/>
    <col collapsed="false" customWidth="true" hidden="false" outlineLevel="0" max="3225" min="3225" style="70" width="8"/>
    <col collapsed="false" customWidth="false" hidden="false" outlineLevel="0" max="3226" min="3226" style="70" width="42.57"/>
    <col collapsed="false" customWidth="true" hidden="false" outlineLevel="0" max="3227" min="3227" style="70" width="3.29"/>
    <col collapsed="false" customWidth="true" hidden="false" outlineLevel="0" max="3228" min="3228" style="70" width="8"/>
    <col collapsed="false" customWidth="false" hidden="false" outlineLevel="0" max="3229" min="3229" style="70" width="42.57"/>
    <col collapsed="false" customWidth="true" hidden="false" outlineLevel="0" max="3230" min="3230" style="70" width="3.29"/>
    <col collapsed="false" customWidth="true" hidden="false" outlineLevel="0" max="3231" min="3231" style="70" width="8"/>
    <col collapsed="false" customWidth="false" hidden="false" outlineLevel="0" max="3232" min="3232" style="70" width="42.57"/>
    <col collapsed="false" customWidth="true" hidden="false" outlineLevel="0" max="3233" min="3233" style="70" width="3.29"/>
    <col collapsed="false" customWidth="true" hidden="false" outlineLevel="0" max="3234" min="3234" style="70" width="8"/>
    <col collapsed="false" customWidth="false" hidden="false" outlineLevel="0" max="3235" min="3235" style="70" width="42.57"/>
    <col collapsed="false" customWidth="true" hidden="false" outlineLevel="0" max="3236" min="3236" style="70" width="3.29"/>
    <col collapsed="false" customWidth="true" hidden="false" outlineLevel="0" max="3237" min="3237" style="70" width="8"/>
    <col collapsed="false" customWidth="false" hidden="false" outlineLevel="0" max="3238" min="3238" style="70" width="42.57"/>
    <col collapsed="false" customWidth="true" hidden="false" outlineLevel="0" max="3239" min="3239" style="70" width="3.29"/>
    <col collapsed="false" customWidth="true" hidden="false" outlineLevel="0" max="3240" min="3240" style="70" width="8"/>
    <col collapsed="false" customWidth="false" hidden="false" outlineLevel="0" max="3241" min="3241" style="70" width="42.57"/>
    <col collapsed="false" customWidth="true" hidden="false" outlineLevel="0" max="3242" min="3242" style="70" width="3.29"/>
    <col collapsed="false" customWidth="true" hidden="false" outlineLevel="0" max="3243" min="3243" style="70" width="8"/>
    <col collapsed="false" customWidth="false" hidden="false" outlineLevel="0" max="3244" min="3244" style="70" width="42.57"/>
    <col collapsed="false" customWidth="true" hidden="false" outlineLevel="0" max="3245" min="3245" style="70" width="3.29"/>
    <col collapsed="false" customWidth="true" hidden="false" outlineLevel="0" max="3246" min="3246" style="70" width="8"/>
    <col collapsed="false" customWidth="false" hidden="false" outlineLevel="0" max="3247" min="3247" style="70" width="42.57"/>
    <col collapsed="false" customWidth="true" hidden="false" outlineLevel="0" max="3248" min="3248" style="70" width="3.29"/>
    <col collapsed="false" customWidth="true" hidden="false" outlineLevel="0" max="3249" min="3249" style="70" width="8"/>
    <col collapsed="false" customWidth="false" hidden="false" outlineLevel="0" max="3250" min="3250" style="70" width="42.57"/>
    <col collapsed="false" customWidth="true" hidden="false" outlineLevel="0" max="3251" min="3251" style="70" width="3.29"/>
    <col collapsed="false" customWidth="true" hidden="false" outlineLevel="0" max="3252" min="3252" style="70" width="8"/>
    <col collapsed="false" customWidth="false" hidden="false" outlineLevel="0" max="3253" min="3253" style="70" width="42.57"/>
    <col collapsed="false" customWidth="true" hidden="false" outlineLevel="0" max="3254" min="3254" style="70" width="3.29"/>
    <col collapsed="false" customWidth="true" hidden="false" outlineLevel="0" max="3255" min="3255" style="70" width="8"/>
    <col collapsed="false" customWidth="false" hidden="false" outlineLevel="0" max="3256" min="3256" style="70" width="42.57"/>
    <col collapsed="false" customWidth="true" hidden="false" outlineLevel="0" max="3257" min="3257" style="70" width="3.29"/>
    <col collapsed="false" customWidth="true" hidden="false" outlineLevel="0" max="3258" min="3258" style="70" width="8"/>
    <col collapsed="false" customWidth="false" hidden="false" outlineLevel="0" max="3259" min="3259" style="70" width="42.57"/>
    <col collapsed="false" customWidth="true" hidden="false" outlineLevel="0" max="3260" min="3260" style="70" width="3.29"/>
    <col collapsed="false" customWidth="true" hidden="false" outlineLevel="0" max="3261" min="3261" style="70" width="8"/>
    <col collapsed="false" customWidth="false" hidden="false" outlineLevel="0" max="3262" min="3262" style="70" width="42.57"/>
    <col collapsed="false" customWidth="true" hidden="false" outlineLevel="0" max="3263" min="3263" style="70" width="3.29"/>
    <col collapsed="false" customWidth="true" hidden="false" outlineLevel="0" max="3264" min="3264" style="70" width="8"/>
    <col collapsed="false" customWidth="false" hidden="false" outlineLevel="0" max="3265" min="3265" style="70" width="42.57"/>
    <col collapsed="false" customWidth="true" hidden="false" outlineLevel="0" max="3266" min="3266" style="70" width="3.29"/>
    <col collapsed="false" customWidth="true" hidden="false" outlineLevel="0" max="3267" min="3267" style="70" width="8"/>
    <col collapsed="false" customWidth="false" hidden="false" outlineLevel="0" max="3268" min="3268" style="70" width="42.57"/>
    <col collapsed="false" customWidth="true" hidden="false" outlineLevel="0" max="3269" min="3269" style="70" width="3.29"/>
    <col collapsed="false" customWidth="true" hidden="false" outlineLevel="0" max="3270" min="3270" style="70" width="8"/>
    <col collapsed="false" customWidth="false" hidden="false" outlineLevel="0" max="3271" min="3271" style="70" width="42.57"/>
    <col collapsed="false" customWidth="true" hidden="false" outlineLevel="0" max="3272" min="3272" style="70" width="3.29"/>
    <col collapsed="false" customWidth="true" hidden="false" outlineLevel="0" max="3273" min="3273" style="70" width="8"/>
    <col collapsed="false" customWidth="false" hidden="false" outlineLevel="0" max="3274" min="3274" style="70" width="42.57"/>
    <col collapsed="false" customWidth="true" hidden="false" outlineLevel="0" max="3275" min="3275" style="70" width="3.29"/>
    <col collapsed="false" customWidth="true" hidden="false" outlineLevel="0" max="3276" min="3276" style="70" width="8"/>
    <col collapsed="false" customWidth="false" hidden="false" outlineLevel="0" max="3277" min="3277" style="70" width="42.57"/>
    <col collapsed="false" customWidth="true" hidden="false" outlineLevel="0" max="3278" min="3278" style="70" width="3.29"/>
    <col collapsed="false" customWidth="true" hidden="false" outlineLevel="0" max="3279" min="3279" style="70" width="8"/>
    <col collapsed="false" customWidth="false" hidden="false" outlineLevel="0" max="3280" min="3280" style="70" width="42.57"/>
    <col collapsed="false" customWidth="true" hidden="false" outlineLevel="0" max="3281" min="3281" style="70" width="3.29"/>
    <col collapsed="false" customWidth="true" hidden="false" outlineLevel="0" max="3282" min="3282" style="70" width="8"/>
    <col collapsed="false" customWidth="false" hidden="false" outlineLevel="0" max="3283" min="3283" style="70" width="42.57"/>
    <col collapsed="false" customWidth="true" hidden="false" outlineLevel="0" max="3284" min="3284" style="70" width="3.29"/>
    <col collapsed="false" customWidth="true" hidden="false" outlineLevel="0" max="3285" min="3285" style="70" width="8"/>
    <col collapsed="false" customWidth="false" hidden="false" outlineLevel="0" max="3286" min="3286" style="70" width="42.57"/>
    <col collapsed="false" customWidth="true" hidden="false" outlineLevel="0" max="3287" min="3287" style="70" width="3.29"/>
    <col collapsed="false" customWidth="true" hidden="false" outlineLevel="0" max="3288" min="3288" style="70" width="8"/>
    <col collapsed="false" customWidth="false" hidden="false" outlineLevel="0" max="3289" min="3289" style="70" width="42.57"/>
    <col collapsed="false" customWidth="true" hidden="false" outlineLevel="0" max="3290" min="3290" style="70" width="3.29"/>
    <col collapsed="false" customWidth="true" hidden="false" outlineLevel="0" max="3291" min="3291" style="70" width="8"/>
    <col collapsed="false" customWidth="false" hidden="false" outlineLevel="0" max="3292" min="3292" style="70" width="42.57"/>
    <col collapsed="false" customWidth="true" hidden="false" outlineLevel="0" max="3293" min="3293" style="70" width="3.29"/>
    <col collapsed="false" customWidth="true" hidden="false" outlineLevel="0" max="3294" min="3294" style="70" width="8"/>
    <col collapsed="false" customWidth="false" hidden="false" outlineLevel="0" max="3295" min="3295" style="70" width="42.57"/>
    <col collapsed="false" customWidth="true" hidden="false" outlineLevel="0" max="3296" min="3296" style="70" width="3.29"/>
    <col collapsed="false" customWidth="true" hidden="false" outlineLevel="0" max="3297" min="3297" style="70" width="8"/>
    <col collapsed="false" customWidth="false" hidden="false" outlineLevel="0" max="3298" min="3298" style="70" width="42.57"/>
    <col collapsed="false" customWidth="true" hidden="false" outlineLevel="0" max="3299" min="3299" style="70" width="3.29"/>
    <col collapsed="false" customWidth="true" hidden="false" outlineLevel="0" max="3300" min="3300" style="70" width="8"/>
    <col collapsed="false" customWidth="false" hidden="false" outlineLevel="0" max="3301" min="3301" style="70" width="42.57"/>
    <col collapsed="false" customWidth="true" hidden="false" outlineLevel="0" max="3302" min="3302" style="70" width="3.29"/>
    <col collapsed="false" customWidth="true" hidden="false" outlineLevel="0" max="3303" min="3303" style="70" width="8"/>
    <col collapsed="false" customWidth="false" hidden="false" outlineLevel="0" max="3304" min="3304" style="70" width="42.57"/>
    <col collapsed="false" customWidth="true" hidden="false" outlineLevel="0" max="3305" min="3305" style="70" width="3.29"/>
    <col collapsed="false" customWidth="true" hidden="false" outlineLevel="0" max="3306" min="3306" style="70" width="8"/>
    <col collapsed="false" customWidth="false" hidden="false" outlineLevel="0" max="3307" min="3307" style="70" width="42.57"/>
    <col collapsed="false" customWidth="true" hidden="false" outlineLevel="0" max="3308" min="3308" style="70" width="3.29"/>
    <col collapsed="false" customWidth="true" hidden="false" outlineLevel="0" max="3309" min="3309" style="70" width="8"/>
    <col collapsed="false" customWidth="false" hidden="false" outlineLevel="0" max="3310" min="3310" style="70" width="42.57"/>
    <col collapsed="false" customWidth="true" hidden="false" outlineLevel="0" max="3311" min="3311" style="70" width="3.29"/>
    <col collapsed="false" customWidth="true" hidden="false" outlineLevel="0" max="3312" min="3312" style="70" width="8"/>
    <col collapsed="false" customWidth="false" hidden="false" outlineLevel="0" max="3313" min="3313" style="70" width="42.57"/>
    <col collapsed="false" customWidth="true" hidden="false" outlineLevel="0" max="3314" min="3314" style="70" width="3.29"/>
    <col collapsed="false" customWidth="true" hidden="false" outlineLevel="0" max="3315" min="3315" style="70" width="8"/>
    <col collapsed="false" customWidth="false" hidden="false" outlineLevel="0" max="3316" min="3316" style="70" width="42.57"/>
    <col collapsed="false" customWidth="true" hidden="false" outlineLevel="0" max="3317" min="3317" style="70" width="3.29"/>
    <col collapsed="false" customWidth="true" hidden="false" outlineLevel="0" max="3318" min="3318" style="70" width="8"/>
    <col collapsed="false" customWidth="false" hidden="false" outlineLevel="0" max="3319" min="3319" style="70" width="42.57"/>
    <col collapsed="false" customWidth="true" hidden="false" outlineLevel="0" max="3320" min="3320" style="70" width="3.29"/>
    <col collapsed="false" customWidth="true" hidden="false" outlineLevel="0" max="3321" min="3321" style="70" width="8"/>
    <col collapsed="false" customWidth="false" hidden="false" outlineLevel="0" max="3322" min="3322" style="70" width="42.57"/>
    <col collapsed="false" customWidth="true" hidden="false" outlineLevel="0" max="3323" min="3323" style="70" width="3.29"/>
    <col collapsed="false" customWidth="true" hidden="false" outlineLevel="0" max="3324" min="3324" style="70" width="8"/>
    <col collapsed="false" customWidth="false" hidden="false" outlineLevel="0" max="3325" min="3325" style="70" width="42.57"/>
    <col collapsed="false" customWidth="true" hidden="false" outlineLevel="0" max="3326" min="3326" style="70" width="3.29"/>
    <col collapsed="false" customWidth="true" hidden="false" outlineLevel="0" max="3327" min="3327" style="70" width="8"/>
    <col collapsed="false" customWidth="false" hidden="false" outlineLevel="0" max="3328" min="3328" style="70" width="42.57"/>
    <col collapsed="false" customWidth="true" hidden="false" outlineLevel="0" max="3329" min="3329" style="70" width="3.29"/>
    <col collapsed="false" customWidth="true" hidden="false" outlineLevel="0" max="3330" min="3330" style="70" width="8"/>
    <col collapsed="false" customWidth="false" hidden="false" outlineLevel="0" max="3331" min="3331" style="70" width="42.57"/>
    <col collapsed="false" customWidth="true" hidden="false" outlineLevel="0" max="3332" min="3332" style="70" width="3.29"/>
    <col collapsed="false" customWidth="true" hidden="false" outlineLevel="0" max="3333" min="3333" style="70" width="8"/>
    <col collapsed="false" customWidth="false" hidden="false" outlineLevel="0" max="3334" min="3334" style="70" width="42.57"/>
    <col collapsed="false" customWidth="true" hidden="false" outlineLevel="0" max="3335" min="3335" style="70" width="3.29"/>
    <col collapsed="false" customWidth="true" hidden="false" outlineLevel="0" max="3336" min="3336" style="70" width="8"/>
    <col collapsed="false" customWidth="false" hidden="false" outlineLevel="0" max="3337" min="3337" style="70" width="42.57"/>
    <col collapsed="false" customWidth="true" hidden="false" outlineLevel="0" max="3338" min="3338" style="70" width="3.29"/>
    <col collapsed="false" customWidth="true" hidden="false" outlineLevel="0" max="3339" min="3339" style="70" width="8"/>
    <col collapsed="false" customWidth="false" hidden="false" outlineLevel="0" max="3340" min="3340" style="70" width="42.57"/>
    <col collapsed="false" customWidth="true" hidden="false" outlineLevel="0" max="3341" min="3341" style="70" width="3.29"/>
    <col collapsed="false" customWidth="true" hidden="false" outlineLevel="0" max="3342" min="3342" style="70" width="8"/>
    <col collapsed="false" customWidth="false" hidden="false" outlineLevel="0" max="3343" min="3343" style="70" width="42.57"/>
    <col collapsed="false" customWidth="true" hidden="false" outlineLevel="0" max="3344" min="3344" style="70" width="3.29"/>
    <col collapsed="false" customWidth="true" hidden="false" outlineLevel="0" max="3345" min="3345" style="70" width="8"/>
    <col collapsed="false" customWidth="false" hidden="false" outlineLevel="0" max="3346" min="3346" style="70" width="42.57"/>
    <col collapsed="false" customWidth="true" hidden="false" outlineLevel="0" max="3347" min="3347" style="70" width="3.29"/>
    <col collapsed="false" customWidth="true" hidden="false" outlineLevel="0" max="3348" min="3348" style="70" width="8"/>
    <col collapsed="false" customWidth="false" hidden="false" outlineLevel="0" max="3349" min="3349" style="70" width="42.57"/>
    <col collapsed="false" customWidth="true" hidden="false" outlineLevel="0" max="3350" min="3350" style="70" width="3.29"/>
    <col collapsed="false" customWidth="true" hidden="false" outlineLevel="0" max="3351" min="3351" style="70" width="8"/>
    <col collapsed="false" customWidth="false" hidden="false" outlineLevel="0" max="3352" min="3352" style="70" width="42.57"/>
    <col collapsed="false" customWidth="true" hidden="false" outlineLevel="0" max="3353" min="3353" style="70" width="3.29"/>
    <col collapsed="false" customWidth="true" hidden="false" outlineLevel="0" max="3354" min="3354" style="70" width="8"/>
    <col collapsed="false" customWidth="false" hidden="false" outlineLevel="0" max="3355" min="3355" style="70" width="42.57"/>
    <col collapsed="false" customWidth="true" hidden="false" outlineLevel="0" max="3356" min="3356" style="70" width="3.29"/>
    <col collapsed="false" customWidth="true" hidden="false" outlineLevel="0" max="3357" min="3357" style="70" width="8"/>
    <col collapsed="false" customWidth="false" hidden="false" outlineLevel="0" max="3358" min="3358" style="70" width="42.57"/>
    <col collapsed="false" customWidth="true" hidden="false" outlineLevel="0" max="3359" min="3359" style="70" width="3.29"/>
    <col collapsed="false" customWidth="true" hidden="false" outlineLevel="0" max="3360" min="3360" style="70" width="8"/>
    <col collapsed="false" customWidth="false" hidden="false" outlineLevel="0" max="3361" min="3361" style="70" width="42.57"/>
    <col collapsed="false" customWidth="true" hidden="false" outlineLevel="0" max="3362" min="3362" style="70" width="3.29"/>
    <col collapsed="false" customWidth="true" hidden="false" outlineLevel="0" max="3363" min="3363" style="70" width="8"/>
    <col collapsed="false" customWidth="false" hidden="false" outlineLevel="0" max="3364" min="3364" style="70" width="42.57"/>
    <col collapsed="false" customWidth="true" hidden="false" outlineLevel="0" max="3365" min="3365" style="70" width="3.29"/>
    <col collapsed="false" customWidth="true" hidden="false" outlineLevel="0" max="3366" min="3366" style="70" width="8"/>
    <col collapsed="false" customWidth="false" hidden="false" outlineLevel="0" max="3367" min="3367" style="70" width="42.57"/>
    <col collapsed="false" customWidth="true" hidden="false" outlineLevel="0" max="3368" min="3368" style="70" width="3.29"/>
    <col collapsed="false" customWidth="true" hidden="false" outlineLevel="0" max="3369" min="3369" style="70" width="8"/>
    <col collapsed="false" customWidth="false" hidden="false" outlineLevel="0" max="3370" min="3370" style="70" width="42.57"/>
    <col collapsed="false" customWidth="true" hidden="false" outlineLevel="0" max="3371" min="3371" style="70" width="3.29"/>
    <col collapsed="false" customWidth="true" hidden="false" outlineLevel="0" max="3372" min="3372" style="70" width="8"/>
    <col collapsed="false" customWidth="false" hidden="false" outlineLevel="0" max="3373" min="3373" style="70" width="42.57"/>
    <col collapsed="false" customWidth="true" hidden="false" outlineLevel="0" max="3374" min="3374" style="70" width="3.29"/>
    <col collapsed="false" customWidth="true" hidden="false" outlineLevel="0" max="3375" min="3375" style="70" width="8"/>
    <col collapsed="false" customWidth="false" hidden="false" outlineLevel="0" max="3376" min="3376" style="70" width="42.57"/>
    <col collapsed="false" customWidth="true" hidden="false" outlineLevel="0" max="3377" min="3377" style="70" width="3.29"/>
    <col collapsed="false" customWidth="true" hidden="false" outlineLevel="0" max="3378" min="3378" style="70" width="8"/>
    <col collapsed="false" customWidth="false" hidden="false" outlineLevel="0" max="3379" min="3379" style="70" width="42.57"/>
    <col collapsed="false" customWidth="true" hidden="false" outlineLevel="0" max="3380" min="3380" style="70" width="3.29"/>
    <col collapsed="false" customWidth="true" hidden="false" outlineLevel="0" max="3381" min="3381" style="70" width="8"/>
    <col collapsed="false" customWidth="false" hidden="false" outlineLevel="0" max="3382" min="3382" style="70" width="42.57"/>
    <col collapsed="false" customWidth="true" hidden="false" outlineLevel="0" max="3383" min="3383" style="70" width="3.29"/>
    <col collapsed="false" customWidth="true" hidden="false" outlineLevel="0" max="3384" min="3384" style="70" width="8"/>
    <col collapsed="false" customWidth="false" hidden="false" outlineLevel="0" max="3385" min="3385" style="70" width="42.57"/>
    <col collapsed="false" customWidth="true" hidden="false" outlineLevel="0" max="3386" min="3386" style="70" width="3.29"/>
    <col collapsed="false" customWidth="true" hidden="false" outlineLevel="0" max="3387" min="3387" style="70" width="8"/>
    <col collapsed="false" customWidth="false" hidden="false" outlineLevel="0" max="3388" min="3388" style="70" width="42.57"/>
    <col collapsed="false" customWidth="true" hidden="false" outlineLevel="0" max="3389" min="3389" style="70" width="3.29"/>
    <col collapsed="false" customWidth="true" hidden="false" outlineLevel="0" max="3390" min="3390" style="70" width="8"/>
    <col collapsed="false" customWidth="false" hidden="false" outlineLevel="0" max="3391" min="3391" style="70" width="42.57"/>
    <col collapsed="false" customWidth="true" hidden="false" outlineLevel="0" max="3392" min="3392" style="70" width="3.29"/>
    <col collapsed="false" customWidth="true" hidden="false" outlineLevel="0" max="3393" min="3393" style="70" width="8"/>
    <col collapsed="false" customWidth="false" hidden="false" outlineLevel="0" max="3394" min="3394" style="70" width="42.57"/>
    <col collapsed="false" customWidth="true" hidden="false" outlineLevel="0" max="3395" min="3395" style="70" width="3.29"/>
    <col collapsed="false" customWidth="true" hidden="false" outlineLevel="0" max="3396" min="3396" style="70" width="8"/>
    <col collapsed="false" customWidth="false" hidden="false" outlineLevel="0" max="3397" min="3397" style="70" width="42.57"/>
    <col collapsed="false" customWidth="true" hidden="false" outlineLevel="0" max="3398" min="3398" style="70" width="3.29"/>
    <col collapsed="false" customWidth="true" hidden="false" outlineLevel="0" max="3399" min="3399" style="70" width="8"/>
    <col collapsed="false" customWidth="false" hidden="false" outlineLevel="0" max="3400" min="3400" style="70" width="42.57"/>
    <col collapsed="false" customWidth="true" hidden="false" outlineLevel="0" max="3401" min="3401" style="70" width="3.29"/>
    <col collapsed="false" customWidth="true" hidden="false" outlineLevel="0" max="3402" min="3402" style="70" width="8"/>
    <col collapsed="false" customWidth="false" hidden="false" outlineLevel="0" max="3403" min="3403" style="70" width="42.57"/>
    <col collapsed="false" customWidth="true" hidden="false" outlineLevel="0" max="3404" min="3404" style="70" width="3.29"/>
    <col collapsed="false" customWidth="true" hidden="false" outlineLevel="0" max="3405" min="3405" style="70" width="8"/>
    <col collapsed="false" customWidth="false" hidden="false" outlineLevel="0" max="3406" min="3406" style="70" width="42.57"/>
    <col collapsed="false" customWidth="true" hidden="false" outlineLevel="0" max="3407" min="3407" style="70" width="3.29"/>
    <col collapsed="false" customWidth="true" hidden="false" outlineLevel="0" max="3408" min="3408" style="70" width="8"/>
    <col collapsed="false" customWidth="false" hidden="false" outlineLevel="0" max="3409" min="3409" style="70" width="42.57"/>
    <col collapsed="false" customWidth="true" hidden="false" outlineLevel="0" max="3410" min="3410" style="70" width="3.29"/>
    <col collapsed="false" customWidth="true" hidden="false" outlineLevel="0" max="3411" min="3411" style="70" width="8"/>
    <col collapsed="false" customWidth="false" hidden="false" outlineLevel="0" max="3412" min="3412" style="70" width="42.57"/>
    <col collapsed="false" customWidth="true" hidden="false" outlineLevel="0" max="3413" min="3413" style="70" width="3.29"/>
    <col collapsed="false" customWidth="true" hidden="false" outlineLevel="0" max="3414" min="3414" style="70" width="8"/>
    <col collapsed="false" customWidth="false" hidden="false" outlineLevel="0" max="3415" min="3415" style="70" width="42.57"/>
    <col collapsed="false" customWidth="true" hidden="false" outlineLevel="0" max="3416" min="3416" style="70" width="3.29"/>
    <col collapsed="false" customWidth="true" hidden="false" outlineLevel="0" max="3417" min="3417" style="70" width="8"/>
    <col collapsed="false" customWidth="false" hidden="false" outlineLevel="0" max="3418" min="3418" style="70" width="42.57"/>
    <col collapsed="false" customWidth="true" hidden="false" outlineLevel="0" max="3419" min="3419" style="70" width="3.29"/>
    <col collapsed="false" customWidth="true" hidden="false" outlineLevel="0" max="3420" min="3420" style="70" width="8"/>
    <col collapsed="false" customWidth="false" hidden="false" outlineLevel="0" max="3421" min="3421" style="70" width="42.57"/>
    <col collapsed="false" customWidth="true" hidden="false" outlineLevel="0" max="3422" min="3422" style="70" width="3.29"/>
    <col collapsed="false" customWidth="true" hidden="false" outlineLevel="0" max="3423" min="3423" style="70" width="8"/>
    <col collapsed="false" customWidth="false" hidden="false" outlineLevel="0" max="3424" min="3424" style="70" width="42.57"/>
    <col collapsed="false" customWidth="true" hidden="false" outlineLevel="0" max="3425" min="3425" style="70" width="3.29"/>
    <col collapsed="false" customWidth="true" hidden="false" outlineLevel="0" max="3426" min="3426" style="70" width="8"/>
    <col collapsed="false" customWidth="false" hidden="false" outlineLevel="0" max="3427" min="3427" style="70" width="42.57"/>
    <col collapsed="false" customWidth="true" hidden="false" outlineLevel="0" max="3428" min="3428" style="70" width="3.29"/>
    <col collapsed="false" customWidth="true" hidden="false" outlineLevel="0" max="3429" min="3429" style="70" width="8"/>
    <col collapsed="false" customWidth="false" hidden="false" outlineLevel="0" max="3430" min="3430" style="70" width="42.57"/>
    <col collapsed="false" customWidth="true" hidden="false" outlineLevel="0" max="3431" min="3431" style="70" width="3.29"/>
    <col collapsed="false" customWidth="true" hidden="false" outlineLevel="0" max="3432" min="3432" style="70" width="8"/>
    <col collapsed="false" customWidth="false" hidden="false" outlineLevel="0" max="3433" min="3433" style="70" width="42.57"/>
    <col collapsed="false" customWidth="true" hidden="false" outlineLevel="0" max="3434" min="3434" style="70" width="3.29"/>
    <col collapsed="false" customWidth="true" hidden="false" outlineLevel="0" max="3435" min="3435" style="70" width="8"/>
    <col collapsed="false" customWidth="false" hidden="false" outlineLevel="0" max="3436" min="3436" style="70" width="42.57"/>
    <col collapsed="false" customWidth="true" hidden="false" outlineLevel="0" max="3437" min="3437" style="70" width="3.29"/>
    <col collapsed="false" customWidth="true" hidden="false" outlineLevel="0" max="3438" min="3438" style="70" width="8"/>
    <col collapsed="false" customWidth="false" hidden="false" outlineLevel="0" max="3439" min="3439" style="70" width="42.57"/>
    <col collapsed="false" customWidth="true" hidden="false" outlineLevel="0" max="3440" min="3440" style="70" width="3.29"/>
    <col collapsed="false" customWidth="true" hidden="false" outlineLevel="0" max="3441" min="3441" style="70" width="8"/>
    <col collapsed="false" customWidth="false" hidden="false" outlineLevel="0" max="3442" min="3442" style="70" width="42.57"/>
    <col collapsed="false" customWidth="true" hidden="false" outlineLevel="0" max="3443" min="3443" style="70" width="3.29"/>
    <col collapsed="false" customWidth="true" hidden="false" outlineLevel="0" max="3444" min="3444" style="70" width="8"/>
    <col collapsed="false" customWidth="false" hidden="false" outlineLevel="0" max="3445" min="3445" style="70" width="42.57"/>
    <col collapsed="false" customWidth="true" hidden="false" outlineLevel="0" max="3446" min="3446" style="70" width="3.29"/>
    <col collapsed="false" customWidth="true" hidden="false" outlineLevel="0" max="3447" min="3447" style="70" width="8"/>
    <col collapsed="false" customWidth="false" hidden="false" outlineLevel="0" max="3448" min="3448" style="70" width="42.57"/>
    <col collapsed="false" customWidth="true" hidden="false" outlineLevel="0" max="3449" min="3449" style="70" width="3.29"/>
    <col collapsed="false" customWidth="true" hidden="false" outlineLevel="0" max="3450" min="3450" style="70" width="8"/>
    <col collapsed="false" customWidth="false" hidden="false" outlineLevel="0" max="3451" min="3451" style="70" width="42.57"/>
    <col collapsed="false" customWidth="true" hidden="false" outlineLevel="0" max="3452" min="3452" style="70" width="3.29"/>
    <col collapsed="false" customWidth="true" hidden="false" outlineLevel="0" max="3453" min="3453" style="70" width="8"/>
    <col collapsed="false" customWidth="false" hidden="false" outlineLevel="0" max="3454" min="3454" style="70" width="42.57"/>
    <col collapsed="false" customWidth="true" hidden="false" outlineLevel="0" max="3455" min="3455" style="70" width="3.29"/>
    <col collapsed="false" customWidth="true" hidden="false" outlineLevel="0" max="3456" min="3456" style="70" width="8"/>
    <col collapsed="false" customWidth="false" hidden="false" outlineLevel="0" max="3457" min="3457" style="70" width="42.57"/>
    <col collapsed="false" customWidth="true" hidden="false" outlineLevel="0" max="3458" min="3458" style="70" width="3.29"/>
    <col collapsed="false" customWidth="true" hidden="false" outlineLevel="0" max="3459" min="3459" style="70" width="8"/>
    <col collapsed="false" customWidth="false" hidden="false" outlineLevel="0" max="3460" min="3460" style="70" width="42.57"/>
    <col collapsed="false" customWidth="true" hidden="false" outlineLevel="0" max="3461" min="3461" style="70" width="3.29"/>
    <col collapsed="false" customWidth="true" hidden="false" outlineLevel="0" max="3462" min="3462" style="70" width="8"/>
    <col collapsed="false" customWidth="false" hidden="false" outlineLevel="0" max="3463" min="3463" style="70" width="42.57"/>
    <col collapsed="false" customWidth="true" hidden="false" outlineLevel="0" max="3464" min="3464" style="70" width="3.29"/>
    <col collapsed="false" customWidth="true" hidden="false" outlineLevel="0" max="3465" min="3465" style="70" width="8"/>
    <col collapsed="false" customWidth="false" hidden="false" outlineLevel="0" max="3466" min="3466" style="70" width="42.57"/>
    <col collapsed="false" customWidth="true" hidden="false" outlineLevel="0" max="3467" min="3467" style="70" width="3.29"/>
    <col collapsed="false" customWidth="true" hidden="false" outlineLevel="0" max="3468" min="3468" style="70" width="8"/>
    <col collapsed="false" customWidth="false" hidden="false" outlineLevel="0" max="3469" min="3469" style="70" width="42.57"/>
    <col collapsed="false" customWidth="true" hidden="false" outlineLevel="0" max="3470" min="3470" style="70" width="3.29"/>
    <col collapsed="false" customWidth="true" hidden="false" outlineLevel="0" max="3471" min="3471" style="70" width="8"/>
    <col collapsed="false" customWidth="false" hidden="false" outlineLevel="0" max="3472" min="3472" style="70" width="42.57"/>
    <col collapsed="false" customWidth="true" hidden="false" outlineLevel="0" max="3473" min="3473" style="70" width="3.29"/>
    <col collapsed="false" customWidth="true" hidden="false" outlineLevel="0" max="3474" min="3474" style="70" width="8"/>
    <col collapsed="false" customWidth="false" hidden="false" outlineLevel="0" max="3475" min="3475" style="70" width="42.57"/>
    <col collapsed="false" customWidth="true" hidden="false" outlineLevel="0" max="3476" min="3476" style="70" width="3.29"/>
    <col collapsed="false" customWidth="true" hidden="false" outlineLevel="0" max="3477" min="3477" style="70" width="8"/>
    <col collapsed="false" customWidth="false" hidden="false" outlineLevel="0" max="3478" min="3478" style="70" width="42.57"/>
    <col collapsed="false" customWidth="true" hidden="false" outlineLevel="0" max="3479" min="3479" style="70" width="3.29"/>
    <col collapsed="false" customWidth="true" hidden="false" outlineLevel="0" max="3480" min="3480" style="70" width="8"/>
    <col collapsed="false" customWidth="false" hidden="false" outlineLevel="0" max="3481" min="3481" style="70" width="42.57"/>
    <col collapsed="false" customWidth="true" hidden="false" outlineLevel="0" max="3482" min="3482" style="70" width="3.29"/>
    <col collapsed="false" customWidth="true" hidden="false" outlineLevel="0" max="3483" min="3483" style="70" width="8"/>
    <col collapsed="false" customWidth="false" hidden="false" outlineLevel="0" max="3484" min="3484" style="70" width="42.57"/>
    <col collapsed="false" customWidth="true" hidden="false" outlineLevel="0" max="3485" min="3485" style="70" width="3.29"/>
    <col collapsed="false" customWidth="true" hidden="false" outlineLevel="0" max="3486" min="3486" style="70" width="8"/>
    <col collapsed="false" customWidth="false" hidden="false" outlineLevel="0" max="3487" min="3487" style="70" width="42.57"/>
    <col collapsed="false" customWidth="true" hidden="false" outlineLevel="0" max="3488" min="3488" style="70" width="3.29"/>
    <col collapsed="false" customWidth="true" hidden="false" outlineLevel="0" max="3489" min="3489" style="70" width="8"/>
    <col collapsed="false" customWidth="false" hidden="false" outlineLevel="0" max="3490" min="3490" style="70" width="42.57"/>
    <col collapsed="false" customWidth="true" hidden="false" outlineLevel="0" max="3491" min="3491" style="70" width="3.29"/>
    <col collapsed="false" customWidth="true" hidden="false" outlineLevel="0" max="3492" min="3492" style="70" width="8"/>
    <col collapsed="false" customWidth="false" hidden="false" outlineLevel="0" max="3493" min="3493" style="70" width="42.57"/>
    <col collapsed="false" customWidth="true" hidden="false" outlineLevel="0" max="3494" min="3494" style="70" width="3.29"/>
    <col collapsed="false" customWidth="true" hidden="false" outlineLevel="0" max="3495" min="3495" style="70" width="8"/>
    <col collapsed="false" customWidth="false" hidden="false" outlineLevel="0" max="3496" min="3496" style="70" width="42.57"/>
    <col collapsed="false" customWidth="true" hidden="false" outlineLevel="0" max="3497" min="3497" style="70" width="3.29"/>
    <col collapsed="false" customWidth="true" hidden="false" outlineLevel="0" max="3498" min="3498" style="70" width="8"/>
    <col collapsed="false" customWidth="false" hidden="false" outlineLevel="0" max="3499" min="3499" style="70" width="42.57"/>
    <col collapsed="false" customWidth="true" hidden="false" outlineLevel="0" max="3500" min="3500" style="70" width="3.29"/>
    <col collapsed="false" customWidth="true" hidden="false" outlineLevel="0" max="3501" min="3501" style="70" width="8"/>
    <col collapsed="false" customWidth="false" hidden="false" outlineLevel="0" max="3502" min="3502" style="70" width="42.57"/>
    <col collapsed="false" customWidth="true" hidden="false" outlineLevel="0" max="3503" min="3503" style="70" width="3.29"/>
    <col collapsed="false" customWidth="true" hidden="false" outlineLevel="0" max="3504" min="3504" style="70" width="8"/>
    <col collapsed="false" customWidth="false" hidden="false" outlineLevel="0" max="3505" min="3505" style="70" width="42.57"/>
    <col collapsed="false" customWidth="true" hidden="false" outlineLevel="0" max="3506" min="3506" style="70" width="3.29"/>
    <col collapsed="false" customWidth="true" hidden="false" outlineLevel="0" max="3507" min="3507" style="70" width="8"/>
    <col collapsed="false" customWidth="false" hidden="false" outlineLevel="0" max="3508" min="3508" style="70" width="42.57"/>
    <col collapsed="false" customWidth="true" hidden="false" outlineLevel="0" max="3509" min="3509" style="70" width="3.29"/>
    <col collapsed="false" customWidth="true" hidden="false" outlineLevel="0" max="3510" min="3510" style="70" width="8"/>
    <col collapsed="false" customWidth="false" hidden="false" outlineLevel="0" max="3511" min="3511" style="70" width="42.57"/>
    <col collapsed="false" customWidth="true" hidden="false" outlineLevel="0" max="3512" min="3512" style="70" width="3.29"/>
    <col collapsed="false" customWidth="true" hidden="false" outlineLevel="0" max="3513" min="3513" style="70" width="8"/>
    <col collapsed="false" customWidth="false" hidden="false" outlineLevel="0" max="3514" min="3514" style="70" width="42.57"/>
    <col collapsed="false" customWidth="true" hidden="false" outlineLevel="0" max="3515" min="3515" style="70" width="3.29"/>
    <col collapsed="false" customWidth="true" hidden="false" outlineLevel="0" max="3516" min="3516" style="70" width="8"/>
    <col collapsed="false" customWidth="false" hidden="false" outlineLevel="0" max="3517" min="3517" style="70" width="42.57"/>
    <col collapsed="false" customWidth="true" hidden="false" outlineLevel="0" max="3518" min="3518" style="70" width="3.29"/>
    <col collapsed="false" customWidth="true" hidden="false" outlineLevel="0" max="3519" min="3519" style="70" width="8"/>
    <col collapsed="false" customWidth="false" hidden="false" outlineLevel="0" max="3520" min="3520" style="70" width="42.57"/>
    <col collapsed="false" customWidth="true" hidden="false" outlineLevel="0" max="3521" min="3521" style="70" width="3.29"/>
    <col collapsed="false" customWidth="true" hidden="false" outlineLevel="0" max="3522" min="3522" style="70" width="8"/>
    <col collapsed="false" customWidth="false" hidden="false" outlineLevel="0" max="3523" min="3523" style="70" width="42.57"/>
    <col collapsed="false" customWidth="true" hidden="false" outlineLevel="0" max="3524" min="3524" style="70" width="3.29"/>
    <col collapsed="false" customWidth="true" hidden="false" outlineLevel="0" max="3525" min="3525" style="70" width="8"/>
    <col collapsed="false" customWidth="false" hidden="false" outlineLevel="0" max="3526" min="3526" style="70" width="42.57"/>
    <col collapsed="false" customWidth="true" hidden="false" outlineLevel="0" max="3527" min="3527" style="70" width="3.29"/>
    <col collapsed="false" customWidth="true" hidden="false" outlineLevel="0" max="3528" min="3528" style="70" width="8"/>
    <col collapsed="false" customWidth="false" hidden="false" outlineLevel="0" max="3529" min="3529" style="70" width="42.57"/>
    <col collapsed="false" customWidth="true" hidden="false" outlineLevel="0" max="3530" min="3530" style="70" width="3.29"/>
    <col collapsed="false" customWidth="true" hidden="false" outlineLevel="0" max="3531" min="3531" style="70" width="8"/>
    <col collapsed="false" customWidth="false" hidden="false" outlineLevel="0" max="3532" min="3532" style="70" width="42.57"/>
    <col collapsed="false" customWidth="true" hidden="false" outlineLevel="0" max="3533" min="3533" style="70" width="3.29"/>
    <col collapsed="false" customWidth="true" hidden="false" outlineLevel="0" max="3534" min="3534" style="70" width="8"/>
    <col collapsed="false" customWidth="false" hidden="false" outlineLevel="0" max="3535" min="3535" style="70" width="42.57"/>
    <col collapsed="false" customWidth="true" hidden="false" outlineLevel="0" max="3536" min="3536" style="70" width="3.29"/>
    <col collapsed="false" customWidth="true" hidden="false" outlineLevel="0" max="3537" min="3537" style="70" width="8"/>
    <col collapsed="false" customWidth="false" hidden="false" outlineLevel="0" max="3538" min="3538" style="70" width="42.57"/>
    <col collapsed="false" customWidth="true" hidden="false" outlineLevel="0" max="3539" min="3539" style="70" width="3.29"/>
    <col collapsed="false" customWidth="true" hidden="false" outlineLevel="0" max="3540" min="3540" style="70" width="8"/>
    <col collapsed="false" customWidth="false" hidden="false" outlineLevel="0" max="3541" min="3541" style="70" width="42.57"/>
    <col collapsed="false" customWidth="true" hidden="false" outlineLevel="0" max="3542" min="3542" style="70" width="3.29"/>
    <col collapsed="false" customWidth="true" hidden="false" outlineLevel="0" max="3543" min="3543" style="70" width="8"/>
    <col collapsed="false" customWidth="false" hidden="false" outlineLevel="0" max="3544" min="3544" style="70" width="42.57"/>
    <col collapsed="false" customWidth="true" hidden="false" outlineLevel="0" max="3545" min="3545" style="70" width="3.29"/>
    <col collapsed="false" customWidth="true" hidden="false" outlineLevel="0" max="3546" min="3546" style="70" width="8"/>
    <col collapsed="false" customWidth="false" hidden="false" outlineLevel="0" max="3547" min="3547" style="70" width="42.57"/>
    <col collapsed="false" customWidth="true" hidden="false" outlineLevel="0" max="3548" min="3548" style="70" width="3.29"/>
    <col collapsed="false" customWidth="true" hidden="false" outlineLevel="0" max="3549" min="3549" style="70" width="8"/>
    <col collapsed="false" customWidth="false" hidden="false" outlineLevel="0" max="3550" min="3550" style="70" width="42.57"/>
    <col collapsed="false" customWidth="true" hidden="false" outlineLevel="0" max="3551" min="3551" style="70" width="3.29"/>
    <col collapsed="false" customWidth="true" hidden="false" outlineLevel="0" max="3552" min="3552" style="70" width="8"/>
    <col collapsed="false" customWidth="false" hidden="false" outlineLevel="0" max="3553" min="3553" style="70" width="42.57"/>
    <col collapsed="false" customWidth="true" hidden="false" outlineLevel="0" max="3554" min="3554" style="70" width="3.29"/>
    <col collapsed="false" customWidth="true" hidden="false" outlineLevel="0" max="3555" min="3555" style="70" width="8"/>
    <col collapsed="false" customWidth="false" hidden="false" outlineLevel="0" max="3556" min="3556" style="70" width="42.57"/>
    <col collapsed="false" customWidth="true" hidden="false" outlineLevel="0" max="3557" min="3557" style="70" width="3.29"/>
    <col collapsed="false" customWidth="true" hidden="false" outlineLevel="0" max="3558" min="3558" style="70" width="8"/>
    <col collapsed="false" customWidth="false" hidden="false" outlineLevel="0" max="3559" min="3559" style="70" width="42.57"/>
    <col collapsed="false" customWidth="true" hidden="false" outlineLevel="0" max="3560" min="3560" style="70" width="3.29"/>
    <col collapsed="false" customWidth="true" hidden="false" outlineLevel="0" max="3561" min="3561" style="70" width="8"/>
    <col collapsed="false" customWidth="false" hidden="false" outlineLevel="0" max="3562" min="3562" style="70" width="42.57"/>
    <col collapsed="false" customWidth="true" hidden="false" outlineLevel="0" max="3563" min="3563" style="70" width="3.29"/>
    <col collapsed="false" customWidth="true" hidden="false" outlineLevel="0" max="3564" min="3564" style="70" width="8"/>
    <col collapsed="false" customWidth="false" hidden="false" outlineLevel="0" max="3565" min="3565" style="70" width="42.57"/>
    <col collapsed="false" customWidth="true" hidden="false" outlineLevel="0" max="3566" min="3566" style="70" width="3.29"/>
    <col collapsed="false" customWidth="true" hidden="false" outlineLevel="0" max="3567" min="3567" style="70" width="8"/>
    <col collapsed="false" customWidth="false" hidden="false" outlineLevel="0" max="3568" min="3568" style="70" width="42.57"/>
    <col collapsed="false" customWidth="true" hidden="false" outlineLevel="0" max="3569" min="3569" style="70" width="3.29"/>
    <col collapsed="false" customWidth="true" hidden="false" outlineLevel="0" max="3570" min="3570" style="70" width="8"/>
    <col collapsed="false" customWidth="false" hidden="false" outlineLevel="0" max="3571" min="3571" style="70" width="42.57"/>
    <col collapsed="false" customWidth="true" hidden="false" outlineLevel="0" max="3572" min="3572" style="70" width="3.29"/>
    <col collapsed="false" customWidth="true" hidden="false" outlineLevel="0" max="3573" min="3573" style="70" width="8"/>
    <col collapsed="false" customWidth="false" hidden="false" outlineLevel="0" max="3574" min="3574" style="70" width="42.57"/>
    <col collapsed="false" customWidth="true" hidden="false" outlineLevel="0" max="3575" min="3575" style="70" width="3.29"/>
    <col collapsed="false" customWidth="true" hidden="false" outlineLevel="0" max="3576" min="3576" style="70" width="8"/>
    <col collapsed="false" customWidth="false" hidden="false" outlineLevel="0" max="3577" min="3577" style="70" width="42.57"/>
    <col collapsed="false" customWidth="true" hidden="false" outlineLevel="0" max="3578" min="3578" style="70" width="3.29"/>
    <col collapsed="false" customWidth="true" hidden="false" outlineLevel="0" max="3579" min="3579" style="70" width="8"/>
    <col collapsed="false" customWidth="false" hidden="false" outlineLevel="0" max="3580" min="3580" style="70" width="42.57"/>
    <col collapsed="false" customWidth="true" hidden="false" outlineLevel="0" max="3581" min="3581" style="70" width="3.29"/>
    <col collapsed="false" customWidth="true" hidden="false" outlineLevel="0" max="3582" min="3582" style="70" width="8"/>
    <col collapsed="false" customWidth="false" hidden="false" outlineLevel="0" max="3583" min="3583" style="70" width="42.57"/>
    <col collapsed="false" customWidth="true" hidden="false" outlineLevel="0" max="3584" min="3584" style="70" width="3.29"/>
    <col collapsed="false" customWidth="true" hidden="false" outlineLevel="0" max="3585" min="3585" style="70" width="8"/>
    <col collapsed="false" customWidth="false" hidden="false" outlineLevel="0" max="3586" min="3586" style="70" width="42.57"/>
    <col collapsed="false" customWidth="true" hidden="false" outlineLevel="0" max="3587" min="3587" style="70" width="3.29"/>
    <col collapsed="false" customWidth="true" hidden="false" outlineLevel="0" max="3588" min="3588" style="70" width="8"/>
    <col collapsed="false" customWidth="false" hidden="false" outlineLevel="0" max="3589" min="3589" style="70" width="42.57"/>
    <col collapsed="false" customWidth="true" hidden="false" outlineLevel="0" max="3590" min="3590" style="70" width="3.29"/>
    <col collapsed="false" customWidth="true" hidden="false" outlineLevel="0" max="3591" min="3591" style="70" width="8"/>
    <col collapsed="false" customWidth="false" hidden="false" outlineLevel="0" max="3592" min="3592" style="70" width="42.57"/>
    <col collapsed="false" customWidth="true" hidden="false" outlineLevel="0" max="3593" min="3593" style="70" width="3.29"/>
    <col collapsed="false" customWidth="true" hidden="false" outlineLevel="0" max="3594" min="3594" style="70" width="8"/>
    <col collapsed="false" customWidth="false" hidden="false" outlineLevel="0" max="3595" min="3595" style="70" width="42.57"/>
    <col collapsed="false" customWidth="true" hidden="false" outlineLevel="0" max="3596" min="3596" style="70" width="3.29"/>
    <col collapsed="false" customWidth="true" hidden="false" outlineLevel="0" max="3597" min="3597" style="70" width="8"/>
    <col collapsed="false" customWidth="false" hidden="false" outlineLevel="0" max="3598" min="3598" style="70" width="42.57"/>
    <col collapsed="false" customWidth="true" hidden="false" outlineLevel="0" max="3599" min="3599" style="70" width="3.29"/>
    <col collapsed="false" customWidth="true" hidden="false" outlineLevel="0" max="3600" min="3600" style="70" width="8"/>
    <col collapsed="false" customWidth="false" hidden="false" outlineLevel="0" max="3601" min="3601" style="70" width="42.57"/>
    <col collapsed="false" customWidth="true" hidden="false" outlineLevel="0" max="3602" min="3602" style="70" width="3.29"/>
    <col collapsed="false" customWidth="true" hidden="false" outlineLevel="0" max="3603" min="3603" style="70" width="8"/>
    <col collapsed="false" customWidth="false" hidden="false" outlineLevel="0" max="3604" min="3604" style="70" width="42.57"/>
    <col collapsed="false" customWidth="true" hidden="false" outlineLevel="0" max="3605" min="3605" style="70" width="3.29"/>
    <col collapsed="false" customWidth="true" hidden="false" outlineLevel="0" max="3606" min="3606" style="70" width="8"/>
    <col collapsed="false" customWidth="false" hidden="false" outlineLevel="0" max="3607" min="3607" style="70" width="42.57"/>
    <col collapsed="false" customWidth="true" hidden="false" outlineLevel="0" max="3608" min="3608" style="70" width="3.29"/>
    <col collapsed="false" customWidth="true" hidden="false" outlineLevel="0" max="3609" min="3609" style="70" width="8"/>
    <col collapsed="false" customWidth="false" hidden="false" outlineLevel="0" max="3610" min="3610" style="70" width="42.57"/>
    <col collapsed="false" customWidth="true" hidden="false" outlineLevel="0" max="3611" min="3611" style="70" width="3.29"/>
    <col collapsed="false" customWidth="true" hidden="false" outlineLevel="0" max="3612" min="3612" style="70" width="8"/>
    <col collapsed="false" customWidth="false" hidden="false" outlineLevel="0" max="3613" min="3613" style="70" width="42.57"/>
    <col collapsed="false" customWidth="true" hidden="false" outlineLevel="0" max="3614" min="3614" style="70" width="3.29"/>
    <col collapsed="false" customWidth="true" hidden="false" outlineLevel="0" max="3615" min="3615" style="70" width="8"/>
    <col collapsed="false" customWidth="false" hidden="false" outlineLevel="0" max="3616" min="3616" style="70" width="42.57"/>
    <col collapsed="false" customWidth="true" hidden="false" outlineLevel="0" max="3617" min="3617" style="70" width="3.29"/>
    <col collapsed="false" customWidth="true" hidden="false" outlineLevel="0" max="3618" min="3618" style="70" width="8"/>
    <col collapsed="false" customWidth="false" hidden="false" outlineLevel="0" max="3619" min="3619" style="70" width="42.57"/>
    <col collapsed="false" customWidth="true" hidden="false" outlineLevel="0" max="3620" min="3620" style="70" width="3.29"/>
    <col collapsed="false" customWidth="true" hidden="false" outlineLevel="0" max="3621" min="3621" style="70" width="8"/>
    <col collapsed="false" customWidth="false" hidden="false" outlineLevel="0" max="3622" min="3622" style="70" width="42.57"/>
    <col collapsed="false" customWidth="true" hidden="false" outlineLevel="0" max="3623" min="3623" style="70" width="3.29"/>
    <col collapsed="false" customWidth="true" hidden="false" outlineLevel="0" max="3624" min="3624" style="70" width="8"/>
    <col collapsed="false" customWidth="false" hidden="false" outlineLevel="0" max="3625" min="3625" style="70" width="42.57"/>
    <col collapsed="false" customWidth="true" hidden="false" outlineLevel="0" max="3626" min="3626" style="70" width="3.29"/>
    <col collapsed="false" customWidth="true" hidden="false" outlineLevel="0" max="3627" min="3627" style="70" width="8"/>
    <col collapsed="false" customWidth="false" hidden="false" outlineLevel="0" max="3628" min="3628" style="70" width="42.57"/>
    <col collapsed="false" customWidth="true" hidden="false" outlineLevel="0" max="3629" min="3629" style="70" width="3.29"/>
    <col collapsed="false" customWidth="true" hidden="false" outlineLevel="0" max="3630" min="3630" style="70" width="8"/>
    <col collapsed="false" customWidth="false" hidden="false" outlineLevel="0" max="3631" min="3631" style="70" width="42.57"/>
    <col collapsed="false" customWidth="true" hidden="false" outlineLevel="0" max="3632" min="3632" style="70" width="3.29"/>
    <col collapsed="false" customWidth="true" hidden="false" outlineLevel="0" max="3633" min="3633" style="70" width="8"/>
    <col collapsed="false" customWidth="false" hidden="false" outlineLevel="0" max="3634" min="3634" style="70" width="42.57"/>
    <col collapsed="false" customWidth="true" hidden="false" outlineLevel="0" max="3635" min="3635" style="70" width="3.29"/>
    <col collapsed="false" customWidth="true" hidden="false" outlineLevel="0" max="3636" min="3636" style="70" width="8"/>
    <col collapsed="false" customWidth="false" hidden="false" outlineLevel="0" max="3637" min="3637" style="70" width="42.57"/>
    <col collapsed="false" customWidth="true" hidden="false" outlineLevel="0" max="3638" min="3638" style="70" width="3.29"/>
    <col collapsed="false" customWidth="true" hidden="false" outlineLevel="0" max="3639" min="3639" style="70" width="8"/>
    <col collapsed="false" customWidth="false" hidden="false" outlineLevel="0" max="3640" min="3640" style="70" width="42.57"/>
    <col collapsed="false" customWidth="true" hidden="false" outlineLevel="0" max="3641" min="3641" style="70" width="3.29"/>
    <col collapsed="false" customWidth="true" hidden="false" outlineLevel="0" max="3642" min="3642" style="70" width="8"/>
    <col collapsed="false" customWidth="false" hidden="false" outlineLevel="0" max="3643" min="3643" style="70" width="42.57"/>
    <col collapsed="false" customWidth="true" hidden="false" outlineLevel="0" max="3644" min="3644" style="70" width="3.29"/>
    <col collapsed="false" customWidth="true" hidden="false" outlineLevel="0" max="3645" min="3645" style="70" width="8"/>
    <col collapsed="false" customWidth="false" hidden="false" outlineLevel="0" max="3646" min="3646" style="70" width="42.57"/>
    <col collapsed="false" customWidth="true" hidden="false" outlineLevel="0" max="3647" min="3647" style="70" width="3.29"/>
    <col collapsed="false" customWidth="true" hidden="false" outlineLevel="0" max="3648" min="3648" style="70" width="8"/>
    <col collapsed="false" customWidth="false" hidden="false" outlineLevel="0" max="3649" min="3649" style="70" width="42.57"/>
    <col collapsed="false" customWidth="true" hidden="false" outlineLevel="0" max="3650" min="3650" style="70" width="3.29"/>
    <col collapsed="false" customWidth="true" hidden="false" outlineLevel="0" max="3651" min="3651" style="70" width="8"/>
    <col collapsed="false" customWidth="false" hidden="false" outlineLevel="0" max="3652" min="3652" style="70" width="42.57"/>
    <col collapsed="false" customWidth="true" hidden="false" outlineLevel="0" max="3653" min="3653" style="70" width="3.29"/>
    <col collapsed="false" customWidth="true" hidden="false" outlineLevel="0" max="3654" min="3654" style="70" width="8"/>
    <col collapsed="false" customWidth="false" hidden="false" outlineLevel="0" max="3655" min="3655" style="70" width="42.57"/>
    <col collapsed="false" customWidth="true" hidden="false" outlineLevel="0" max="3656" min="3656" style="70" width="3.29"/>
    <col collapsed="false" customWidth="true" hidden="false" outlineLevel="0" max="3657" min="3657" style="70" width="8"/>
    <col collapsed="false" customWidth="false" hidden="false" outlineLevel="0" max="3658" min="3658" style="70" width="42.57"/>
    <col collapsed="false" customWidth="true" hidden="false" outlineLevel="0" max="3659" min="3659" style="70" width="3.29"/>
    <col collapsed="false" customWidth="true" hidden="false" outlineLevel="0" max="3660" min="3660" style="70" width="8"/>
    <col collapsed="false" customWidth="false" hidden="false" outlineLevel="0" max="3661" min="3661" style="70" width="42.57"/>
    <col collapsed="false" customWidth="true" hidden="false" outlineLevel="0" max="3662" min="3662" style="70" width="3.29"/>
    <col collapsed="false" customWidth="true" hidden="false" outlineLevel="0" max="3663" min="3663" style="70" width="8"/>
    <col collapsed="false" customWidth="false" hidden="false" outlineLevel="0" max="3664" min="3664" style="70" width="42.57"/>
    <col collapsed="false" customWidth="true" hidden="false" outlineLevel="0" max="3665" min="3665" style="70" width="3.29"/>
    <col collapsed="false" customWidth="true" hidden="false" outlineLevel="0" max="3666" min="3666" style="70" width="8"/>
    <col collapsed="false" customWidth="false" hidden="false" outlineLevel="0" max="3667" min="3667" style="70" width="42.57"/>
    <col collapsed="false" customWidth="true" hidden="false" outlineLevel="0" max="3668" min="3668" style="70" width="3.29"/>
    <col collapsed="false" customWidth="true" hidden="false" outlineLevel="0" max="3669" min="3669" style="70" width="8"/>
    <col collapsed="false" customWidth="false" hidden="false" outlineLevel="0" max="3670" min="3670" style="70" width="42.57"/>
    <col collapsed="false" customWidth="true" hidden="false" outlineLevel="0" max="3671" min="3671" style="70" width="3.29"/>
    <col collapsed="false" customWidth="true" hidden="false" outlineLevel="0" max="3672" min="3672" style="70" width="8"/>
    <col collapsed="false" customWidth="false" hidden="false" outlineLevel="0" max="3673" min="3673" style="70" width="42.57"/>
    <col collapsed="false" customWidth="true" hidden="false" outlineLevel="0" max="3674" min="3674" style="70" width="3.29"/>
    <col collapsed="false" customWidth="true" hidden="false" outlineLevel="0" max="3675" min="3675" style="70" width="8"/>
    <col collapsed="false" customWidth="false" hidden="false" outlineLevel="0" max="3676" min="3676" style="70" width="42.57"/>
    <col collapsed="false" customWidth="true" hidden="false" outlineLevel="0" max="3677" min="3677" style="70" width="3.29"/>
    <col collapsed="false" customWidth="true" hidden="false" outlineLevel="0" max="3678" min="3678" style="70" width="8"/>
    <col collapsed="false" customWidth="false" hidden="false" outlineLevel="0" max="3679" min="3679" style="70" width="42.57"/>
    <col collapsed="false" customWidth="true" hidden="false" outlineLevel="0" max="3680" min="3680" style="70" width="3.29"/>
    <col collapsed="false" customWidth="true" hidden="false" outlineLevel="0" max="3681" min="3681" style="70" width="8"/>
    <col collapsed="false" customWidth="false" hidden="false" outlineLevel="0" max="3682" min="3682" style="70" width="42.57"/>
    <col collapsed="false" customWidth="true" hidden="false" outlineLevel="0" max="3683" min="3683" style="70" width="3.29"/>
    <col collapsed="false" customWidth="true" hidden="false" outlineLevel="0" max="3684" min="3684" style="70" width="8"/>
    <col collapsed="false" customWidth="false" hidden="false" outlineLevel="0" max="3685" min="3685" style="70" width="42.57"/>
    <col collapsed="false" customWidth="true" hidden="false" outlineLevel="0" max="3686" min="3686" style="70" width="3.29"/>
    <col collapsed="false" customWidth="true" hidden="false" outlineLevel="0" max="3687" min="3687" style="70" width="8"/>
    <col collapsed="false" customWidth="false" hidden="false" outlineLevel="0" max="3688" min="3688" style="70" width="42.57"/>
    <col collapsed="false" customWidth="true" hidden="false" outlineLevel="0" max="3689" min="3689" style="70" width="3.29"/>
    <col collapsed="false" customWidth="true" hidden="false" outlineLevel="0" max="3690" min="3690" style="70" width="8"/>
    <col collapsed="false" customWidth="false" hidden="false" outlineLevel="0" max="3691" min="3691" style="70" width="42.57"/>
    <col collapsed="false" customWidth="true" hidden="false" outlineLevel="0" max="3692" min="3692" style="70" width="3.29"/>
    <col collapsed="false" customWidth="true" hidden="false" outlineLevel="0" max="3693" min="3693" style="70" width="8"/>
    <col collapsed="false" customWidth="false" hidden="false" outlineLevel="0" max="3694" min="3694" style="70" width="42.57"/>
    <col collapsed="false" customWidth="true" hidden="false" outlineLevel="0" max="3695" min="3695" style="70" width="3.29"/>
    <col collapsed="false" customWidth="true" hidden="false" outlineLevel="0" max="3696" min="3696" style="70" width="8"/>
    <col collapsed="false" customWidth="false" hidden="false" outlineLevel="0" max="3697" min="3697" style="70" width="42.57"/>
    <col collapsed="false" customWidth="true" hidden="false" outlineLevel="0" max="3698" min="3698" style="70" width="3.29"/>
    <col collapsed="false" customWidth="true" hidden="false" outlineLevel="0" max="3699" min="3699" style="70" width="8"/>
    <col collapsed="false" customWidth="false" hidden="false" outlineLevel="0" max="3700" min="3700" style="70" width="42.57"/>
    <col collapsed="false" customWidth="true" hidden="false" outlineLevel="0" max="3701" min="3701" style="70" width="3.29"/>
    <col collapsed="false" customWidth="true" hidden="false" outlineLevel="0" max="3702" min="3702" style="70" width="8"/>
    <col collapsed="false" customWidth="false" hidden="false" outlineLevel="0" max="3703" min="3703" style="70" width="42.57"/>
    <col collapsed="false" customWidth="true" hidden="false" outlineLevel="0" max="3704" min="3704" style="70" width="3.29"/>
    <col collapsed="false" customWidth="true" hidden="false" outlineLevel="0" max="3705" min="3705" style="70" width="8"/>
    <col collapsed="false" customWidth="false" hidden="false" outlineLevel="0" max="3706" min="3706" style="70" width="42.57"/>
    <col collapsed="false" customWidth="true" hidden="false" outlineLevel="0" max="3707" min="3707" style="70" width="3.29"/>
    <col collapsed="false" customWidth="true" hidden="false" outlineLevel="0" max="3708" min="3708" style="70" width="8"/>
    <col collapsed="false" customWidth="false" hidden="false" outlineLevel="0" max="3709" min="3709" style="70" width="42.57"/>
    <col collapsed="false" customWidth="true" hidden="false" outlineLevel="0" max="3710" min="3710" style="70" width="3.29"/>
    <col collapsed="false" customWidth="true" hidden="false" outlineLevel="0" max="3711" min="3711" style="70" width="8"/>
    <col collapsed="false" customWidth="false" hidden="false" outlineLevel="0" max="3712" min="3712" style="70" width="42.57"/>
    <col collapsed="false" customWidth="true" hidden="false" outlineLevel="0" max="3713" min="3713" style="70" width="3.29"/>
    <col collapsed="false" customWidth="true" hidden="false" outlineLevel="0" max="3714" min="3714" style="70" width="8"/>
    <col collapsed="false" customWidth="false" hidden="false" outlineLevel="0" max="3715" min="3715" style="70" width="42.57"/>
    <col collapsed="false" customWidth="true" hidden="false" outlineLevel="0" max="3716" min="3716" style="70" width="3.29"/>
    <col collapsed="false" customWidth="true" hidden="false" outlineLevel="0" max="3717" min="3717" style="70" width="8"/>
    <col collapsed="false" customWidth="false" hidden="false" outlineLevel="0" max="3718" min="3718" style="70" width="42.57"/>
    <col collapsed="false" customWidth="true" hidden="false" outlineLevel="0" max="3719" min="3719" style="70" width="3.29"/>
    <col collapsed="false" customWidth="true" hidden="false" outlineLevel="0" max="3720" min="3720" style="70" width="8"/>
    <col collapsed="false" customWidth="false" hidden="false" outlineLevel="0" max="3721" min="3721" style="70" width="42.57"/>
    <col collapsed="false" customWidth="true" hidden="false" outlineLevel="0" max="3722" min="3722" style="70" width="3.29"/>
    <col collapsed="false" customWidth="true" hidden="false" outlineLevel="0" max="3723" min="3723" style="70" width="8"/>
    <col collapsed="false" customWidth="false" hidden="false" outlineLevel="0" max="3724" min="3724" style="70" width="42.57"/>
    <col collapsed="false" customWidth="true" hidden="false" outlineLevel="0" max="3725" min="3725" style="70" width="3.29"/>
    <col collapsed="false" customWidth="true" hidden="false" outlineLevel="0" max="3726" min="3726" style="70" width="8"/>
    <col collapsed="false" customWidth="false" hidden="false" outlineLevel="0" max="3727" min="3727" style="70" width="42.57"/>
    <col collapsed="false" customWidth="true" hidden="false" outlineLevel="0" max="3728" min="3728" style="70" width="3.29"/>
    <col collapsed="false" customWidth="true" hidden="false" outlineLevel="0" max="3729" min="3729" style="70" width="8"/>
    <col collapsed="false" customWidth="false" hidden="false" outlineLevel="0" max="3730" min="3730" style="70" width="42.57"/>
    <col collapsed="false" customWidth="true" hidden="false" outlineLevel="0" max="3731" min="3731" style="70" width="3.29"/>
    <col collapsed="false" customWidth="true" hidden="false" outlineLevel="0" max="3732" min="3732" style="70" width="8"/>
    <col collapsed="false" customWidth="false" hidden="false" outlineLevel="0" max="3733" min="3733" style="70" width="42.57"/>
    <col collapsed="false" customWidth="true" hidden="false" outlineLevel="0" max="3734" min="3734" style="70" width="3.29"/>
    <col collapsed="false" customWidth="true" hidden="false" outlineLevel="0" max="3735" min="3735" style="70" width="8"/>
    <col collapsed="false" customWidth="false" hidden="false" outlineLevel="0" max="3736" min="3736" style="70" width="42.57"/>
    <col collapsed="false" customWidth="true" hidden="false" outlineLevel="0" max="3737" min="3737" style="70" width="3.29"/>
    <col collapsed="false" customWidth="true" hidden="false" outlineLevel="0" max="3738" min="3738" style="70" width="8"/>
    <col collapsed="false" customWidth="false" hidden="false" outlineLevel="0" max="3739" min="3739" style="70" width="42.57"/>
    <col collapsed="false" customWidth="true" hidden="false" outlineLevel="0" max="3740" min="3740" style="70" width="3.29"/>
    <col collapsed="false" customWidth="true" hidden="false" outlineLevel="0" max="3741" min="3741" style="70" width="8"/>
    <col collapsed="false" customWidth="false" hidden="false" outlineLevel="0" max="3742" min="3742" style="70" width="42.57"/>
    <col collapsed="false" customWidth="true" hidden="false" outlineLevel="0" max="3743" min="3743" style="70" width="3.29"/>
    <col collapsed="false" customWidth="true" hidden="false" outlineLevel="0" max="3744" min="3744" style="70" width="8"/>
    <col collapsed="false" customWidth="false" hidden="false" outlineLevel="0" max="3745" min="3745" style="70" width="42.57"/>
    <col collapsed="false" customWidth="true" hidden="false" outlineLevel="0" max="3746" min="3746" style="70" width="3.29"/>
    <col collapsed="false" customWidth="true" hidden="false" outlineLevel="0" max="3747" min="3747" style="70" width="8"/>
    <col collapsed="false" customWidth="false" hidden="false" outlineLevel="0" max="3748" min="3748" style="70" width="42.57"/>
    <col collapsed="false" customWidth="true" hidden="false" outlineLevel="0" max="3749" min="3749" style="70" width="3.29"/>
    <col collapsed="false" customWidth="true" hidden="false" outlineLevel="0" max="3750" min="3750" style="70" width="8"/>
    <col collapsed="false" customWidth="false" hidden="false" outlineLevel="0" max="3751" min="3751" style="70" width="42.57"/>
    <col collapsed="false" customWidth="true" hidden="false" outlineLevel="0" max="3752" min="3752" style="70" width="3.29"/>
    <col collapsed="false" customWidth="true" hidden="false" outlineLevel="0" max="3753" min="3753" style="70" width="8"/>
    <col collapsed="false" customWidth="false" hidden="false" outlineLevel="0" max="3754" min="3754" style="70" width="42.57"/>
    <col collapsed="false" customWidth="true" hidden="false" outlineLevel="0" max="3755" min="3755" style="70" width="3.29"/>
    <col collapsed="false" customWidth="true" hidden="false" outlineLevel="0" max="3756" min="3756" style="70" width="8"/>
    <col collapsed="false" customWidth="false" hidden="false" outlineLevel="0" max="3757" min="3757" style="70" width="42.57"/>
    <col collapsed="false" customWidth="true" hidden="false" outlineLevel="0" max="3758" min="3758" style="70" width="3.29"/>
    <col collapsed="false" customWidth="true" hidden="false" outlineLevel="0" max="3759" min="3759" style="70" width="8"/>
    <col collapsed="false" customWidth="false" hidden="false" outlineLevel="0" max="3760" min="3760" style="70" width="42.57"/>
    <col collapsed="false" customWidth="true" hidden="false" outlineLevel="0" max="3761" min="3761" style="70" width="3.29"/>
    <col collapsed="false" customWidth="true" hidden="false" outlineLevel="0" max="3762" min="3762" style="70" width="8"/>
    <col collapsed="false" customWidth="false" hidden="false" outlineLevel="0" max="3763" min="3763" style="70" width="42.57"/>
    <col collapsed="false" customWidth="true" hidden="false" outlineLevel="0" max="3764" min="3764" style="70" width="3.29"/>
    <col collapsed="false" customWidth="true" hidden="false" outlineLevel="0" max="3765" min="3765" style="70" width="8"/>
    <col collapsed="false" customWidth="false" hidden="false" outlineLevel="0" max="3766" min="3766" style="70" width="42.57"/>
    <col collapsed="false" customWidth="true" hidden="false" outlineLevel="0" max="3767" min="3767" style="70" width="3.29"/>
    <col collapsed="false" customWidth="true" hidden="false" outlineLevel="0" max="3768" min="3768" style="70" width="8"/>
    <col collapsed="false" customWidth="false" hidden="false" outlineLevel="0" max="3769" min="3769" style="70" width="42.57"/>
    <col collapsed="false" customWidth="true" hidden="false" outlineLevel="0" max="3770" min="3770" style="70" width="3.29"/>
    <col collapsed="false" customWidth="true" hidden="false" outlineLevel="0" max="3771" min="3771" style="70" width="8"/>
    <col collapsed="false" customWidth="false" hidden="false" outlineLevel="0" max="3772" min="3772" style="70" width="42.57"/>
    <col collapsed="false" customWidth="true" hidden="false" outlineLevel="0" max="3773" min="3773" style="70" width="3.29"/>
    <col collapsed="false" customWidth="true" hidden="false" outlineLevel="0" max="3774" min="3774" style="70" width="8"/>
    <col collapsed="false" customWidth="false" hidden="false" outlineLevel="0" max="3775" min="3775" style="70" width="42.57"/>
    <col collapsed="false" customWidth="true" hidden="false" outlineLevel="0" max="3776" min="3776" style="70" width="3.29"/>
    <col collapsed="false" customWidth="true" hidden="false" outlineLevel="0" max="3777" min="3777" style="70" width="8"/>
    <col collapsed="false" customWidth="false" hidden="false" outlineLevel="0" max="3778" min="3778" style="70" width="42.57"/>
    <col collapsed="false" customWidth="true" hidden="false" outlineLevel="0" max="3779" min="3779" style="70" width="3.29"/>
    <col collapsed="false" customWidth="true" hidden="false" outlineLevel="0" max="3780" min="3780" style="70" width="8"/>
    <col collapsed="false" customWidth="false" hidden="false" outlineLevel="0" max="3781" min="3781" style="70" width="42.57"/>
    <col collapsed="false" customWidth="true" hidden="false" outlineLevel="0" max="3782" min="3782" style="70" width="3.29"/>
    <col collapsed="false" customWidth="true" hidden="false" outlineLevel="0" max="3783" min="3783" style="70" width="8"/>
    <col collapsed="false" customWidth="false" hidden="false" outlineLevel="0" max="3784" min="3784" style="70" width="42.57"/>
    <col collapsed="false" customWidth="true" hidden="false" outlineLevel="0" max="3785" min="3785" style="70" width="3.29"/>
    <col collapsed="false" customWidth="true" hidden="false" outlineLevel="0" max="3786" min="3786" style="70" width="8"/>
    <col collapsed="false" customWidth="false" hidden="false" outlineLevel="0" max="3787" min="3787" style="70" width="42.57"/>
    <col collapsed="false" customWidth="true" hidden="false" outlineLevel="0" max="3788" min="3788" style="70" width="3.29"/>
    <col collapsed="false" customWidth="true" hidden="false" outlineLevel="0" max="3789" min="3789" style="70" width="8"/>
    <col collapsed="false" customWidth="false" hidden="false" outlineLevel="0" max="3790" min="3790" style="70" width="42.57"/>
    <col collapsed="false" customWidth="true" hidden="false" outlineLevel="0" max="3791" min="3791" style="70" width="3.29"/>
    <col collapsed="false" customWidth="true" hidden="false" outlineLevel="0" max="3792" min="3792" style="70" width="8"/>
    <col collapsed="false" customWidth="false" hidden="false" outlineLevel="0" max="3793" min="3793" style="70" width="42.57"/>
    <col collapsed="false" customWidth="true" hidden="false" outlineLevel="0" max="3794" min="3794" style="70" width="3.29"/>
    <col collapsed="false" customWidth="true" hidden="false" outlineLevel="0" max="3795" min="3795" style="70" width="8"/>
    <col collapsed="false" customWidth="false" hidden="false" outlineLevel="0" max="3796" min="3796" style="70" width="42.57"/>
    <col collapsed="false" customWidth="true" hidden="false" outlineLevel="0" max="3797" min="3797" style="70" width="3.29"/>
    <col collapsed="false" customWidth="true" hidden="false" outlineLevel="0" max="3798" min="3798" style="70" width="8"/>
    <col collapsed="false" customWidth="false" hidden="false" outlineLevel="0" max="3799" min="3799" style="70" width="42.57"/>
    <col collapsed="false" customWidth="true" hidden="false" outlineLevel="0" max="3800" min="3800" style="70" width="3.29"/>
    <col collapsed="false" customWidth="true" hidden="false" outlineLevel="0" max="3801" min="3801" style="70" width="8"/>
    <col collapsed="false" customWidth="false" hidden="false" outlineLevel="0" max="3802" min="3802" style="70" width="42.57"/>
    <col collapsed="false" customWidth="true" hidden="false" outlineLevel="0" max="3803" min="3803" style="70" width="3.29"/>
    <col collapsed="false" customWidth="true" hidden="false" outlineLevel="0" max="3804" min="3804" style="70" width="8"/>
    <col collapsed="false" customWidth="false" hidden="false" outlineLevel="0" max="3805" min="3805" style="70" width="42.57"/>
    <col collapsed="false" customWidth="true" hidden="false" outlineLevel="0" max="3806" min="3806" style="70" width="3.29"/>
    <col collapsed="false" customWidth="true" hidden="false" outlineLevel="0" max="3807" min="3807" style="70" width="8"/>
    <col collapsed="false" customWidth="false" hidden="false" outlineLevel="0" max="3808" min="3808" style="70" width="42.57"/>
    <col collapsed="false" customWidth="true" hidden="false" outlineLevel="0" max="3809" min="3809" style="70" width="3.29"/>
    <col collapsed="false" customWidth="true" hidden="false" outlineLevel="0" max="3810" min="3810" style="70" width="8"/>
    <col collapsed="false" customWidth="false" hidden="false" outlineLevel="0" max="3811" min="3811" style="70" width="42.57"/>
    <col collapsed="false" customWidth="true" hidden="false" outlineLevel="0" max="3812" min="3812" style="70" width="3.29"/>
    <col collapsed="false" customWidth="true" hidden="false" outlineLevel="0" max="3813" min="3813" style="70" width="8"/>
    <col collapsed="false" customWidth="false" hidden="false" outlineLevel="0" max="3814" min="3814" style="70" width="42.57"/>
    <col collapsed="false" customWidth="true" hidden="false" outlineLevel="0" max="3815" min="3815" style="70" width="3.29"/>
    <col collapsed="false" customWidth="true" hidden="false" outlineLevel="0" max="3816" min="3816" style="70" width="8"/>
    <col collapsed="false" customWidth="false" hidden="false" outlineLevel="0" max="3817" min="3817" style="70" width="42.57"/>
    <col collapsed="false" customWidth="true" hidden="false" outlineLevel="0" max="3818" min="3818" style="70" width="3.29"/>
    <col collapsed="false" customWidth="true" hidden="false" outlineLevel="0" max="3819" min="3819" style="70" width="8"/>
    <col collapsed="false" customWidth="false" hidden="false" outlineLevel="0" max="3820" min="3820" style="70" width="42.57"/>
    <col collapsed="false" customWidth="true" hidden="false" outlineLevel="0" max="3821" min="3821" style="70" width="3.29"/>
    <col collapsed="false" customWidth="true" hidden="false" outlineLevel="0" max="3822" min="3822" style="70" width="8"/>
    <col collapsed="false" customWidth="false" hidden="false" outlineLevel="0" max="3823" min="3823" style="70" width="42.57"/>
    <col collapsed="false" customWidth="true" hidden="false" outlineLevel="0" max="3824" min="3824" style="70" width="3.29"/>
    <col collapsed="false" customWidth="true" hidden="false" outlineLevel="0" max="3825" min="3825" style="70" width="8"/>
    <col collapsed="false" customWidth="false" hidden="false" outlineLevel="0" max="3826" min="3826" style="70" width="42.57"/>
    <col collapsed="false" customWidth="true" hidden="false" outlineLevel="0" max="3827" min="3827" style="70" width="3.29"/>
    <col collapsed="false" customWidth="true" hidden="false" outlineLevel="0" max="3828" min="3828" style="70" width="8"/>
    <col collapsed="false" customWidth="false" hidden="false" outlineLevel="0" max="3829" min="3829" style="70" width="42.57"/>
    <col collapsed="false" customWidth="true" hidden="false" outlineLevel="0" max="3830" min="3830" style="70" width="3.29"/>
    <col collapsed="false" customWidth="true" hidden="false" outlineLevel="0" max="3831" min="3831" style="70" width="8"/>
    <col collapsed="false" customWidth="false" hidden="false" outlineLevel="0" max="3832" min="3832" style="70" width="42.57"/>
    <col collapsed="false" customWidth="true" hidden="false" outlineLevel="0" max="3833" min="3833" style="70" width="3.29"/>
    <col collapsed="false" customWidth="true" hidden="false" outlineLevel="0" max="3834" min="3834" style="70" width="8"/>
    <col collapsed="false" customWidth="false" hidden="false" outlineLevel="0" max="3835" min="3835" style="70" width="42.57"/>
    <col collapsed="false" customWidth="true" hidden="false" outlineLevel="0" max="3836" min="3836" style="70" width="3.29"/>
    <col collapsed="false" customWidth="true" hidden="false" outlineLevel="0" max="3837" min="3837" style="70" width="8"/>
    <col collapsed="false" customWidth="false" hidden="false" outlineLevel="0" max="3838" min="3838" style="70" width="42.57"/>
    <col collapsed="false" customWidth="true" hidden="false" outlineLevel="0" max="3839" min="3839" style="70" width="3.29"/>
    <col collapsed="false" customWidth="true" hidden="false" outlineLevel="0" max="3840" min="3840" style="70" width="8"/>
    <col collapsed="false" customWidth="false" hidden="false" outlineLevel="0" max="3841" min="3841" style="70" width="42.57"/>
    <col collapsed="false" customWidth="true" hidden="false" outlineLevel="0" max="3842" min="3842" style="70" width="3.29"/>
    <col collapsed="false" customWidth="true" hidden="false" outlineLevel="0" max="3843" min="3843" style="70" width="8"/>
    <col collapsed="false" customWidth="false" hidden="false" outlineLevel="0" max="3844" min="3844" style="70" width="42.57"/>
    <col collapsed="false" customWidth="true" hidden="false" outlineLevel="0" max="3845" min="3845" style="70" width="3.29"/>
    <col collapsed="false" customWidth="true" hidden="false" outlineLevel="0" max="3846" min="3846" style="70" width="8"/>
    <col collapsed="false" customWidth="false" hidden="false" outlineLevel="0" max="3847" min="3847" style="70" width="42.57"/>
    <col collapsed="false" customWidth="true" hidden="false" outlineLevel="0" max="3848" min="3848" style="70" width="3.29"/>
    <col collapsed="false" customWidth="true" hidden="false" outlineLevel="0" max="3849" min="3849" style="70" width="8"/>
    <col collapsed="false" customWidth="false" hidden="false" outlineLevel="0" max="3850" min="3850" style="70" width="42.57"/>
    <col collapsed="false" customWidth="true" hidden="false" outlineLevel="0" max="3851" min="3851" style="70" width="3.29"/>
    <col collapsed="false" customWidth="true" hidden="false" outlineLevel="0" max="3852" min="3852" style="70" width="8"/>
    <col collapsed="false" customWidth="false" hidden="false" outlineLevel="0" max="3853" min="3853" style="70" width="42.57"/>
    <col collapsed="false" customWidth="true" hidden="false" outlineLevel="0" max="3854" min="3854" style="70" width="3.29"/>
    <col collapsed="false" customWidth="true" hidden="false" outlineLevel="0" max="3855" min="3855" style="70" width="8"/>
    <col collapsed="false" customWidth="false" hidden="false" outlineLevel="0" max="3856" min="3856" style="70" width="42.57"/>
    <col collapsed="false" customWidth="true" hidden="false" outlineLevel="0" max="3857" min="3857" style="70" width="3.29"/>
    <col collapsed="false" customWidth="true" hidden="false" outlineLevel="0" max="3858" min="3858" style="70" width="8"/>
    <col collapsed="false" customWidth="false" hidden="false" outlineLevel="0" max="3859" min="3859" style="70" width="42.57"/>
    <col collapsed="false" customWidth="true" hidden="false" outlineLevel="0" max="3860" min="3860" style="70" width="3.29"/>
    <col collapsed="false" customWidth="true" hidden="false" outlineLevel="0" max="3861" min="3861" style="70" width="8"/>
    <col collapsed="false" customWidth="false" hidden="false" outlineLevel="0" max="3862" min="3862" style="70" width="42.57"/>
    <col collapsed="false" customWidth="true" hidden="false" outlineLevel="0" max="3863" min="3863" style="70" width="3.29"/>
    <col collapsed="false" customWidth="true" hidden="false" outlineLevel="0" max="3864" min="3864" style="70" width="8"/>
    <col collapsed="false" customWidth="false" hidden="false" outlineLevel="0" max="3865" min="3865" style="70" width="42.57"/>
    <col collapsed="false" customWidth="true" hidden="false" outlineLevel="0" max="3866" min="3866" style="70" width="3.29"/>
    <col collapsed="false" customWidth="true" hidden="false" outlineLevel="0" max="3867" min="3867" style="70" width="8"/>
    <col collapsed="false" customWidth="false" hidden="false" outlineLevel="0" max="3868" min="3868" style="70" width="42.57"/>
    <col collapsed="false" customWidth="true" hidden="false" outlineLevel="0" max="3869" min="3869" style="70" width="3.29"/>
    <col collapsed="false" customWidth="true" hidden="false" outlineLevel="0" max="3870" min="3870" style="70" width="8"/>
    <col collapsed="false" customWidth="false" hidden="false" outlineLevel="0" max="3871" min="3871" style="70" width="42.57"/>
    <col collapsed="false" customWidth="true" hidden="false" outlineLevel="0" max="3872" min="3872" style="70" width="3.29"/>
    <col collapsed="false" customWidth="true" hidden="false" outlineLevel="0" max="3873" min="3873" style="70" width="8"/>
    <col collapsed="false" customWidth="false" hidden="false" outlineLevel="0" max="3874" min="3874" style="70" width="42.57"/>
    <col collapsed="false" customWidth="true" hidden="false" outlineLevel="0" max="3875" min="3875" style="70" width="3.29"/>
    <col collapsed="false" customWidth="true" hidden="false" outlineLevel="0" max="3876" min="3876" style="70" width="8"/>
    <col collapsed="false" customWidth="false" hidden="false" outlineLevel="0" max="3877" min="3877" style="70" width="42.57"/>
    <col collapsed="false" customWidth="true" hidden="false" outlineLevel="0" max="3878" min="3878" style="70" width="3.29"/>
    <col collapsed="false" customWidth="true" hidden="false" outlineLevel="0" max="3879" min="3879" style="70" width="8"/>
    <col collapsed="false" customWidth="false" hidden="false" outlineLevel="0" max="3880" min="3880" style="70" width="42.57"/>
    <col collapsed="false" customWidth="true" hidden="false" outlineLevel="0" max="3881" min="3881" style="70" width="3.29"/>
    <col collapsed="false" customWidth="true" hidden="false" outlineLevel="0" max="3882" min="3882" style="70" width="8"/>
    <col collapsed="false" customWidth="false" hidden="false" outlineLevel="0" max="3883" min="3883" style="70" width="42.57"/>
    <col collapsed="false" customWidth="true" hidden="false" outlineLevel="0" max="3884" min="3884" style="70" width="3.29"/>
    <col collapsed="false" customWidth="true" hidden="false" outlineLevel="0" max="3885" min="3885" style="70" width="8"/>
    <col collapsed="false" customWidth="false" hidden="false" outlineLevel="0" max="3886" min="3886" style="70" width="42.57"/>
    <col collapsed="false" customWidth="true" hidden="false" outlineLevel="0" max="3887" min="3887" style="70" width="3.29"/>
    <col collapsed="false" customWidth="true" hidden="false" outlineLevel="0" max="3888" min="3888" style="70" width="8"/>
    <col collapsed="false" customWidth="false" hidden="false" outlineLevel="0" max="3889" min="3889" style="70" width="42.57"/>
    <col collapsed="false" customWidth="true" hidden="false" outlineLevel="0" max="3890" min="3890" style="70" width="3.29"/>
    <col collapsed="false" customWidth="true" hidden="false" outlineLevel="0" max="3891" min="3891" style="70" width="8"/>
    <col collapsed="false" customWidth="false" hidden="false" outlineLevel="0" max="3892" min="3892" style="70" width="42.57"/>
    <col collapsed="false" customWidth="true" hidden="false" outlineLevel="0" max="3893" min="3893" style="70" width="3.29"/>
    <col collapsed="false" customWidth="true" hidden="false" outlineLevel="0" max="3894" min="3894" style="70" width="8"/>
    <col collapsed="false" customWidth="false" hidden="false" outlineLevel="0" max="3895" min="3895" style="70" width="42.57"/>
    <col collapsed="false" customWidth="true" hidden="false" outlineLevel="0" max="3896" min="3896" style="70" width="3.29"/>
    <col collapsed="false" customWidth="true" hidden="false" outlineLevel="0" max="3897" min="3897" style="70" width="8"/>
    <col collapsed="false" customWidth="false" hidden="false" outlineLevel="0" max="3898" min="3898" style="70" width="42.57"/>
    <col collapsed="false" customWidth="true" hidden="false" outlineLevel="0" max="3899" min="3899" style="70" width="3.29"/>
    <col collapsed="false" customWidth="true" hidden="false" outlineLevel="0" max="3900" min="3900" style="70" width="8"/>
    <col collapsed="false" customWidth="false" hidden="false" outlineLevel="0" max="3901" min="3901" style="70" width="42.57"/>
    <col collapsed="false" customWidth="true" hidden="false" outlineLevel="0" max="3902" min="3902" style="70" width="3.29"/>
    <col collapsed="false" customWidth="true" hidden="false" outlineLevel="0" max="3903" min="3903" style="70" width="8"/>
    <col collapsed="false" customWidth="false" hidden="false" outlineLevel="0" max="3904" min="3904" style="70" width="42.57"/>
    <col collapsed="false" customWidth="true" hidden="false" outlineLevel="0" max="3905" min="3905" style="70" width="3.29"/>
    <col collapsed="false" customWidth="true" hidden="false" outlineLevel="0" max="3906" min="3906" style="70" width="8"/>
    <col collapsed="false" customWidth="false" hidden="false" outlineLevel="0" max="3907" min="3907" style="70" width="42.57"/>
    <col collapsed="false" customWidth="true" hidden="false" outlineLevel="0" max="3908" min="3908" style="70" width="3.29"/>
    <col collapsed="false" customWidth="true" hidden="false" outlineLevel="0" max="3909" min="3909" style="70" width="8"/>
    <col collapsed="false" customWidth="false" hidden="false" outlineLevel="0" max="3910" min="3910" style="70" width="42.57"/>
    <col collapsed="false" customWidth="true" hidden="false" outlineLevel="0" max="3911" min="3911" style="70" width="3.29"/>
    <col collapsed="false" customWidth="true" hidden="false" outlineLevel="0" max="3912" min="3912" style="70" width="8"/>
    <col collapsed="false" customWidth="false" hidden="false" outlineLevel="0" max="3913" min="3913" style="70" width="42.57"/>
    <col collapsed="false" customWidth="true" hidden="false" outlineLevel="0" max="3914" min="3914" style="70" width="3.29"/>
    <col collapsed="false" customWidth="true" hidden="false" outlineLevel="0" max="3915" min="3915" style="70" width="8"/>
    <col collapsed="false" customWidth="false" hidden="false" outlineLevel="0" max="3916" min="3916" style="70" width="42.57"/>
    <col collapsed="false" customWidth="true" hidden="false" outlineLevel="0" max="3917" min="3917" style="70" width="3.29"/>
    <col collapsed="false" customWidth="true" hidden="false" outlineLevel="0" max="3918" min="3918" style="70" width="8"/>
    <col collapsed="false" customWidth="false" hidden="false" outlineLevel="0" max="3919" min="3919" style="70" width="42.57"/>
    <col collapsed="false" customWidth="true" hidden="false" outlineLevel="0" max="3920" min="3920" style="70" width="3.29"/>
    <col collapsed="false" customWidth="true" hidden="false" outlineLevel="0" max="3921" min="3921" style="70" width="8"/>
    <col collapsed="false" customWidth="false" hidden="false" outlineLevel="0" max="3922" min="3922" style="70" width="42.57"/>
    <col collapsed="false" customWidth="true" hidden="false" outlineLevel="0" max="3923" min="3923" style="70" width="3.29"/>
    <col collapsed="false" customWidth="true" hidden="false" outlineLevel="0" max="3924" min="3924" style="70" width="8"/>
    <col collapsed="false" customWidth="false" hidden="false" outlineLevel="0" max="3925" min="3925" style="70" width="42.57"/>
    <col collapsed="false" customWidth="true" hidden="false" outlineLevel="0" max="3926" min="3926" style="70" width="3.29"/>
    <col collapsed="false" customWidth="true" hidden="false" outlineLevel="0" max="3927" min="3927" style="70" width="8"/>
    <col collapsed="false" customWidth="false" hidden="false" outlineLevel="0" max="3928" min="3928" style="70" width="42.57"/>
    <col collapsed="false" customWidth="true" hidden="false" outlineLevel="0" max="3929" min="3929" style="70" width="3.29"/>
    <col collapsed="false" customWidth="true" hidden="false" outlineLevel="0" max="3930" min="3930" style="70" width="8"/>
    <col collapsed="false" customWidth="false" hidden="false" outlineLevel="0" max="3931" min="3931" style="70" width="42.57"/>
    <col collapsed="false" customWidth="true" hidden="false" outlineLevel="0" max="3932" min="3932" style="70" width="3.29"/>
    <col collapsed="false" customWidth="true" hidden="false" outlineLevel="0" max="3933" min="3933" style="70" width="8"/>
    <col collapsed="false" customWidth="false" hidden="false" outlineLevel="0" max="3934" min="3934" style="70" width="42.57"/>
    <col collapsed="false" customWidth="true" hidden="false" outlineLevel="0" max="3935" min="3935" style="70" width="3.29"/>
    <col collapsed="false" customWidth="true" hidden="false" outlineLevel="0" max="3936" min="3936" style="70" width="8"/>
    <col collapsed="false" customWidth="false" hidden="false" outlineLevel="0" max="3937" min="3937" style="70" width="42.57"/>
    <col collapsed="false" customWidth="true" hidden="false" outlineLevel="0" max="3938" min="3938" style="70" width="3.29"/>
    <col collapsed="false" customWidth="true" hidden="false" outlineLevel="0" max="3939" min="3939" style="70" width="8"/>
    <col collapsed="false" customWidth="false" hidden="false" outlineLevel="0" max="3940" min="3940" style="70" width="42.57"/>
    <col collapsed="false" customWidth="true" hidden="false" outlineLevel="0" max="3941" min="3941" style="70" width="3.29"/>
    <col collapsed="false" customWidth="true" hidden="false" outlineLevel="0" max="3942" min="3942" style="70" width="8"/>
    <col collapsed="false" customWidth="false" hidden="false" outlineLevel="0" max="3943" min="3943" style="70" width="42.57"/>
    <col collapsed="false" customWidth="true" hidden="false" outlineLevel="0" max="3944" min="3944" style="70" width="3.29"/>
    <col collapsed="false" customWidth="true" hidden="false" outlineLevel="0" max="3945" min="3945" style="70" width="8"/>
    <col collapsed="false" customWidth="false" hidden="false" outlineLevel="0" max="3946" min="3946" style="70" width="42.57"/>
    <col collapsed="false" customWidth="true" hidden="false" outlineLevel="0" max="3947" min="3947" style="70" width="3.29"/>
    <col collapsed="false" customWidth="true" hidden="false" outlineLevel="0" max="3948" min="3948" style="70" width="8"/>
    <col collapsed="false" customWidth="false" hidden="false" outlineLevel="0" max="3949" min="3949" style="70" width="42.57"/>
    <col collapsed="false" customWidth="true" hidden="false" outlineLevel="0" max="3950" min="3950" style="70" width="3.29"/>
    <col collapsed="false" customWidth="true" hidden="false" outlineLevel="0" max="3951" min="3951" style="70" width="8"/>
    <col collapsed="false" customWidth="false" hidden="false" outlineLevel="0" max="3952" min="3952" style="70" width="42.57"/>
    <col collapsed="false" customWidth="true" hidden="false" outlineLevel="0" max="3953" min="3953" style="70" width="3.29"/>
    <col collapsed="false" customWidth="true" hidden="false" outlineLevel="0" max="3954" min="3954" style="70" width="8"/>
    <col collapsed="false" customWidth="false" hidden="false" outlineLevel="0" max="3955" min="3955" style="70" width="42.57"/>
    <col collapsed="false" customWidth="true" hidden="false" outlineLevel="0" max="3956" min="3956" style="70" width="3.29"/>
    <col collapsed="false" customWidth="true" hidden="false" outlineLevel="0" max="3957" min="3957" style="70" width="8"/>
    <col collapsed="false" customWidth="false" hidden="false" outlineLevel="0" max="3958" min="3958" style="70" width="42.57"/>
    <col collapsed="false" customWidth="true" hidden="false" outlineLevel="0" max="3959" min="3959" style="70" width="3.29"/>
    <col collapsed="false" customWidth="true" hidden="false" outlineLevel="0" max="3960" min="3960" style="70" width="8"/>
    <col collapsed="false" customWidth="false" hidden="false" outlineLevel="0" max="3961" min="3961" style="70" width="42.57"/>
    <col collapsed="false" customWidth="true" hidden="false" outlineLevel="0" max="3962" min="3962" style="70" width="3.29"/>
    <col collapsed="false" customWidth="true" hidden="false" outlineLevel="0" max="3963" min="3963" style="70" width="8"/>
    <col collapsed="false" customWidth="false" hidden="false" outlineLevel="0" max="3964" min="3964" style="70" width="42.57"/>
    <col collapsed="false" customWidth="true" hidden="false" outlineLevel="0" max="3965" min="3965" style="70" width="3.29"/>
    <col collapsed="false" customWidth="true" hidden="false" outlineLevel="0" max="3966" min="3966" style="70" width="8"/>
    <col collapsed="false" customWidth="false" hidden="false" outlineLevel="0" max="3967" min="3967" style="70" width="42.57"/>
    <col collapsed="false" customWidth="true" hidden="false" outlineLevel="0" max="3968" min="3968" style="70" width="3.29"/>
    <col collapsed="false" customWidth="true" hidden="false" outlineLevel="0" max="3969" min="3969" style="70" width="8"/>
    <col collapsed="false" customWidth="false" hidden="false" outlineLevel="0" max="3970" min="3970" style="70" width="42.57"/>
    <col collapsed="false" customWidth="true" hidden="false" outlineLevel="0" max="3971" min="3971" style="70" width="3.29"/>
    <col collapsed="false" customWidth="true" hidden="false" outlineLevel="0" max="3972" min="3972" style="70" width="8"/>
    <col collapsed="false" customWidth="false" hidden="false" outlineLevel="0" max="3973" min="3973" style="70" width="42.57"/>
    <col collapsed="false" customWidth="true" hidden="false" outlineLevel="0" max="3974" min="3974" style="70" width="3.29"/>
    <col collapsed="false" customWidth="true" hidden="false" outlineLevel="0" max="3975" min="3975" style="70" width="8"/>
    <col collapsed="false" customWidth="false" hidden="false" outlineLevel="0" max="3976" min="3976" style="70" width="42.57"/>
    <col collapsed="false" customWidth="true" hidden="false" outlineLevel="0" max="3977" min="3977" style="70" width="3.29"/>
    <col collapsed="false" customWidth="true" hidden="false" outlineLevel="0" max="3978" min="3978" style="70" width="8"/>
    <col collapsed="false" customWidth="false" hidden="false" outlineLevel="0" max="3979" min="3979" style="70" width="42.57"/>
    <col collapsed="false" customWidth="true" hidden="false" outlineLevel="0" max="3980" min="3980" style="70" width="3.29"/>
    <col collapsed="false" customWidth="true" hidden="false" outlineLevel="0" max="3981" min="3981" style="70" width="8"/>
    <col collapsed="false" customWidth="false" hidden="false" outlineLevel="0" max="3982" min="3982" style="70" width="42.57"/>
    <col collapsed="false" customWidth="true" hidden="false" outlineLevel="0" max="3983" min="3983" style="70" width="3.29"/>
    <col collapsed="false" customWidth="true" hidden="false" outlineLevel="0" max="3984" min="3984" style="70" width="8"/>
    <col collapsed="false" customWidth="false" hidden="false" outlineLevel="0" max="3985" min="3985" style="70" width="42.57"/>
    <col collapsed="false" customWidth="true" hidden="false" outlineLevel="0" max="3986" min="3986" style="70" width="3.29"/>
    <col collapsed="false" customWidth="true" hidden="false" outlineLevel="0" max="3987" min="3987" style="70" width="8"/>
    <col collapsed="false" customWidth="false" hidden="false" outlineLevel="0" max="3988" min="3988" style="70" width="42.57"/>
    <col collapsed="false" customWidth="true" hidden="false" outlineLevel="0" max="3989" min="3989" style="70" width="3.29"/>
    <col collapsed="false" customWidth="true" hidden="false" outlineLevel="0" max="3990" min="3990" style="70" width="8"/>
    <col collapsed="false" customWidth="false" hidden="false" outlineLevel="0" max="3991" min="3991" style="70" width="42.57"/>
    <col collapsed="false" customWidth="true" hidden="false" outlineLevel="0" max="3992" min="3992" style="70" width="3.29"/>
    <col collapsed="false" customWidth="true" hidden="false" outlineLevel="0" max="3993" min="3993" style="70" width="8"/>
    <col collapsed="false" customWidth="false" hidden="false" outlineLevel="0" max="3994" min="3994" style="70" width="42.57"/>
    <col collapsed="false" customWidth="true" hidden="false" outlineLevel="0" max="3995" min="3995" style="70" width="3.29"/>
    <col collapsed="false" customWidth="true" hidden="false" outlineLevel="0" max="3996" min="3996" style="70" width="8"/>
    <col collapsed="false" customWidth="false" hidden="false" outlineLevel="0" max="3997" min="3997" style="70" width="42.57"/>
    <col collapsed="false" customWidth="true" hidden="false" outlineLevel="0" max="3998" min="3998" style="70" width="3.29"/>
    <col collapsed="false" customWidth="true" hidden="false" outlineLevel="0" max="3999" min="3999" style="70" width="8"/>
    <col collapsed="false" customWidth="false" hidden="false" outlineLevel="0" max="4000" min="4000" style="70" width="42.57"/>
    <col collapsed="false" customWidth="true" hidden="false" outlineLevel="0" max="4001" min="4001" style="70" width="3.29"/>
    <col collapsed="false" customWidth="true" hidden="false" outlineLevel="0" max="4002" min="4002" style="70" width="8"/>
    <col collapsed="false" customWidth="false" hidden="false" outlineLevel="0" max="4003" min="4003" style="70" width="42.57"/>
    <col collapsed="false" customWidth="true" hidden="false" outlineLevel="0" max="4004" min="4004" style="70" width="3.29"/>
    <col collapsed="false" customWidth="true" hidden="false" outlineLevel="0" max="4005" min="4005" style="70" width="8"/>
    <col collapsed="false" customWidth="false" hidden="false" outlineLevel="0" max="4006" min="4006" style="70" width="42.57"/>
    <col collapsed="false" customWidth="true" hidden="false" outlineLevel="0" max="4007" min="4007" style="70" width="3.29"/>
    <col collapsed="false" customWidth="true" hidden="false" outlineLevel="0" max="4008" min="4008" style="70" width="8"/>
    <col collapsed="false" customWidth="false" hidden="false" outlineLevel="0" max="4009" min="4009" style="70" width="42.57"/>
    <col collapsed="false" customWidth="true" hidden="false" outlineLevel="0" max="4010" min="4010" style="70" width="3.29"/>
    <col collapsed="false" customWidth="true" hidden="false" outlineLevel="0" max="4011" min="4011" style="70" width="8"/>
    <col collapsed="false" customWidth="false" hidden="false" outlineLevel="0" max="4012" min="4012" style="70" width="42.57"/>
    <col collapsed="false" customWidth="true" hidden="false" outlineLevel="0" max="4013" min="4013" style="70" width="3.29"/>
    <col collapsed="false" customWidth="true" hidden="false" outlineLevel="0" max="4014" min="4014" style="70" width="8"/>
    <col collapsed="false" customWidth="false" hidden="false" outlineLevel="0" max="4015" min="4015" style="70" width="42.57"/>
    <col collapsed="false" customWidth="true" hidden="false" outlineLevel="0" max="4016" min="4016" style="70" width="3.29"/>
    <col collapsed="false" customWidth="true" hidden="false" outlineLevel="0" max="4017" min="4017" style="70" width="8"/>
    <col collapsed="false" customWidth="false" hidden="false" outlineLevel="0" max="4018" min="4018" style="70" width="42.57"/>
    <col collapsed="false" customWidth="true" hidden="false" outlineLevel="0" max="4019" min="4019" style="70" width="3.29"/>
    <col collapsed="false" customWidth="true" hidden="false" outlineLevel="0" max="4020" min="4020" style="70" width="8"/>
    <col collapsed="false" customWidth="false" hidden="false" outlineLevel="0" max="4021" min="4021" style="70" width="42.57"/>
    <col collapsed="false" customWidth="true" hidden="false" outlineLevel="0" max="4022" min="4022" style="70" width="3.29"/>
    <col collapsed="false" customWidth="true" hidden="false" outlineLevel="0" max="4023" min="4023" style="70" width="8"/>
    <col collapsed="false" customWidth="false" hidden="false" outlineLevel="0" max="4024" min="4024" style="70" width="42.57"/>
    <col collapsed="false" customWidth="true" hidden="false" outlineLevel="0" max="4025" min="4025" style="70" width="3.29"/>
    <col collapsed="false" customWidth="true" hidden="false" outlineLevel="0" max="4026" min="4026" style="70" width="8"/>
    <col collapsed="false" customWidth="false" hidden="false" outlineLevel="0" max="4027" min="4027" style="70" width="42.57"/>
    <col collapsed="false" customWidth="true" hidden="false" outlineLevel="0" max="4028" min="4028" style="70" width="3.29"/>
    <col collapsed="false" customWidth="true" hidden="false" outlineLevel="0" max="4029" min="4029" style="70" width="8"/>
    <col collapsed="false" customWidth="false" hidden="false" outlineLevel="0" max="4030" min="4030" style="70" width="42.57"/>
    <col collapsed="false" customWidth="true" hidden="false" outlineLevel="0" max="4031" min="4031" style="70" width="3.29"/>
    <col collapsed="false" customWidth="true" hidden="false" outlineLevel="0" max="4032" min="4032" style="70" width="8"/>
    <col collapsed="false" customWidth="false" hidden="false" outlineLevel="0" max="4033" min="4033" style="70" width="42.57"/>
    <col collapsed="false" customWidth="true" hidden="false" outlineLevel="0" max="4034" min="4034" style="70" width="3.29"/>
    <col collapsed="false" customWidth="true" hidden="false" outlineLevel="0" max="4035" min="4035" style="70" width="8"/>
    <col collapsed="false" customWidth="false" hidden="false" outlineLevel="0" max="4036" min="4036" style="70" width="42.57"/>
    <col collapsed="false" customWidth="true" hidden="false" outlineLevel="0" max="4037" min="4037" style="70" width="3.29"/>
    <col collapsed="false" customWidth="true" hidden="false" outlineLevel="0" max="4038" min="4038" style="70" width="8"/>
    <col collapsed="false" customWidth="false" hidden="false" outlineLevel="0" max="4039" min="4039" style="70" width="42.57"/>
    <col collapsed="false" customWidth="true" hidden="false" outlineLevel="0" max="4040" min="4040" style="70" width="3.29"/>
    <col collapsed="false" customWidth="true" hidden="false" outlineLevel="0" max="4041" min="4041" style="70" width="8"/>
    <col collapsed="false" customWidth="false" hidden="false" outlineLevel="0" max="4042" min="4042" style="70" width="42.57"/>
    <col collapsed="false" customWidth="true" hidden="false" outlineLevel="0" max="4043" min="4043" style="70" width="3.29"/>
    <col collapsed="false" customWidth="true" hidden="false" outlineLevel="0" max="4044" min="4044" style="70" width="8"/>
    <col collapsed="false" customWidth="false" hidden="false" outlineLevel="0" max="4045" min="4045" style="70" width="42.57"/>
    <col collapsed="false" customWidth="true" hidden="false" outlineLevel="0" max="4046" min="4046" style="70" width="3.29"/>
    <col collapsed="false" customWidth="true" hidden="false" outlineLevel="0" max="4047" min="4047" style="70" width="8"/>
    <col collapsed="false" customWidth="false" hidden="false" outlineLevel="0" max="4048" min="4048" style="70" width="42.57"/>
    <col collapsed="false" customWidth="true" hidden="false" outlineLevel="0" max="4049" min="4049" style="70" width="3.29"/>
    <col collapsed="false" customWidth="true" hidden="false" outlineLevel="0" max="4050" min="4050" style="70" width="8"/>
    <col collapsed="false" customWidth="false" hidden="false" outlineLevel="0" max="4051" min="4051" style="70" width="42.57"/>
    <col collapsed="false" customWidth="true" hidden="false" outlineLevel="0" max="4052" min="4052" style="70" width="3.29"/>
    <col collapsed="false" customWidth="true" hidden="false" outlineLevel="0" max="4053" min="4053" style="70" width="8"/>
    <col collapsed="false" customWidth="false" hidden="false" outlineLevel="0" max="4054" min="4054" style="70" width="42.57"/>
    <col collapsed="false" customWidth="true" hidden="false" outlineLevel="0" max="4055" min="4055" style="70" width="3.29"/>
    <col collapsed="false" customWidth="true" hidden="false" outlineLevel="0" max="4056" min="4056" style="70" width="8"/>
    <col collapsed="false" customWidth="false" hidden="false" outlineLevel="0" max="4057" min="4057" style="70" width="42.57"/>
    <col collapsed="false" customWidth="true" hidden="false" outlineLevel="0" max="4058" min="4058" style="70" width="3.29"/>
    <col collapsed="false" customWidth="true" hidden="false" outlineLevel="0" max="4059" min="4059" style="70" width="8"/>
    <col collapsed="false" customWidth="false" hidden="false" outlineLevel="0" max="4060" min="4060" style="70" width="42.57"/>
    <col collapsed="false" customWidth="true" hidden="false" outlineLevel="0" max="4061" min="4061" style="70" width="3.29"/>
    <col collapsed="false" customWidth="true" hidden="false" outlineLevel="0" max="4062" min="4062" style="70" width="8"/>
    <col collapsed="false" customWidth="false" hidden="false" outlineLevel="0" max="4063" min="4063" style="70" width="42.57"/>
    <col collapsed="false" customWidth="true" hidden="false" outlineLevel="0" max="4064" min="4064" style="70" width="3.29"/>
    <col collapsed="false" customWidth="true" hidden="false" outlineLevel="0" max="4065" min="4065" style="70" width="8"/>
    <col collapsed="false" customWidth="false" hidden="false" outlineLevel="0" max="4066" min="4066" style="70" width="42.57"/>
    <col collapsed="false" customWidth="true" hidden="false" outlineLevel="0" max="4067" min="4067" style="70" width="3.29"/>
    <col collapsed="false" customWidth="true" hidden="false" outlineLevel="0" max="4068" min="4068" style="70" width="8"/>
    <col collapsed="false" customWidth="false" hidden="false" outlineLevel="0" max="4069" min="4069" style="70" width="42.57"/>
    <col collapsed="false" customWidth="true" hidden="false" outlineLevel="0" max="4070" min="4070" style="70" width="3.29"/>
    <col collapsed="false" customWidth="true" hidden="false" outlineLevel="0" max="4071" min="4071" style="70" width="8"/>
    <col collapsed="false" customWidth="false" hidden="false" outlineLevel="0" max="4072" min="4072" style="70" width="42.57"/>
    <col collapsed="false" customWidth="true" hidden="false" outlineLevel="0" max="4073" min="4073" style="70" width="3.29"/>
    <col collapsed="false" customWidth="true" hidden="false" outlineLevel="0" max="4074" min="4074" style="70" width="8"/>
    <col collapsed="false" customWidth="false" hidden="false" outlineLevel="0" max="4075" min="4075" style="70" width="42.57"/>
    <col collapsed="false" customWidth="true" hidden="false" outlineLevel="0" max="4076" min="4076" style="70" width="3.29"/>
    <col collapsed="false" customWidth="true" hidden="false" outlineLevel="0" max="4077" min="4077" style="70" width="8"/>
    <col collapsed="false" customWidth="false" hidden="false" outlineLevel="0" max="4078" min="4078" style="70" width="42.57"/>
    <col collapsed="false" customWidth="true" hidden="false" outlineLevel="0" max="4079" min="4079" style="70" width="3.29"/>
    <col collapsed="false" customWidth="true" hidden="false" outlineLevel="0" max="4080" min="4080" style="70" width="8"/>
    <col collapsed="false" customWidth="false" hidden="false" outlineLevel="0" max="4081" min="4081" style="70" width="42.57"/>
    <col collapsed="false" customWidth="true" hidden="false" outlineLevel="0" max="4082" min="4082" style="70" width="3.29"/>
    <col collapsed="false" customWidth="true" hidden="false" outlineLevel="0" max="4083" min="4083" style="70" width="8"/>
    <col collapsed="false" customWidth="false" hidden="false" outlineLevel="0" max="4084" min="4084" style="70" width="42.57"/>
    <col collapsed="false" customWidth="true" hidden="false" outlineLevel="0" max="4085" min="4085" style="70" width="3.29"/>
    <col collapsed="false" customWidth="true" hidden="false" outlineLevel="0" max="4086" min="4086" style="70" width="8"/>
    <col collapsed="false" customWidth="false" hidden="false" outlineLevel="0" max="4087" min="4087" style="70" width="42.57"/>
    <col collapsed="false" customWidth="true" hidden="false" outlineLevel="0" max="4088" min="4088" style="70" width="3.29"/>
    <col collapsed="false" customWidth="true" hidden="false" outlineLevel="0" max="4089" min="4089" style="70" width="8"/>
    <col collapsed="false" customWidth="false" hidden="false" outlineLevel="0" max="4090" min="4090" style="70" width="42.57"/>
    <col collapsed="false" customWidth="true" hidden="false" outlineLevel="0" max="4091" min="4091" style="70" width="3.29"/>
    <col collapsed="false" customWidth="true" hidden="false" outlineLevel="0" max="4092" min="4092" style="70" width="8"/>
    <col collapsed="false" customWidth="false" hidden="false" outlineLevel="0" max="4093" min="4093" style="70" width="42.57"/>
    <col collapsed="false" customWidth="true" hidden="false" outlineLevel="0" max="4094" min="4094" style="70" width="3.29"/>
    <col collapsed="false" customWidth="true" hidden="false" outlineLevel="0" max="4095" min="4095" style="70" width="8"/>
    <col collapsed="false" customWidth="false" hidden="false" outlineLevel="0" max="4096" min="4096" style="70" width="42.57"/>
    <col collapsed="false" customWidth="true" hidden="false" outlineLevel="0" max="4097" min="4097" style="70" width="3.29"/>
    <col collapsed="false" customWidth="true" hidden="false" outlineLevel="0" max="4098" min="4098" style="70" width="8"/>
    <col collapsed="false" customWidth="false" hidden="false" outlineLevel="0" max="4099" min="4099" style="70" width="42.57"/>
    <col collapsed="false" customWidth="true" hidden="false" outlineLevel="0" max="4100" min="4100" style="70" width="3.29"/>
    <col collapsed="false" customWidth="true" hidden="false" outlineLevel="0" max="4101" min="4101" style="70" width="8"/>
    <col collapsed="false" customWidth="false" hidden="false" outlineLevel="0" max="4102" min="4102" style="70" width="42.57"/>
    <col collapsed="false" customWidth="true" hidden="false" outlineLevel="0" max="4103" min="4103" style="70" width="3.29"/>
    <col collapsed="false" customWidth="true" hidden="false" outlineLevel="0" max="4104" min="4104" style="70" width="8"/>
    <col collapsed="false" customWidth="false" hidden="false" outlineLevel="0" max="4105" min="4105" style="70" width="42.57"/>
    <col collapsed="false" customWidth="true" hidden="false" outlineLevel="0" max="4106" min="4106" style="70" width="3.29"/>
    <col collapsed="false" customWidth="true" hidden="false" outlineLevel="0" max="4107" min="4107" style="70" width="8"/>
    <col collapsed="false" customWidth="false" hidden="false" outlineLevel="0" max="4108" min="4108" style="70" width="42.57"/>
    <col collapsed="false" customWidth="true" hidden="false" outlineLevel="0" max="4109" min="4109" style="70" width="3.29"/>
    <col collapsed="false" customWidth="true" hidden="false" outlineLevel="0" max="4110" min="4110" style="70" width="8"/>
    <col collapsed="false" customWidth="false" hidden="false" outlineLevel="0" max="4111" min="4111" style="70" width="42.57"/>
    <col collapsed="false" customWidth="true" hidden="false" outlineLevel="0" max="4112" min="4112" style="70" width="3.29"/>
    <col collapsed="false" customWidth="true" hidden="false" outlineLevel="0" max="4113" min="4113" style="70" width="8"/>
    <col collapsed="false" customWidth="false" hidden="false" outlineLevel="0" max="4114" min="4114" style="70" width="42.57"/>
    <col collapsed="false" customWidth="true" hidden="false" outlineLevel="0" max="4115" min="4115" style="70" width="3.29"/>
    <col collapsed="false" customWidth="true" hidden="false" outlineLevel="0" max="4116" min="4116" style="70" width="8"/>
    <col collapsed="false" customWidth="false" hidden="false" outlineLevel="0" max="4117" min="4117" style="70" width="42.57"/>
    <col collapsed="false" customWidth="true" hidden="false" outlineLevel="0" max="4118" min="4118" style="70" width="3.29"/>
    <col collapsed="false" customWidth="true" hidden="false" outlineLevel="0" max="4119" min="4119" style="70" width="8"/>
    <col collapsed="false" customWidth="false" hidden="false" outlineLevel="0" max="4120" min="4120" style="70" width="42.57"/>
    <col collapsed="false" customWidth="true" hidden="false" outlineLevel="0" max="4121" min="4121" style="70" width="3.29"/>
    <col collapsed="false" customWidth="true" hidden="false" outlineLevel="0" max="4122" min="4122" style="70" width="8"/>
    <col collapsed="false" customWidth="false" hidden="false" outlineLevel="0" max="4123" min="4123" style="70" width="42.57"/>
    <col collapsed="false" customWidth="true" hidden="false" outlineLevel="0" max="4124" min="4124" style="70" width="3.29"/>
    <col collapsed="false" customWidth="true" hidden="false" outlineLevel="0" max="4125" min="4125" style="70" width="8"/>
    <col collapsed="false" customWidth="false" hidden="false" outlineLevel="0" max="4126" min="4126" style="70" width="42.57"/>
    <col collapsed="false" customWidth="true" hidden="false" outlineLevel="0" max="4127" min="4127" style="70" width="3.29"/>
    <col collapsed="false" customWidth="true" hidden="false" outlineLevel="0" max="4128" min="4128" style="70" width="8"/>
    <col collapsed="false" customWidth="false" hidden="false" outlineLevel="0" max="4129" min="4129" style="70" width="42.57"/>
    <col collapsed="false" customWidth="true" hidden="false" outlineLevel="0" max="4130" min="4130" style="70" width="3.29"/>
    <col collapsed="false" customWidth="true" hidden="false" outlineLevel="0" max="4131" min="4131" style="70" width="8"/>
    <col collapsed="false" customWidth="false" hidden="false" outlineLevel="0" max="4132" min="4132" style="70" width="42.57"/>
    <col collapsed="false" customWidth="true" hidden="false" outlineLevel="0" max="4133" min="4133" style="70" width="3.29"/>
    <col collapsed="false" customWidth="true" hidden="false" outlineLevel="0" max="4134" min="4134" style="70" width="8"/>
    <col collapsed="false" customWidth="false" hidden="false" outlineLevel="0" max="4135" min="4135" style="70" width="42.57"/>
    <col collapsed="false" customWidth="true" hidden="false" outlineLevel="0" max="4136" min="4136" style="70" width="3.29"/>
    <col collapsed="false" customWidth="true" hidden="false" outlineLevel="0" max="4137" min="4137" style="70" width="8"/>
    <col collapsed="false" customWidth="false" hidden="false" outlineLevel="0" max="4138" min="4138" style="70" width="42.57"/>
    <col collapsed="false" customWidth="true" hidden="false" outlineLevel="0" max="4139" min="4139" style="70" width="3.29"/>
    <col collapsed="false" customWidth="true" hidden="false" outlineLevel="0" max="4140" min="4140" style="70" width="8"/>
    <col collapsed="false" customWidth="false" hidden="false" outlineLevel="0" max="4141" min="4141" style="70" width="42.57"/>
    <col collapsed="false" customWidth="true" hidden="false" outlineLevel="0" max="4142" min="4142" style="70" width="3.29"/>
    <col collapsed="false" customWidth="true" hidden="false" outlineLevel="0" max="4143" min="4143" style="70" width="8"/>
    <col collapsed="false" customWidth="false" hidden="false" outlineLevel="0" max="4144" min="4144" style="70" width="42.57"/>
    <col collapsed="false" customWidth="true" hidden="false" outlineLevel="0" max="4145" min="4145" style="70" width="3.29"/>
    <col collapsed="false" customWidth="true" hidden="false" outlineLevel="0" max="4146" min="4146" style="70" width="8"/>
    <col collapsed="false" customWidth="false" hidden="false" outlineLevel="0" max="4147" min="4147" style="70" width="42.57"/>
    <col collapsed="false" customWidth="true" hidden="false" outlineLevel="0" max="4148" min="4148" style="70" width="3.29"/>
    <col collapsed="false" customWidth="true" hidden="false" outlineLevel="0" max="4149" min="4149" style="70" width="8"/>
    <col collapsed="false" customWidth="false" hidden="false" outlineLevel="0" max="4150" min="4150" style="70" width="42.57"/>
    <col collapsed="false" customWidth="true" hidden="false" outlineLevel="0" max="4151" min="4151" style="70" width="3.29"/>
    <col collapsed="false" customWidth="true" hidden="false" outlineLevel="0" max="4152" min="4152" style="70" width="8"/>
    <col collapsed="false" customWidth="false" hidden="false" outlineLevel="0" max="4153" min="4153" style="70" width="42.57"/>
    <col collapsed="false" customWidth="true" hidden="false" outlineLevel="0" max="4154" min="4154" style="70" width="3.29"/>
    <col collapsed="false" customWidth="true" hidden="false" outlineLevel="0" max="4155" min="4155" style="70" width="8"/>
    <col collapsed="false" customWidth="false" hidden="false" outlineLevel="0" max="4156" min="4156" style="70" width="42.57"/>
    <col collapsed="false" customWidth="true" hidden="false" outlineLevel="0" max="4157" min="4157" style="70" width="3.29"/>
    <col collapsed="false" customWidth="true" hidden="false" outlineLevel="0" max="4158" min="4158" style="70" width="8"/>
    <col collapsed="false" customWidth="false" hidden="false" outlineLevel="0" max="4159" min="4159" style="70" width="42.57"/>
    <col collapsed="false" customWidth="true" hidden="false" outlineLevel="0" max="4160" min="4160" style="70" width="3.29"/>
    <col collapsed="false" customWidth="true" hidden="false" outlineLevel="0" max="4161" min="4161" style="70" width="8"/>
    <col collapsed="false" customWidth="false" hidden="false" outlineLevel="0" max="4162" min="4162" style="70" width="42.57"/>
    <col collapsed="false" customWidth="true" hidden="false" outlineLevel="0" max="4163" min="4163" style="70" width="3.29"/>
    <col collapsed="false" customWidth="true" hidden="false" outlineLevel="0" max="4164" min="4164" style="70" width="8"/>
    <col collapsed="false" customWidth="false" hidden="false" outlineLevel="0" max="4165" min="4165" style="70" width="42.57"/>
    <col collapsed="false" customWidth="true" hidden="false" outlineLevel="0" max="4166" min="4166" style="70" width="3.29"/>
    <col collapsed="false" customWidth="true" hidden="false" outlineLevel="0" max="4167" min="4167" style="70" width="8"/>
    <col collapsed="false" customWidth="false" hidden="false" outlineLevel="0" max="4168" min="4168" style="70" width="42.57"/>
    <col collapsed="false" customWidth="true" hidden="false" outlineLevel="0" max="4169" min="4169" style="70" width="3.29"/>
    <col collapsed="false" customWidth="true" hidden="false" outlineLevel="0" max="4170" min="4170" style="70" width="8"/>
    <col collapsed="false" customWidth="false" hidden="false" outlineLevel="0" max="4171" min="4171" style="70" width="42.57"/>
    <col collapsed="false" customWidth="true" hidden="false" outlineLevel="0" max="4172" min="4172" style="70" width="3.29"/>
    <col collapsed="false" customWidth="true" hidden="false" outlineLevel="0" max="4173" min="4173" style="70" width="8"/>
    <col collapsed="false" customWidth="false" hidden="false" outlineLevel="0" max="4174" min="4174" style="70" width="42.57"/>
    <col collapsed="false" customWidth="true" hidden="false" outlineLevel="0" max="4175" min="4175" style="70" width="3.29"/>
    <col collapsed="false" customWidth="true" hidden="false" outlineLevel="0" max="4176" min="4176" style="70" width="8"/>
    <col collapsed="false" customWidth="false" hidden="false" outlineLevel="0" max="4177" min="4177" style="70" width="42.57"/>
    <col collapsed="false" customWidth="true" hidden="false" outlineLevel="0" max="4178" min="4178" style="70" width="3.29"/>
    <col collapsed="false" customWidth="true" hidden="false" outlineLevel="0" max="4179" min="4179" style="70" width="8"/>
    <col collapsed="false" customWidth="false" hidden="false" outlineLevel="0" max="4180" min="4180" style="70" width="42.57"/>
    <col collapsed="false" customWidth="true" hidden="false" outlineLevel="0" max="4181" min="4181" style="70" width="3.29"/>
    <col collapsed="false" customWidth="true" hidden="false" outlineLevel="0" max="4182" min="4182" style="70" width="8"/>
    <col collapsed="false" customWidth="false" hidden="false" outlineLevel="0" max="4183" min="4183" style="70" width="42.57"/>
    <col collapsed="false" customWidth="true" hidden="false" outlineLevel="0" max="4184" min="4184" style="70" width="3.29"/>
    <col collapsed="false" customWidth="true" hidden="false" outlineLevel="0" max="4185" min="4185" style="70" width="8"/>
    <col collapsed="false" customWidth="false" hidden="false" outlineLevel="0" max="4186" min="4186" style="70" width="42.57"/>
    <col collapsed="false" customWidth="true" hidden="false" outlineLevel="0" max="4187" min="4187" style="70" width="3.29"/>
    <col collapsed="false" customWidth="true" hidden="false" outlineLevel="0" max="4188" min="4188" style="70" width="8"/>
    <col collapsed="false" customWidth="false" hidden="false" outlineLevel="0" max="4189" min="4189" style="70" width="42.57"/>
    <col collapsed="false" customWidth="true" hidden="false" outlineLevel="0" max="4190" min="4190" style="70" width="3.29"/>
    <col collapsed="false" customWidth="true" hidden="false" outlineLevel="0" max="4191" min="4191" style="70" width="8"/>
    <col collapsed="false" customWidth="false" hidden="false" outlineLevel="0" max="4192" min="4192" style="70" width="42.57"/>
    <col collapsed="false" customWidth="true" hidden="false" outlineLevel="0" max="4193" min="4193" style="70" width="3.29"/>
    <col collapsed="false" customWidth="true" hidden="false" outlineLevel="0" max="4194" min="4194" style="70" width="8"/>
    <col collapsed="false" customWidth="false" hidden="false" outlineLevel="0" max="4195" min="4195" style="70" width="42.57"/>
    <col collapsed="false" customWidth="true" hidden="false" outlineLevel="0" max="4196" min="4196" style="70" width="3.29"/>
    <col collapsed="false" customWidth="true" hidden="false" outlineLevel="0" max="4197" min="4197" style="70" width="8"/>
    <col collapsed="false" customWidth="false" hidden="false" outlineLevel="0" max="4198" min="4198" style="70" width="42.57"/>
    <col collapsed="false" customWidth="true" hidden="false" outlineLevel="0" max="4199" min="4199" style="70" width="3.29"/>
    <col collapsed="false" customWidth="true" hidden="false" outlineLevel="0" max="4200" min="4200" style="70" width="8"/>
    <col collapsed="false" customWidth="false" hidden="false" outlineLevel="0" max="4201" min="4201" style="70" width="42.57"/>
    <col collapsed="false" customWidth="true" hidden="false" outlineLevel="0" max="4202" min="4202" style="70" width="3.29"/>
    <col collapsed="false" customWidth="true" hidden="false" outlineLevel="0" max="4203" min="4203" style="70" width="8"/>
    <col collapsed="false" customWidth="false" hidden="false" outlineLevel="0" max="4204" min="4204" style="70" width="42.57"/>
    <col collapsed="false" customWidth="true" hidden="false" outlineLevel="0" max="4205" min="4205" style="70" width="3.29"/>
    <col collapsed="false" customWidth="true" hidden="false" outlineLevel="0" max="4206" min="4206" style="70" width="8"/>
    <col collapsed="false" customWidth="false" hidden="false" outlineLevel="0" max="4207" min="4207" style="70" width="42.57"/>
    <col collapsed="false" customWidth="true" hidden="false" outlineLevel="0" max="4208" min="4208" style="70" width="3.29"/>
    <col collapsed="false" customWidth="true" hidden="false" outlineLevel="0" max="4209" min="4209" style="70" width="8"/>
    <col collapsed="false" customWidth="false" hidden="false" outlineLevel="0" max="4210" min="4210" style="70" width="42.57"/>
    <col collapsed="false" customWidth="true" hidden="false" outlineLevel="0" max="4211" min="4211" style="70" width="3.29"/>
    <col collapsed="false" customWidth="true" hidden="false" outlineLevel="0" max="4212" min="4212" style="70" width="8"/>
    <col collapsed="false" customWidth="false" hidden="false" outlineLevel="0" max="4213" min="4213" style="70" width="42.57"/>
    <col collapsed="false" customWidth="true" hidden="false" outlineLevel="0" max="4214" min="4214" style="70" width="3.29"/>
    <col collapsed="false" customWidth="true" hidden="false" outlineLevel="0" max="4215" min="4215" style="70" width="8"/>
    <col collapsed="false" customWidth="false" hidden="false" outlineLevel="0" max="4216" min="4216" style="70" width="42.57"/>
    <col collapsed="false" customWidth="true" hidden="false" outlineLevel="0" max="4217" min="4217" style="70" width="3.29"/>
    <col collapsed="false" customWidth="true" hidden="false" outlineLevel="0" max="4218" min="4218" style="70" width="8"/>
    <col collapsed="false" customWidth="false" hidden="false" outlineLevel="0" max="4219" min="4219" style="70" width="42.57"/>
    <col collapsed="false" customWidth="true" hidden="false" outlineLevel="0" max="4220" min="4220" style="70" width="3.29"/>
    <col collapsed="false" customWidth="true" hidden="false" outlineLevel="0" max="4221" min="4221" style="70" width="8"/>
    <col collapsed="false" customWidth="false" hidden="false" outlineLevel="0" max="4222" min="4222" style="70" width="42.57"/>
    <col collapsed="false" customWidth="true" hidden="false" outlineLevel="0" max="4223" min="4223" style="70" width="3.29"/>
    <col collapsed="false" customWidth="true" hidden="false" outlineLevel="0" max="4224" min="4224" style="70" width="8"/>
    <col collapsed="false" customWidth="false" hidden="false" outlineLevel="0" max="4225" min="4225" style="70" width="42.57"/>
    <col collapsed="false" customWidth="true" hidden="false" outlineLevel="0" max="4226" min="4226" style="70" width="3.29"/>
    <col collapsed="false" customWidth="true" hidden="false" outlineLevel="0" max="4227" min="4227" style="70" width="8"/>
    <col collapsed="false" customWidth="false" hidden="false" outlineLevel="0" max="4228" min="4228" style="70" width="42.57"/>
    <col collapsed="false" customWidth="true" hidden="false" outlineLevel="0" max="4229" min="4229" style="70" width="3.29"/>
    <col collapsed="false" customWidth="true" hidden="false" outlineLevel="0" max="4230" min="4230" style="70" width="8"/>
    <col collapsed="false" customWidth="false" hidden="false" outlineLevel="0" max="4231" min="4231" style="70" width="42.57"/>
    <col collapsed="false" customWidth="true" hidden="false" outlineLevel="0" max="4232" min="4232" style="70" width="3.29"/>
    <col collapsed="false" customWidth="true" hidden="false" outlineLevel="0" max="4233" min="4233" style="70" width="8"/>
    <col collapsed="false" customWidth="false" hidden="false" outlineLevel="0" max="4234" min="4234" style="70" width="42.57"/>
    <col collapsed="false" customWidth="true" hidden="false" outlineLevel="0" max="4235" min="4235" style="70" width="3.29"/>
    <col collapsed="false" customWidth="true" hidden="false" outlineLevel="0" max="4236" min="4236" style="70" width="8"/>
    <col collapsed="false" customWidth="false" hidden="false" outlineLevel="0" max="4237" min="4237" style="70" width="42.57"/>
    <col collapsed="false" customWidth="true" hidden="false" outlineLevel="0" max="4238" min="4238" style="70" width="3.29"/>
    <col collapsed="false" customWidth="true" hidden="false" outlineLevel="0" max="4239" min="4239" style="70" width="8"/>
    <col collapsed="false" customWidth="false" hidden="false" outlineLevel="0" max="4240" min="4240" style="70" width="42.57"/>
    <col collapsed="false" customWidth="true" hidden="false" outlineLevel="0" max="4241" min="4241" style="70" width="3.29"/>
    <col collapsed="false" customWidth="true" hidden="false" outlineLevel="0" max="4242" min="4242" style="70" width="8"/>
    <col collapsed="false" customWidth="false" hidden="false" outlineLevel="0" max="4243" min="4243" style="70" width="42.57"/>
    <col collapsed="false" customWidth="true" hidden="false" outlineLevel="0" max="4244" min="4244" style="70" width="3.29"/>
    <col collapsed="false" customWidth="true" hidden="false" outlineLevel="0" max="4245" min="4245" style="70" width="8"/>
    <col collapsed="false" customWidth="false" hidden="false" outlineLevel="0" max="4246" min="4246" style="70" width="42.57"/>
    <col collapsed="false" customWidth="true" hidden="false" outlineLevel="0" max="4247" min="4247" style="70" width="3.29"/>
    <col collapsed="false" customWidth="true" hidden="false" outlineLevel="0" max="4248" min="4248" style="70" width="8"/>
    <col collapsed="false" customWidth="false" hidden="false" outlineLevel="0" max="4249" min="4249" style="70" width="42.57"/>
    <col collapsed="false" customWidth="true" hidden="false" outlineLevel="0" max="4250" min="4250" style="70" width="3.29"/>
    <col collapsed="false" customWidth="true" hidden="false" outlineLevel="0" max="4251" min="4251" style="70" width="8"/>
    <col collapsed="false" customWidth="false" hidden="false" outlineLevel="0" max="4252" min="4252" style="70" width="42.57"/>
    <col collapsed="false" customWidth="true" hidden="false" outlineLevel="0" max="4253" min="4253" style="70" width="3.29"/>
    <col collapsed="false" customWidth="true" hidden="false" outlineLevel="0" max="4254" min="4254" style="70" width="8"/>
    <col collapsed="false" customWidth="false" hidden="false" outlineLevel="0" max="4255" min="4255" style="70" width="42.57"/>
    <col collapsed="false" customWidth="true" hidden="false" outlineLevel="0" max="4256" min="4256" style="70" width="3.29"/>
    <col collapsed="false" customWidth="true" hidden="false" outlineLevel="0" max="4257" min="4257" style="70" width="8"/>
    <col collapsed="false" customWidth="false" hidden="false" outlineLevel="0" max="4258" min="4258" style="70" width="42.57"/>
    <col collapsed="false" customWidth="true" hidden="false" outlineLevel="0" max="4259" min="4259" style="70" width="3.29"/>
    <col collapsed="false" customWidth="true" hidden="false" outlineLevel="0" max="4260" min="4260" style="70" width="8"/>
    <col collapsed="false" customWidth="false" hidden="false" outlineLevel="0" max="4261" min="4261" style="70" width="42.57"/>
    <col collapsed="false" customWidth="true" hidden="false" outlineLevel="0" max="4262" min="4262" style="70" width="3.29"/>
    <col collapsed="false" customWidth="true" hidden="false" outlineLevel="0" max="4263" min="4263" style="70" width="8"/>
    <col collapsed="false" customWidth="false" hidden="false" outlineLevel="0" max="4264" min="4264" style="70" width="42.57"/>
    <col collapsed="false" customWidth="true" hidden="false" outlineLevel="0" max="4265" min="4265" style="70" width="3.29"/>
    <col collapsed="false" customWidth="true" hidden="false" outlineLevel="0" max="4266" min="4266" style="70" width="8"/>
    <col collapsed="false" customWidth="false" hidden="false" outlineLevel="0" max="4267" min="4267" style="70" width="42.57"/>
    <col collapsed="false" customWidth="true" hidden="false" outlineLevel="0" max="4268" min="4268" style="70" width="3.29"/>
    <col collapsed="false" customWidth="true" hidden="false" outlineLevel="0" max="4269" min="4269" style="70" width="8"/>
    <col collapsed="false" customWidth="false" hidden="false" outlineLevel="0" max="4270" min="4270" style="70" width="42.57"/>
    <col collapsed="false" customWidth="true" hidden="false" outlineLevel="0" max="4271" min="4271" style="70" width="3.29"/>
    <col collapsed="false" customWidth="true" hidden="false" outlineLevel="0" max="4272" min="4272" style="70" width="8"/>
    <col collapsed="false" customWidth="false" hidden="false" outlineLevel="0" max="4273" min="4273" style="70" width="42.57"/>
    <col collapsed="false" customWidth="true" hidden="false" outlineLevel="0" max="4274" min="4274" style="70" width="3.29"/>
    <col collapsed="false" customWidth="true" hidden="false" outlineLevel="0" max="4275" min="4275" style="70" width="8"/>
    <col collapsed="false" customWidth="false" hidden="false" outlineLevel="0" max="4276" min="4276" style="70" width="42.57"/>
    <col collapsed="false" customWidth="true" hidden="false" outlineLevel="0" max="4277" min="4277" style="70" width="3.29"/>
    <col collapsed="false" customWidth="true" hidden="false" outlineLevel="0" max="4278" min="4278" style="70" width="8"/>
    <col collapsed="false" customWidth="false" hidden="false" outlineLevel="0" max="4279" min="4279" style="70" width="42.57"/>
    <col collapsed="false" customWidth="true" hidden="false" outlineLevel="0" max="4280" min="4280" style="70" width="3.29"/>
    <col collapsed="false" customWidth="true" hidden="false" outlineLevel="0" max="4281" min="4281" style="70" width="8"/>
    <col collapsed="false" customWidth="false" hidden="false" outlineLevel="0" max="4282" min="4282" style="70" width="42.57"/>
    <col collapsed="false" customWidth="true" hidden="false" outlineLevel="0" max="4283" min="4283" style="70" width="3.29"/>
    <col collapsed="false" customWidth="true" hidden="false" outlineLevel="0" max="4284" min="4284" style="70" width="8"/>
    <col collapsed="false" customWidth="false" hidden="false" outlineLevel="0" max="4285" min="4285" style="70" width="42.57"/>
    <col collapsed="false" customWidth="true" hidden="false" outlineLevel="0" max="4286" min="4286" style="70" width="3.29"/>
    <col collapsed="false" customWidth="true" hidden="false" outlineLevel="0" max="4287" min="4287" style="70" width="8"/>
    <col collapsed="false" customWidth="false" hidden="false" outlineLevel="0" max="4288" min="4288" style="70" width="42.57"/>
    <col collapsed="false" customWidth="true" hidden="false" outlineLevel="0" max="4289" min="4289" style="70" width="3.29"/>
    <col collapsed="false" customWidth="true" hidden="false" outlineLevel="0" max="4290" min="4290" style="70" width="8"/>
    <col collapsed="false" customWidth="false" hidden="false" outlineLevel="0" max="4291" min="4291" style="70" width="42.57"/>
    <col collapsed="false" customWidth="true" hidden="false" outlineLevel="0" max="4292" min="4292" style="70" width="3.29"/>
    <col collapsed="false" customWidth="true" hidden="false" outlineLevel="0" max="4293" min="4293" style="70" width="8"/>
    <col collapsed="false" customWidth="false" hidden="false" outlineLevel="0" max="4294" min="4294" style="70" width="42.57"/>
    <col collapsed="false" customWidth="true" hidden="false" outlineLevel="0" max="4295" min="4295" style="70" width="3.29"/>
    <col collapsed="false" customWidth="true" hidden="false" outlineLevel="0" max="4296" min="4296" style="70" width="8"/>
    <col collapsed="false" customWidth="false" hidden="false" outlineLevel="0" max="4297" min="4297" style="70" width="42.57"/>
    <col collapsed="false" customWidth="true" hidden="false" outlineLevel="0" max="4298" min="4298" style="70" width="3.29"/>
    <col collapsed="false" customWidth="true" hidden="false" outlineLevel="0" max="4299" min="4299" style="70" width="8"/>
    <col collapsed="false" customWidth="false" hidden="false" outlineLevel="0" max="4300" min="4300" style="70" width="42.57"/>
    <col collapsed="false" customWidth="true" hidden="false" outlineLevel="0" max="4301" min="4301" style="70" width="3.29"/>
    <col collapsed="false" customWidth="true" hidden="false" outlineLevel="0" max="4302" min="4302" style="70" width="8"/>
    <col collapsed="false" customWidth="false" hidden="false" outlineLevel="0" max="4303" min="4303" style="70" width="42.57"/>
    <col collapsed="false" customWidth="true" hidden="false" outlineLevel="0" max="4304" min="4304" style="70" width="3.29"/>
    <col collapsed="false" customWidth="true" hidden="false" outlineLevel="0" max="4305" min="4305" style="70" width="8"/>
    <col collapsed="false" customWidth="false" hidden="false" outlineLevel="0" max="4306" min="4306" style="70" width="42.57"/>
    <col collapsed="false" customWidth="true" hidden="false" outlineLevel="0" max="4307" min="4307" style="70" width="3.29"/>
    <col collapsed="false" customWidth="true" hidden="false" outlineLevel="0" max="4308" min="4308" style="70" width="8"/>
    <col collapsed="false" customWidth="false" hidden="false" outlineLevel="0" max="4309" min="4309" style="70" width="42.57"/>
    <col collapsed="false" customWidth="true" hidden="false" outlineLevel="0" max="4310" min="4310" style="70" width="3.29"/>
    <col collapsed="false" customWidth="true" hidden="false" outlineLevel="0" max="4311" min="4311" style="70" width="8"/>
    <col collapsed="false" customWidth="false" hidden="false" outlineLevel="0" max="4312" min="4312" style="70" width="42.57"/>
    <col collapsed="false" customWidth="true" hidden="false" outlineLevel="0" max="4313" min="4313" style="70" width="3.29"/>
    <col collapsed="false" customWidth="true" hidden="false" outlineLevel="0" max="4314" min="4314" style="70" width="8"/>
    <col collapsed="false" customWidth="false" hidden="false" outlineLevel="0" max="4315" min="4315" style="70" width="42.57"/>
    <col collapsed="false" customWidth="true" hidden="false" outlineLevel="0" max="4316" min="4316" style="70" width="3.29"/>
    <col collapsed="false" customWidth="true" hidden="false" outlineLevel="0" max="4317" min="4317" style="70" width="8"/>
    <col collapsed="false" customWidth="false" hidden="false" outlineLevel="0" max="4318" min="4318" style="70" width="42.57"/>
    <col collapsed="false" customWidth="true" hidden="false" outlineLevel="0" max="4319" min="4319" style="70" width="3.29"/>
    <col collapsed="false" customWidth="true" hidden="false" outlineLevel="0" max="4320" min="4320" style="70" width="8"/>
    <col collapsed="false" customWidth="false" hidden="false" outlineLevel="0" max="4321" min="4321" style="70" width="42.57"/>
    <col collapsed="false" customWidth="true" hidden="false" outlineLevel="0" max="4322" min="4322" style="70" width="3.29"/>
    <col collapsed="false" customWidth="true" hidden="false" outlineLevel="0" max="4323" min="4323" style="70" width="8"/>
    <col collapsed="false" customWidth="false" hidden="false" outlineLevel="0" max="4324" min="4324" style="70" width="42.57"/>
    <col collapsed="false" customWidth="true" hidden="false" outlineLevel="0" max="4325" min="4325" style="70" width="3.29"/>
    <col collapsed="false" customWidth="true" hidden="false" outlineLevel="0" max="4326" min="4326" style="70" width="8"/>
    <col collapsed="false" customWidth="false" hidden="false" outlineLevel="0" max="4327" min="4327" style="70" width="42.57"/>
    <col collapsed="false" customWidth="true" hidden="false" outlineLevel="0" max="4328" min="4328" style="70" width="3.29"/>
    <col collapsed="false" customWidth="true" hidden="false" outlineLevel="0" max="4329" min="4329" style="70" width="8"/>
    <col collapsed="false" customWidth="false" hidden="false" outlineLevel="0" max="4330" min="4330" style="70" width="42.57"/>
    <col collapsed="false" customWidth="true" hidden="false" outlineLevel="0" max="4331" min="4331" style="70" width="3.29"/>
    <col collapsed="false" customWidth="true" hidden="false" outlineLevel="0" max="4332" min="4332" style="70" width="8"/>
    <col collapsed="false" customWidth="false" hidden="false" outlineLevel="0" max="4333" min="4333" style="70" width="42.57"/>
    <col collapsed="false" customWidth="true" hidden="false" outlineLevel="0" max="4334" min="4334" style="70" width="3.29"/>
    <col collapsed="false" customWidth="true" hidden="false" outlineLevel="0" max="4335" min="4335" style="70" width="8"/>
    <col collapsed="false" customWidth="false" hidden="false" outlineLevel="0" max="4336" min="4336" style="70" width="42.57"/>
    <col collapsed="false" customWidth="true" hidden="false" outlineLevel="0" max="4337" min="4337" style="70" width="3.29"/>
    <col collapsed="false" customWidth="true" hidden="false" outlineLevel="0" max="4338" min="4338" style="70" width="8"/>
    <col collapsed="false" customWidth="false" hidden="false" outlineLevel="0" max="4339" min="4339" style="70" width="42.57"/>
    <col collapsed="false" customWidth="true" hidden="false" outlineLevel="0" max="4340" min="4340" style="70" width="3.29"/>
    <col collapsed="false" customWidth="true" hidden="false" outlineLevel="0" max="4341" min="4341" style="70" width="8"/>
    <col collapsed="false" customWidth="false" hidden="false" outlineLevel="0" max="4342" min="4342" style="70" width="42.57"/>
    <col collapsed="false" customWidth="true" hidden="false" outlineLevel="0" max="4343" min="4343" style="70" width="3.29"/>
    <col collapsed="false" customWidth="true" hidden="false" outlineLevel="0" max="4344" min="4344" style="70" width="8"/>
    <col collapsed="false" customWidth="false" hidden="false" outlineLevel="0" max="4345" min="4345" style="70" width="42.57"/>
    <col collapsed="false" customWidth="true" hidden="false" outlineLevel="0" max="4346" min="4346" style="70" width="3.29"/>
    <col collapsed="false" customWidth="true" hidden="false" outlineLevel="0" max="4347" min="4347" style="70" width="8"/>
    <col collapsed="false" customWidth="false" hidden="false" outlineLevel="0" max="4348" min="4348" style="70" width="42.57"/>
    <col collapsed="false" customWidth="true" hidden="false" outlineLevel="0" max="4349" min="4349" style="70" width="3.29"/>
    <col collapsed="false" customWidth="true" hidden="false" outlineLevel="0" max="4350" min="4350" style="70" width="8"/>
    <col collapsed="false" customWidth="false" hidden="false" outlineLevel="0" max="4351" min="4351" style="70" width="42.57"/>
    <col collapsed="false" customWidth="true" hidden="false" outlineLevel="0" max="4352" min="4352" style="70" width="3.29"/>
    <col collapsed="false" customWidth="true" hidden="false" outlineLevel="0" max="4353" min="4353" style="70" width="8"/>
    <col collapsed="false" customWidth="false" hidden="false" outlineLevel="0" max="4354" min="4354" style="70" width="42.57"/>
    <col collapsed="false" customWidth="true" hidden="false" outlineLevel="0" max="4355" min="4355" style="70" width="3.29"/>
    <col collapsed="false" customWidth="true" hidden="false" outlineLevel="0" max="4356" min="4356" style="70" width="8"/>
    <col collapsed="false" customWidth="false" hidden="false" outlineLevel="0" max="4357" min="4357" style="70" width="42.57"/>
    <col collapsed="false" customWidth="true" hidden="false" outlineLevel="0" max="4358" min="4358" style="70" width="3.29"/>
    <col collapsed="false" customWidth="true" hidden="false" outlineLevel="0" max="4359" min="4359" style="70" width="8"/>
    <col collapsed="false" customWidth="false" hidden="false" outlineLevel="0" max="4360" min="4360" style="70" width="42.57"/>
    <col collapsed="false" customWidth="true" hidden="false" outlineLevel="0" max="4361" min="4361" style="70" width="3.29"/>
    <col collapsed="false" customWidth="true" hidden="false" outlineLevel="0" max="4362" min="4362" style="70" width="8"/>
    <col collapsed="false" customWidth="false" hidden="false" outlineLevel="0" max="4363" min="4363" style="70" width="42.57"/>
    <col collapsed="false" customWidth="true" hidden="false" outlineLevel="0" max="4364" min="4364" style="70" width="3.29"/>
    <col collapsed="false" customWidth="true" hidden="false" outlineLevel="0" max="4365" min="4365" style="70" width="8"/>
    <col collapsed="false" customWidth="false" hidden="false" outlineLevel="0" max="4366" min="4366" style="70" width="42.57"/>
    <col collapsed="false" customWidth="true" hidden="false" outlineLevel="0" max="4367" min="4367" style="70" width="3.29"/>
    <col collapsed="false" customWidth="true" hidden="false" outlineLevel="0" max="4368" min="4368" style="70" width="8"/>
    <col collapsed="false" customWidth="false" hidden="false" outlineLevel="0" max="4369" min="4369" style="70" width="42.57"/>
    <col collapsed="false" customWidth="true" hidden="false" outlineLevel="0" max="4370" min="4370" style="70" width="3.29"/>
    <col collapsed="false" customWidth="true" hidden="false" outlineLevel="0" max="4371" min="4371" style="70" width="8"/>
    <col collapsed="false" customWidth="false" hidden="false" outlineLevel="0" max="4372" min="4372" style="70" width="42.57"/>
    <col collapsed="false" customWidth="true" hidden="false" outlineLevel="0" max="4373" min="4373" style="70" width="3.29"/>
    <col collapsed="false" customWidth="true" hidden="false" outlineLevel="0" max="4374" min="4374" style="70" width="8"/>
    <col collapsed="false" customWidth="false" hidden="false" outlineLevel="0" max="4375" min="4375" style="70" width="42.57"/>
    <col collapsed="false" customWidth="true" hidden="false" outlineLevel="0" max="4376" min="4376" style="70" width="3.29"/>
    <col collapsed="false" customWidth="true" hidden="false" outlineLevel="0" max="4377" min="4377" style="70" width="8"/>
    <col collapsed="false" customWidth="false" hidden="false" outlineLevel="0" max="4378" min="4378" style="70" width="42.57"/>
    <col collapsed="false" customWidth="true" hidden="false" outlineLevel="0" max="4379" min="4379" style="70" width="3.29"/>
    <col collapsed="false" customWidth="true" hidden="false" outlineLevel="0" max="4380" min="4380" style="70" width="8"/>
    <col collapsed="false" customWidth="false" hidden="false" outlineLevel="0" max="4381" min="4381" style="70" width="42.57"/>
    <col collapsed="false" customWidth="true" hidden="false" outlineLevel="0" max="4382" min="4382" style="70" width="3.29"/>
    <col collapsed="false" customWidth="true" hidden="false" outlineLevel="0" max="4383" min="4383" style="70" width="8"/>
    <col collapsed="false" customWidth="false" hidden="false" outlineLevel="0" max="4384" min="4384" style="70" width="42.57"/>
    <col collapsed="false" customWidth="true" hidden="false" outlineLevel="0" max="4385" min="4385" style="70" width="3.29"/>
    <col collapsed="false" customWidth="true" hidden="false" outlineLevel="0" max="4386" min="4386" style="70" width="8"/>
    <col collapsed="false" customWidth="false" hidden="false" outlineLevel="0" max="4387" min="4387" style="70" width="42.57"/>
    <col collapsed="false" customWidth="true" hidden="false" outlineLevel="0" max="4388" min="4388" style="70" width="3.29"/>
    <col collapsed="false" customWidth="true" hidden="false" outlineLevel="0" max="4389" min="4389" style="70" width="8"/>
    <col collapsed="false" customWidth="false" hidden="false" outlineLevel="0" max="4390" min="4390" style="70" width="42.57"/>
    <col collapsed="false" customWidth="true" hidden="false" outlineLevel="0" max="4391" min="4391" style="70" width="3.29"/>
    <col collapsed="false" customWidth="true" hidden="false" outlineLevel="0" max="4392" min="4392" style="70" width="8"/>
    <col collapsed="false" customWidth="false" hidden="false" outlineLevel="0" max="4393" min="4393" style="70" width="42.57"/>
    <col collapsed="false" customWidth="true" hidden="false" outlineLevel="0" max="4394" min="4394" style="70" width="3.29"/>
    <col collapsed="false" customWidth="true" hidden="false" outlineLevel="0" max="4395" min="4395" style="70" width="8"/>
    <col collapsed="false" customWidth="false" hidden="false" outlineLevel="0" max="4396" min="4396" style="70" width="42.57"/>
    <col collapsed="false" customWidth="true" hidden="false" outlineLevel="0" max="4397" min="4397" style="70" width="3.29"/>
    <col collapsed="false" customWidth="true" hidden="false" outlineLevel="0" max="4398" min="4398" style="70" width="8"/>
    <col collapsed="false" customWidth="false" hidden="false" outlineLevel="0" max="4399" min="4399" style="70" width="42.57"/>
    <col collapsed="false" customWidth="true" hidden="false" outlineLevel="0" max="4400" min="4400" style="70" width="3.29"/>
    <col collapsed="false" customWidth="true" hidden="false" outlineLevel="0" max="4401" min="4401" style="70" width="8"/>
    <col collapsed="false" customWidth="false" hidden="false" outlineLevel="0" max="4402" min="4402" style="70" width="42.57"/>
    <col collapsed="false" customWidth="true" hidden="false" outlineLevel="0" max="4403" min="4403" style="70" width="3.29"/>
    <col collapsed="false" customWidth="true" hidden="false" outlineLevel="0" max="4404" min="4404" style="70" width="8"/>
    <col collapsed="false" customWidth="false" hidden="false" outlineLevel="0" max="4405" min="4405" style="70" width="42.57"/>
    <col collapsed="false" customWidth="true" hidden="false" outlineLevel="0" max="4406" min="4406" style="70" width="3.29"/>
    <col collapsed="false" customWidth="true" hidden="false" outlineLevel="0" max="4407" min="4407" style="70" width="8"/>
    <col collapsed="false" customWidth="false" hidden="false" outlineLevel="0" max="4408" min="4408" style="70" width="42.57"/>
    <col collapsed="false" customWidth="true" hidden="false" outlineLevel="0" max="4409" min="4409" style="70" width="3.29"/>
    <col collapsed="false" customWidth="true" hidden="false" outlineLevel="0" max="4410" min="4410" style="70" width="8"/>
    <col collapsed="false" customWidth="false" hidden="false" outlineLevel="0" max="4411" min="4411" style="70" width="42.57"/>
    <col collapsed="false" customWidth="true" hidden="false" outlineLevel="0" max="4412" min="4412" style="70" width="3.29"/>
    <col collapsed="false" customWidth="true" hidden="false" outlineLevel="0" max="4413" min="4413" style="70" width="8"/>
    <col collapsed="false" customWidth="false" hidden="false" outlineLevel="0" max="4414" min="4414" style="70" width="42.57"/>
    <col collapsed="false" customWidth="true" hidden="false" outlineLevel="0" max="4415" min="4415" style="70" width="3.29"/>
    <col collapsed="false" customWidth="true" hidden="false" outlineLevel="0" max="4416" min="4416" style="70" width="8"/>
    <col collapsed="false" customWidth="false" hidden="false" outlineLevel="0" max="4417" min="4417" style="70" width="42.57"/>
    <col collapsed="false" customWidth="true" hidden="false" outlineLevel="0" max="4418" min="4418" style="70" width="3.29"/>
    <col collapsed="false" customWidth="true" hidden="false" outlineLevel="0" max="4419" min="4419" style="70" width="8"/>
    <col collapsed="false" customWidth="false" hidden="false" outlineLevel="0" max="4420" min="4420" style="70" width="42.57"/>
    <col collapsed="false" customWidth="true" hidden="false" outlineLevel="0" max="4421" min="4421" style="70" width="3.29"/>
    <col collapsed="false" customWidth="true" hidden="false" outlineLevel="0" max="4422" min="4422" style="70" width="8"/>
    <col collapsed="false" customWidth="false" hidden="false" outlineLevel="0" max="4423" min="4423" style="70" width="42.57"/>
    <col collapsed="false" customWidth="true" hidden="false" outlineLevel="0" max="4424" min="4424" style="70" width="3.29"/>
    <col collapsed="false" customWidth="true" hidden="false" outlineLevel="0" max="4425" min="4425" style="70" width="8"/>
    <col collapsed="false" customWidth="false" hidden="false" outlineLevel="0" max="4426" min="4426" style="70" width="42.57"/>
    <col collapsed="false" customWidth="true" hidden="false" outlineLevel="0" max="4427" min="4427" style="70" width="3.29"/>
    <col collapsed="false" customWidth="true" hidden="false" outlineLevel="0" max="4428" min="4428" style="70" width="8"/>
    <col collapsed="false" customWidth="false" hidden="false" outlineLevel="0" max="4429" min="4429" style="70" width="42.57"/>
    <col collapsed="false" customWidth="true" hidden="false" outlineLevel="0" max="4430" min="4430" style="70" width="3.29"/>
    <col collapsed="false" customWidth="true" hidden="false" outlineLevel="0" max="4431" min="4431" style="70" width="8"/>
    <col collapsed="false" customWidth="false" hidden="false" outlineLevel="0" max="4432" min="4432" style="70" width="42.57"/>
    <col collapsed="false" customWidth="true" hidden="false" outlineLevel="0" max="4433" min="4433" style="70" width="3.29"/>
    <col collapsed="false" customWidth="true" hidden="false" outlineLevel="0" max="4434" min="4434" style="70" width="8"/>
    <col collapsed="false" customWidth="false" hidden="false" outlineLevel="0" max="4435" min="4435" style="70" width="42.57"/>
    <col collapsed="false" customWidth="true" hidden="false" outlineLevel="0" max="4436" min="4436" style="70" width="3.29"/>
    <col collapsed="false" customWidth="true" hidden="false" outlineLevel="0" max="4437" min="4437" style="70" width="8"/>
    <col collapsed="false" customWidth="false" hidden="false" outlineLevel="0" max="4438" min="4438" style="70" width="42.57"/>
    <col collapsed="false" customWidth="true" hidden="false" outlineLevel="0" max="4439" min="4439" style="70" width="3.29"/>
    <col collapsed="false" customWidth="true" hidden="false" outlineLevel="0" max="4440" min="4440" style="70" width="8"/>
    <col collapsed="false" customWidth="false" hidden="false" outlineLevel="0" max="4441" min="4441" style="70" width="42.57"/>
    <col collapsed="false" customWidth="true" hidden="false" outlineLevel="0" max="4442" min="4442" style="70" width="3.29"/>
    <col collapsed="false" customWidth="true" hidden="false" outlineLevel="0" max="4443" min="4443" style="70" width="8"/>
    <col collapsed="false" customWidth="false" hidden="false" outlineLevel="0" max="4444" min="4444" style="70" width="42.57"/>
    <col collapsed="false" customWidth="true" hidden="false" outlineLevel="0" max="4445" min="4445" style="70" width="3.29"/>
    <col collapsed="false" customWidth="true" hidden="false" outlineLevel="0" max="4446" min="4446" style="70" width="8"/>
    <col collapsed="false" customWidth="false" hidden="false" outlineLevel="0" max="4447" min="4447" style="70" width="42.57"/>
    <col collapsed="false" customWidth="true" hidden="false" outlineLevel="0" max="4448" min="4448" style="70" width="3.29"/>
    <col collapsed="false" customWidth="true" hidden="false" outlineLevel="0" max="4449" min="4449" style="70" width="8"/>
    <col collapsed="false" customWidth="false" hidden="false" outlineLevel="0" max="4450" min="4450" style="70" width="42.57"/>
    <col collapsed="false" customWidth="true" hidden="false" outlineLevel="0" max="4451" min="4451" style="70" width="3.29"/>
    <col collapsed="false" customWidth="true" hidden="false" outlineLevel="0" max="4452" min="4452" style="70" width="8"/>
    <col collapsed="false" customWidth="false" hidden="false" outlineLevel="0" max="4453" min="4453" style="70" width="42.57"/>
    <col collapsed="false" customWidth="true" hidden="false" outlineLevel="0" max="4454" min="4454" style="70" width="3.29"/>
    <col collapsed="false" customWidth="true" hidden="false" outlineLevel="0" max="4455" min="4455" style="70" width="8"/>
    <col collapsed="false" customWidth="false" hidden="false" outlineLevel="0" max="4456" min="4456" style="70" width="42.57"/>
    <col collapsed="false" customWidth="true" hidden="false" outlineLevel="0" max="4457" min="4457" style="70" width="3.29"/>
    <col collapsed="false" customWidth="true" hidden="false" outlineLevel="0" max="4458" min="4458" style="70" width="8"/>
    <col collapsed="false" customWidth="false" hidden="false" outlineLevel="0" max="4459" min="4459" style="70" width="42.57"/>
    <col collapsed="false" customWidth="true" hidden="false" outlineLevel="0" max="4460" min="4460" style="70" width="3.29"/>
    <col collapsed="false" customWidth="true" hidden="false" outlineLevel="0" max="4461" min="4461" style="70" width="8"/>
    <col collapsed="false" customWidth="false" hidden="false" outlineLevel="0" max="4462" min="4462" style="70" width="42.57"/>
    <col collapsed="false" customWidth="true" hidden="false" outlineLevel="0" max="4463" min="4463" style="70" width="3.29"/>
    <col collapsed="false" customWidth="true" hidden="false" outlineLevel="0" max="4464" min="4464" style="70" width="8"/>
    <col collapsed="false" customWidth="false" hidden="false" outlineLevel="0" max="4465" min="4465" style="70" width="42.57"/>
    <col collapsed="false" customWidth="true" hidden="false" outlineLevel="0" max="4466" min="4466" style="70" width="3.29"/>
    <col collapsed="false" customWidth="true" hidden="false" outlineLevel="0" max="4467" min="4467" style="70" width="8"/>
    <col collapsed="false" customWidth="false" hidden="false" outlineLevel="0" max="4468" min="4468" style="70" width="42.57"/>
    <col collapsed="false" customWidth="true" hidden="false" outlineLevel="0" max="4469" min="4469" style="70" width="3.29"/>
    <col collapsed="false" customWidth="true" hidden="false" outlineLevel="0" max="4470" min="4470" style="70" width="8"/>
    <col collapsed="false" customWidth="false" hidden="false" outlineLevel="0" max="4471" min="4471" style="70" width="42.57"/>
    <col collapsed="false" customWidth="true" hidden="false" outlineLevel="0" max="4472" min="4472" style="70" width="3.29"/>
    <col collapsed="false" customWidth="true" hidden="false" outlineLevel="0" max="4473" min="4473" style="70" width="8"/>
    <col collapsed="false" customWidth="false" hidden="false" outlineLevel="0" max="4474" min="4474" style="70" width="42.57"/>
    <col collapsed="false" customWidth="true" hidden="false" outlineLevel="0" max="4475" min="4475" style="70" width="3.29"/>
    <col collapsed="false" customWidth="true" hidden="false" outlineLevel="0" max="4476" min="4476" style="70" width="8"/>
    <col collapsed="false" customWidth="false" hidden="false" outlineLevel="0" max="4477" min="4477" style="70" width="42.57"/>
    <col collapsed="false" customWidth="true" hidden="false" outlineLevel="0" max="4478" min="4478" style="70" width="3.29"/>
    <col collapsed="false" customWidth="true" hidden="false" outlineLevel="0" max="4479" min="4479" style="70" width="8"/>
    <col collapsed="false" customWidth="false" hidden="false" outlineLevel="0" max="4480" min="4480" style="70" width="42.57"/>
    <col collapsed="false" customWidth="true" hidden="false" outlineLevel="0" max="4481" min="4481" style="70" width="3.29"/>
    <col collapsed="false" customWidth="true" hidden="false" outlineLevel="0" max="4482" min="4482" style="70" width="8"/>
    <col collapsed="false" customWidth="false" hidden="false" outlineLevel="0" max="4483" min="4483" style="70" width="42.57"/>
    <col collapsed="false" customWidth="true" hidden="false" outlineLevel="0" max="4484" min="4484" style="70" width="3.29"/>
    <col collapsed="false" customWidth="true" hidden="false" outlineLevel="0" max="4485" min="4485" style="70" width="8"/>
    <col collapsed="false" customWidth="false" hidden="false" outlineLevel="0" max="4486" min="4486" style="70" width="42.57"/>
    <col collapsed="false" customWidth="true" hidden="false" outlineLevel="0" max="4487" min="4487" style="70" width="3.29"/>
    <col collapsed="false" customWidth="true" hidden="false" outlineLevel="0" max="4488" min="4488" style="70" width="8"/>
    <col collapsed="false" customWidth="false" hidden="false" outlineLevel="0" max="4489" min="4489" style="70" width="42.57"/>
    <col collapsed="false" customWidth="true" hidden="false" outlineLevel="0" max="4490" min="4490" style="70" width="3.29"/>
    <col collapsed="false" customWidth="true" hidden="false" outlineLevel="0" max="4491" min="4491" style="70" width="8"/>
    <col collapsed="false" customWidth="false" hidden="false" outlineLevel="0" max="4492" min="4492" style="70" width="42.57"/>
    <col collapsed="false" customWidth="true" hidden="false" outlineLevel="0" max="4493" min="4493" style="70" width="3.29"/>
    <col collapsed="false" customWidth="true" hidden="false" outlineLevel="0" max="4494" min="4494" style="70" width="8"/>
    <col collapsed="false" customWidth="false" hidden="false" outlineLevel="0" max="4495" min="4495" style="70" width="42.57"/>
    <col collapsed="false" customWidth="true" hidden="false" outlineLevel="0" max="4496" min="4496" style="70" width="3.29"/>
    <col collapsed="false" customWidth="true" hidden="false" outlineLevel="0" max="4497" min="4497" style="70" width="8"/>
    <col collapsed="false" customWidth="false" hidden="false" outlineLevel="0" max="4498" min="4498" style="70" width="42.57"/>
    <col collapsed="false" customWidth="true" hidden="false" outlineLevel="0" max="4499" min="4499" style="70" width="3.29"/>
    <col collapsed="false" customWidth="true" hidden="false" outlineLevel="0" max="4500" min="4500" style="70" width="8"/>
    <col collapsed="false" customWidth="false" hidden="false" outlineLevel="0" max="4501" min="4501" style="70" width="42.57"/>
    <col collapsed="false" customWidth="true" hidden="false" outlineLevel="0" max="4502" min="4502" style="70" width="3.29"/>
    <col collapsed="false" customWidth="true" hidden="false" outlineLevel="0" max="4503" min="4503" style="70" width="8"/>
    <col collapsed="false" customWidth="false" hidden="false" outlineLevel="0" max="4504" min="4504" style="70" width="42.57"/>
    <col collapsed="false" customWidth="true" hidden="false" outlineLevel="0" max="4505" min="4505" style="70" width="3.29"/>
    <col collapsed="false" customWidth="true" hidden="false" outlineLevel="0" max="4506" min="4506" style="70" width="8"/>
    <col collapsed="false" customWidth="false" hidden="false" outlineLevel="0" max="4507" min="4507" style="70" width="42.57"/>
    <col collapsed="false" customWidth="true" hidden="false" outlineLevel="0" max="4508" min="4508" style="70" width="3.29"/>
    <col collapsed="false" customWidth="true" hidden="false" outlineLevel="0" max="4509" min="4509" style="70" width="8"/>
    <col collapsed="false" customWidth="false" hidden="false" outlineLevel="0" max="4510" min="4510" style="70" width="42.57"/>
    <col collapsed="false" customWidth="true" hidden="false" outlineLevel="0" max="4511" min="4511" style="70" width="3.29"/>
    <col collapsed="false" customWidth="true" hidden="false" outlineLevel="0" max="4512" min="4512" style="70" width="8"/>
    <col collapsed="false" customWidth="false" hidden="false" outlineLevel="0" max="4513" min="4513" style="70" width="42.57"/>
    <col collapsed="false" customWidth="true" hidden="false" outlineLevel="0" max="4514" min="4514" style="70" width="3.29"/>
    <col collapsed="false" customWidth="true" hidden="false" outlineLevel="0" max="4515" min="4515" style="70" width="8"/>
    <col collapsed="false" customWidth="false" hidden="false" outlineLevel="0" max="4516" min="4516" style="70" width="42.57"/>
    <col collapsed="false" customWidth="true" hidden="false" outlineLevel="0" max="4517" min="4517" style="70" width="3.29"/>
    <col collapsed="false" customWidth="true" hidden="false" outlineLevel="0" max="4518" min="4518" style="70" width="8"/>
    <col collapsed="false" customWidth="false" hidden="false" outlineLevel="0" max="4519" min="4519" style="70" width="42.57"/>
    <col collapsed="false" customWidth="true" hidden="false" outlineLevel="0" max="4520" min="4520" style="70" width="3.29"/>
    <col collapsed="false" customWidth="true" hidden="false" outlineLevel="0" max="4521" min="4521" style="70" width="8"/>
    <col collapsed="false" customWidth="false" hidden="false" outlineLevel="0" max="4522" min="4522" style="70" width="42.57"/>
    <col collapsed="false" customWidth="true" hidden="false" outlineLevel="0" max="4523" min="4523" style="70" width="3.29"/>
    <col collapsed="false" customWidth="true" hidden="false" outlineLevel="0" max="4524" min="4524" style="70" width="8"/>
    <col collapsed="false" customWidth="false" hidden="false" outlineLevel="0" max="4525" min="4525" style="70" width="42.57"/>
    <col collapsed="false" customWidth="true" hidden="false" outlineLevel="0" max="4526" min="4526" style="70" width="3.29"/>
    <col collapsed="false" customWidth="true" hidden="false" outlineLevel="0" max="4527" min="4527" style="70" width="8"/>
    <col collapsed="false" customWidth="false" hidden="false" outlineLevel="0" max="4528" min="4528" style="70" width="42.57"/>
    <col collapsed="false" customWidth="true" hidden="false" outlineLevel="0" max="4529" min="4529" style="70" width="3.29"/>
    <col collapsed="false" customWidth="true" hidden="false" outlineLevel="0" max="4530" min="4530" style="70" width="8"/>
    <col collapsed="false" customWidth="false" hidden="false" outlineLevel="0" max="4531" min="4531" style="70" width="42.57"/>
    <col collapsed="false" customWidth="true" hidden="false" outlineLevel="0" max="4532" min="4532" style="70" width="3.29"/>
    <col collapsed="false" customWidth="true" hidden="false" outlineLevel="0" max="4533" min="4533" style="70" width="8"/>
    <col collapsed="false" customWidth="false" hidden="false" outlineLevel="0" max="4534" min="4534" style="70" width="42.57"/>
    <col collapsed="false" customWidth="true" hidden="false" outlineLevel="0" max="4535" min="4535" style="70" width="3.29"/>
    <col collapsed="false" customWidth="true" hidden="false" outlineLevel="0" max="4536" min="4536" style="70" width="8"/>
    <col collapsed="false" customWidth="false" hidden="false" outlineLevel="0" max="4537" min="4537" style="70" width="42.57"/>
    <col collapsed="false" customWidth="true" hidden="false" outlineLevel="0" max="4538" min="4538" style="70" width="3.29"/>
    <col collapsed="false" customWidth="true" hidden="false" outlineLevel="0" max="4539" min="4539" style="70" width="8"/>
    <col collapsed="false" customWidth="false" hidden="false" outlineLevel="0" max="4540" min="4540" style="70" width="42.57"/>
    <col collapsed="false" customWidth="true" hidden="false" outlineLevel="0" max="4541" min="4541" style="70" width="3.29"/>
    <col collapsed="false" customWidth="true" hidden="false" outlineLevel="0" max="4542" min="4542" style="70" width="8"/>
    <col collapsed="false" customWidth="false" hidden="false" outlineLevel="0" max="4543" min="4543" style="70" width="42.57"/>
    <col collapsed="false" customWidth="true" hidden="false" outlineLevel="0" max="4544" min="4544" style="70" width="3.29"/>
    <col collapsed="false" customWidth="true" hidden="false" outlineLevel="0" max="4545" min="4545" style="70" width="8"/>
    <col collapsed="false" customWidth="false" hidden="false" outlineLevel="0" max="4546" min="4546" style="70" width="42.57"/>
    <col collapsed="false" customWidth="true" hidden="false" outlineLevel="0" max="4547" min="4547" style="70" width="3.29"/>
    <col collapsed="false" customWidth="true" hidden="false" outlineLevel="0" max="4548" min="4548" style="70" width="8"/>
    <col collapsed="false" customWidth="false" hidden="false" outlineLevel="0" max="4549" min="4549" style="70" width="42.57"/>
    <col collapsed="false" customWidth="true" hidden="false" outlineLevel="0" max="4550" min="4550" style="70" width="3.29"/>
    <col collapsed="false" customWidth="true" hidden="false" outlineLevel="0" max="4551" min="4551" style="70" width="8"/>
    <col collapsed="false" customWidth="false" hidden="false" outlineLevel="0" max="4552" min="4552" style="70" width="42.57"/>
    <col collapsed="false" customWidth="true" hidden="false" outlineLevel="0" max="4553" min="4553" style="70" width="3.29"/>
    <col collapsed="false" customWidth="true" hidden="false" outlineLevel="0" max="4554" min="4554" style="70" width="8"/>
    <col collapsed="false" customWidth="false" hidden="false" outlineLevel="0" max="4555" min="4555" style="70" width="42.57"/>
    <col collapsed="false" customWidth="true" hidden="false" outlineLevel="0" max="4556" min="4556" style="70" width="3.29"/>
    <col collapsed="false" customWidth="true" hidden="false" outlineLevel="0" max="4557" min="4557" style="70" width="8"/>
    <col collapsed="false" customWidth="false" hidden="false" outlineLevel="0" max="4558" min="4558" style="70" width="42.57"/>
    <col collapsed="false" customWidth="true" hidden="false" outlineLevel="0" max="4559" min="4559" style="70" width="3.29"/>
    <col collapsed="false" customWidth="true" hidden="false" outlineLevel="0" max="4560" min="4560" style="70" width="8"/>
    <col collapsed="false" customWidth="false" hidden="false" outlineLevel="0" max="4561" min="4561" style="70" width="42.57"/>
    <col collapsed="false" customWidth="true" hidden="false" outlineLevel="0" max="4562" min="4562" style="70" width="3.29"/>
    <col collapsed="false" customWidth="true" hidden="false" outlineLevel="0" max="4563" min="4563" style="70" width="8"/>
    <col collapsed="false" customWidth="false" hidden="false" outlineLevel="0" max="4564" min="4564" style="70" width="42.57"/>
    <col collapsed="false" customWidth="true" hidden="false" outlineLevel="0" max="4565" min="4565" style="70" width="3.29"/>
    <col collapsed="false" customWidth="true" hidden="false" outlineLevel="0" max="4566" min="4566" style="70" width="8"/>
    <col collapsed="false" customWidth="false" hidden="false" outlineLevel="0" max="4567" min="4567" style="70" width="42.57"/>
    <col collapsed="false" customWidth="true" hidden="false" outlineLevel="0" max="4568" min="4568" style="70" width="3.29"/>
    <col collapsed="false" customWidth="true" hidden="false" outlineLevel="0" max="4569" min="4569" style="70" width="8"/>
    <col collapsed="false" customWidth="false" hidden="false" outlineLevel="0" max="4570" min="4570" style="70" width="42.57"/>
    <col collapsed="false" customWidth="true" hidden="false" outlineLevel="0" max="4571" min="4571" style="70" width="3.29"/>
    <col collapsed="false" customWidth="true" hidden="false" outlineLevel="0" max="4572" min="4572" style="70" width="8"/>
    <col collapsed="false" customWidth="false" hidden="false" outlineLevel="0" max="4573" min="4573" style="70" width="42.57"/>
    <col collapsed="false" customWidth="true" hidden="false" outlineLevel="0" max="4574" min="4574" style="70" width="3.29"/>
    <col collapsed="false" customWidth="true" hidden="false" outlineLevel="0" max="4575" min="4575" style="70" width="8"/>
    <col collapsed="false" customWidth="false" hidden="false" outlineLevel="0" max="4576" min="4576" style="70" width="42.57"/>
    <col collapsed="false" customWidth="true" hidden="false" outlineLevel="0" max="4577" min="4577" style="70" width="3.29"/>
    <col collapsed="false" customWidth="true" hidden="false" outlineLevel="0" max="4578" min="4578" style="70" width="8"/>
    <col collapsed="false" customWidth="false" hidden="false" outlineLevel="0" max="4579" min="4579" style="70" width="42.57"/>
    <col collapsed="false" customWidth="true" hidden="false" outlineLevel="0" max="4580" min="4580" style="70" width="3.29"/>
    <col collapsed="false" customWidth="true" hidden="false" outlineLevel="0" max="4581" min="4581" style="70" width="8"/>
    <col collapsed="false" customWidth="false" hidden="false" outlineLevel="0" max="4582" min="4582" style="70" width="42.57"/>
    <col collapsed="false" customWidth="true" hidden="false" outlineLevel="0" max="4583" min="4583" style="70" width="3.29"/>
    <col collapsed="false" customWidth="true" hidden="false" outlineLevel="0" max="4584" min="4584" style="70" width="8"/>
    <col collapsed="false" customWidth="false" hidden="false" outlineLevel="0" max="4585" min="4585" style="70" width="42.57"/>
    <col collapsed="false" customWidth="true" hidden="false" outlineLevel="0" max="4586" min="4586" style="70" width="3.29"/>
    <col collapsed="false" customWidth="true" hidden="false" outlineLevel="0" max="4587" min="4587" style="70" width="8"/>
    <col collapsed="false" customWidth="false" hidden="false" outlineLevel="0" max="4588" min="4588" style="70" width="42.57"/>
    <col collapsed="false" customWidth="true" hidden="false" outlineLevel="0" max="4589" min="4589" style="70" width="3.29"/>
    <col collapsed="false" customWidth="true" hidden="false" outlineLevel="0" max="4590" min="4590" style="70" width="8"/>
    <col collapsed="false" customWidth="false" hidden="false" outlineLevel="0" max="4591" min="4591" style="70" width="42.57"/>
    <col collapsed="false" customWidth="true" hidden="false" outlineLevel="0" max="4592" min="4592" style="70" width="3.29"/>
    <col collapsed="false" customWidth="true" hidden="false" outlineLevel="0" max="4593" min="4593" style="70" width="8"/>
    <col collapsed="false" customWidth="false" hidden="false" outlineLevel="0" max="4594" min="4594" style="70" width="42.57"/>
    <col collapsed="false" customWidth="true" hidden="false" outlineLevel="0" max="4595" min="4595" style="70" width="3.29"/>
    <col collapsed="false" customWidth="true" hidden="false" outlineLevel="0" max="4596" min="4596" style="70" width="8"/>
    <col collapsed="false" customWidth="false" hidden="false" outlineLevel="0" max="4597" min="4597" style="70" width="42.57"/>
    <col collapsed="false" customWidth="true" hidden="false" outlineLevel="0" max="4598" min="4598" style="70" width="3.29"/>
    <col collapsed="false" customWidth="true" hidden="false" outlineLevel="0" max="4599" min="4599" style="70" width="8"/>
    <col collapsed="false" customWidth="false" hidden="false" outlineLevel="0" max="4600" min="4600" style="70" width="42.57"/>
    <col collapsed="false" customWidth="true" hidden="false" outlineLevel="0" max="4601" min="4601" style="70" width="3.29"/>
    <col collapsed="false" customWidth="true" hidden="false" outlineLevel="0" max="4602" min="4602" style="70" width="8"/>
    <col collapsed="false" customWidth="false" hidden="false" outlineLevel="0" max="4603" min="4603" style="70" width="42.57"/>
    <col collapsed="false" customWidth="true" hidden="false" outlineLevel="0" max="4604" min="4604" style="70" width="3.29"/>
    <col collapsed="false" customWidth="true" hidden="false" outlineLevel="0" max="4605" min="4605" style="70" width="8"/>
    <col collapsed="false" customWidth="false" hidden="false" outlineLevel="0" max="4606" min="4606" style="70" width="42.57"/>
    <col collapsed="false" customWidth="true" hidden="false" outlineLevel="0" max="4607" min="4607" style="70" width="3.29"/>
    <col collapsed="false" customWidth="true" hidden="false" outlineLevel="0" max="4608" min="4608" style="70" width="8"/>
    <col collapsed="false" customWidth="false" hidden="false" outlineLevel="0" max="4609" min="4609" style="70" width="42.57"/>
    <col collapsed="false" customWidth="true" hidden="false" outlineLevel="0" max="4610" min="4610" style="70" width="3.29"/>
    <col collapsed="false" customWidth="true" hidden="false" outlineLevel="0" max="4611" min="4611" style="70" width="8"/>
    <col collapsed="false" customWidth="false" hidden="false" outlineLevel="0" max="4612" min="4612" style="70" width="42.57"/>
    <col collapsed="false" customWidth="true" hidden="false" outlineLevel="0" max="4613" min="4613" style="70" width="3.29"/>
    <col collapsed="false" customWidth="true" hidden="false" outlineLevel="0" max="4614" min="4614" style="70" width="8"/>
    <col collapsed="false" customWidth="false" hidden="false" outlineLevel="0" max="4615" min="4615" style="70" width="42.57"/>
    <col collapsed="false" customWidth="true" hidden="false" outlineLevel="0" max="4616" min="4616" style="70" width="3.29"/>
    <col collapsed="false" customWidth="true" hidden="false" outlineLevel="0" max="4617" min="4617" style="70" width="8"/>
    <col collapsed="false" customWidth="false" hidden="false" outlineLevel="0" max="4618" min="4618" style="70" width="42.57"/>
    <col collapsed="false" customWidth="true" hidden="false" outlineLevel="0" max="4619" min="4619" style="70" width="3.29"/>
    <col collapsed="false" customWidth="true" hidden="false" outlineLevel="0" max="4620" min="4620" style="70" width="8"/>
    <col collapsed="false" customWidth="false" hidden="false" outlineLevel="0" max="4621" min="4621" style="70" width="42.57"/>
    <col collapsed="false" customWidth="true" hidden="false" outlineLevel="0" max="4622" min="4622" style="70" width="3.29"/>
    <col collapsed="false" customWidth="true" hidden="false" outlineLevel="0" max="4623" min="4623" style="70" width="8"/>
    <col collapsed="false" customWidth="false" hidden="false" outlineLevel="0" max="4624" min="4624" style="70" width="42.57"/>
    <col collapsed="false" customWidth="true" hidden="false" outlineLevel="0" max="4625" min="4625" style="70" width="3.29"/>
    <col collapsed="false" customWidth="true" hidden="false" outlineLevel="0" max="4626" min="4626" style="70" width="8"/>
    <col collapsed="false" customWidth="false" hidden="false" outlineLevel="0" max="4627" min="4627" style="70" width="42.57"/>
    <col collapsed="false" customWidth="true" hidden="false" outlineLevel="0" max="4628" min="4628" style="70" width="3.29"/>
    <col collapsed="false" customWidth="true" hidden="false" outlineLevel="0" max="4629" min="4629" style="70" width="8"/>
    <col collapsed="false" customWidth="false" hidden="false" outlineLevel="0" max="4630" min="4630" style="70" width="42.57"/>
    <col collapsed="false" customWidth="true" hidden="false" outlineLevel="0" max="4631" min="4631" style="70" width="3.29"/>
    <col collapsed="false" customWidth="true" hidden="false" outlineLevel="0" max="4632" min="4632" style="70" width="8"/>
    <col collapsed="false" customWidth="false" hidden="false" outlineLevel="0" max="4633" min="4633" style="70" width="42.57"/>
    <col collapsed="false" customWidth="true" hidden="false" outlineLevel="0" max="4634" min="4634" style="70" width="3.29"/>
    <col collapsed="false" customWidth="true" hidden="false" outlineLevel="0" max="4635" min="4635" style="70" width="8"/>
    <col collapsed="false" customWidth="false" hidden="false" outlineLevel="0" max="4636" min="4636" style="70" width="42.57"/>
    <col collapsed="false" customWidth="true" hidden="false" outlineLevel="0" max="4637" min="4637" style="70" width="3.29"/>
    <col collapsed="false" customWidth="true" hidden="false" outlineLevel="0" max="4638" min="4638" style="70" width="8"/>
    <col collapsed="false" customWidth="false" hidden="false" outlineLevel="0" max="4639" min="4639" style="70" width="42.57"/>
    <col collapsed="false" customWidth="true" hidden="false" outlineLevel="0" max="4640" min="4640" style="70" width="3.29"/>
    <col collapsed="false" customWidth="true" hidden="false" outlineLevel="0" max="4641" min="4641" style="70" width="8"/>
    <col collapsed="false" customWidth="false" hidden="false" outlineLevel="0" max="4642" min="4642" style="70" width="42.57"/>
    <col collapsed="false" customWidth="true" hidden="false" outlineLevel="0" max="4643" min="4643" style="70" width="3.29"/>
    <col collapsed="false" customWidth="true" hidden="false" outlineLevel="0" max="4644" min="4644" style="70" width="8"/>
    <col collapsed="false" customWidth="false" hidden="false" outlineLevel="0" max="4645" min="4645" style="70" width="42.57"/>
    <col collapsed="false" customWidth="true" hidden="false" outlineLevel="0" max="4646" min="4646" style="70" width="3.29"/>
    <col collapsed="false" customWidth="true" hidden="false" outlineLevel="0" max="4647" min="4647" style="70" width="8"/>
    <col collapsed="false" customWidth="false" hidden="false" outlineLevel="0" max="4648" min="4648" style="70" width="42.57"/>
    <col collapsed="false" customWidth="true" hidden="false" outlineLevel="0" max="4649" min="4649" style="70" width="3.29"/>
    <col collapsed="false" customWidth="true" hidden="false" outlineLevel="0" max="4650" min="4650" style="70" width="8"/>
    <col collapsed="false" customWidth="false" hidden="false" outlineLevel="0" max="4651" min="4651" style="70" width="42.57"/>
    <col collapsed="false" customWidth="true" hidden="false" outlineLevel="0" max="4652" min="4652" style="70" width="3.29"/>
    <col collapsed="false" customWidth="true" hidden="false" outlineLevel="0" max="4653" min="4653" style="70" width="8"/>
    <col collapsed="false" customWidth="false" hidden="false" outlineLevel="0" max="4654" min="4654" style="70" width="42.57"/>
    <col collapsed="false" customWidth="true" hidden="false" outlineLevel="0" max="4655" min="4655" style="70" width="3.29"/>
    <col collapsed="false" customWidth="true" hidden="false" outlineLevel="0" max="4656" min="4656" style="70" width="8"/>
    <col collapsed="false" customWidth="false" hidden="false" outlineLevel="0" max="4657" min="4657" style="70" width="42.57"/>
    <col collapsed="false" customWidth="true" hidden="false" outlineLevel="0" max="4658" min="4658" style="70" width="3.29"/>
    <col collapsed="false" customWidth="true" hidden="false" outlineLevel="0" max="4659" min="4659" style="70" width="8"/>
    <col collapsed="false" customWidth="false" hidden="false" outlineLevel="0" max="4660" min="4660" style="70" width="42.57"/>
    <col collapsed="false" customWidth="true" hidden="false" outlineLevel="0" max="4661" min="4661" style="70" width="3.29"/>
    <col collapsed="false" customWidth="true" hidden="false" outlineLevel="0" max="4662" min="4662" style="70" width="8"/>
    <col collapsed="false" customWidth="false" hidden="false" outlineLevel="0" max="4663" min="4663" style="70" width="42.57"/>
    <col collapsed="false" customWidth="true" hidden="false" outlineLevel="0" max="4664" min="4664" style="70" width="3.29"/>
    <col collapsed="false" customWidth="true" hidden="false" outlineLevel="0" max="4665" min="4665" style="70" width="8"/>
    <col collapsed="false" customWidth="false" hidden="false" outlineLevel="0" max="4666" min="4666" style="70" width="42.57"/>
    <col collapsed="false" customWidth="true" hidden="false" outlineLevel="0" max="4667" min="4667" style="70" width="3.29"/>
    <col collapsed="false" customWidth="true" hidden="false" outlineLevel="0" max="4668" min="4668" style="70" width="8"/>
    <col collapsed="false" customWidth="false" hidden="false" outlineLevel="0" max="4669" min="4669" style="70" width="42.57"/>
    <col collapsed="false" customWidth="true" hidden="false" outlineLevel="0" max="4670" min="4670" style="70" width="3.29"/>
    <col collapsed="false" customWidth="true" hidden="false" outlineLevel="0" max="4671" min="4671" style="70" width="8"/>
    <col collapsed="false" customWidth="false" hidden="false" outlineLevel="0" max="4672" min="4672" style="70" width="42.57"/>
    <col collapsed="false" customWidth="true" hidden="false" outlineLevel="0" max="4673" min="4673" style="70" width="3.29"/>
    <col collapsed="false" customWidth="true" hidden="false" outlineLevel="0" max="4674" min="4674" style="70" width="8"/>
    <col collapsed="false" customWidth="false" hidden="false" outlineLevel="0" max="4675" min="4675" style="70" width="42.57"/>
    <col collapsed="false" customWidth="true" hidden="false" outlineLevel="0" max="4676" min="4676" style="70" width="3.29"/>
    <col collapsed="false" customWidth="true" hidden="false" outlineLevel="0" max="4677" min="4677" style="70" width="8"/>
    <col collapsed="false" customWidth="false" hidden="false" outlineLevel="0" max="4678" min="4678" style="70" width="42.57"/>
    <col collapsed="false" customWidth="true" hidden="false" outlineLevel="0" max="4679" min="4679" style="70" width="3.29"/>
    <col collapsed="false" customWidth="true" hidden="false" outlineLevel="0" max="4680" min="4680" style="70" width="8"/>
    <col collapsed="false" customWidth="false" hidden="false" outlineLevel="0" max="4681" min="4681" style="70" width="42.57"/>
    <col collapsed="false" customWidth="true" hidden="false" outlineLevel="0" max="4682" min="4682" style="70" width="3.29"/>
    <col collapsed="false" customWidth="true" hidden="false" outlineLevel="0" max="4683" min="4683" style="70" width="8"/>
    <col collapsed="false" customWidth="false" hidden="false" outlineLevel="0" max="4684" min="4684" style="70" width="42.57"/>
    <col collapsed="false" customWidth="true" hidden="false" outlineLevel="0" max="4685" min="4685" style="70" width="3.29"/>
    <col collapsed="false" customWidth="true" hidden="false" outlineLevel="0" max="4686" min="4686" style="70" width="8"/>
    <col collapsed="false" customWidth="false" hidden="false" outlineLevel="0" max="4687" min="4687" style="70" width="42.57"/>
    <col collapsed="false" customWidth="true" hidden="false" outlineLevel="0" max="4688" min="4688" style="70" width="3.29"/>
    <col collapsed="false" customWidth="true" hidden="false" outlineLevel="0" max="4689" min="4689" style="70" width="8"/>
    <col collapsed="false" customWidth="false" hidden="false" outlineLevel="0" max="4690" min="4690" style="70" width="42.57"/>
    <col collapsed="false" customWidth="true" hidden="false" outlineLevel="0" max="4691" min="4691" style="70" width="3.29"/>
    <col collapsed="false" customWidth="true" hidden="false" outlineLevel="0" max="4692" min="4692" style="70" width="8"/>
    <col collapsed="false" customWidth="false" hidden="false" outlineLevel="0" max="4693" min="4693" style="70" width="42.57"/>
    <col collapsed="false" customWidth="true" hidden="false" outlineLevel="0" max="4694" min="4694" style="70" width="3.29"/>
    <col collapsed="false" customWidth="true" hidden="false" outlineLevel="0" max="4695" min="4695" style="70" width="8"/>
    <col collapsed="false" customWidth="false" hidden="false" outlineLevel="0" max="4696" min="4696" style="70" width="42.57"/>
    <col collapsed="false" customWidth="true" hidden="false" outlineLevel="0" max="4697" min="4697" style="70" width="3.29"/>
    <col collapsed="false" customWidth="true" hidden="false" outlineLevel="0" max="4698" min="4698" style="70" width="8"/>
    <col collapsed="false" customWidth="false" hidden="false" outlineLevel="0" max="4699" min="4699" style="70" width="42.57"/>
    <col collapsed="false" customWidth="true" hidden="false" outlineLevel="0" max="4700" min="4700" style="70" width="3.29"/>
    <col collapsed="false" customWidth="true" hidden="false" outlineLevel="0" max="4701" min="4701" style="70" width="8"/>
    <col collapsed="false" customWidth="false" hidden="false" outlineLevel="0" max="4702" min="4702" style="70" width="42.57"/>
    <col collapsed="false" customWidth="true" hidden="false" outlineLevel="0" max="4703" min="4703" style="70" width="3.29"/>
    <col collapsed="false" customWidth="true" hidden="false" outlineLevel="0" max="4704" min="4704" style="70" width="8"/>
    <col collapsed="false" customWidth="false" hidden="false" outlineLevel="0" max="4705" min="4705" style="70" width="42.57"/>
    <col collapsed="false" customWidth="true" hidden="false" outlineLevel="0" max="4706" min="4706" style="70" width="3.29"/>
    <col collapsed="false" customWidth="true" hidden="false" outlineLevel="0" max="4707" min="4707" style="70" width="8"/>
    <col collapsed="false" customWidth="false" hidden="false" outlineLevel="0" max="4708" min="4708" style="70" width="42.57"/>
    <col collapsed="false" customWidth="true" hidden="false" outlineLevel="0" max="4709" min="4709" style="70" width="3.29"/>
    <col collapsed="false" customWidth="true" hidden="false" outlineLevel="0" max="4710" min="4710" style="70" width="8"/>
    <col collapsed="false" customWidth="false" hidden="false" outlineLevel="0" max="4711" min="4711" style="70" width="42.57"/>
    <col collapsed="false" customWidth="true" hidden="false" outlineLevel="0" max="4712" min="4712" style="70" width="3.29"/>
    <col collapsed="false" customWidth="true" hidden="false" outlineLevel="0" max="4713" min="4713" style="70" width="8"/>
    <col collapsed="false" customWidth="false" hidden="false" outlineLevel="0" max="4714" min="4714" style="70" width="42.57"/>
    <col collapsed="false" customWidth="true" hidden="false" outlineLevel="0" max="4715" min="4715" style="70" width="3.29"/>
    <col collapsed="false" customWidth="true" hidden="false" outlineLevel="0" max="4716" min="4716" style="70" width="8"/>
    <col collapsed="false" customWidth="false" hidden="false" outlineLevel="0" max="4717" min="4717" style="70" width="42.57"/>
    <col collapsed="false" customWidth="true" hidden="false" outlineLevel="0" max="4718" min="4718" style="70" width="3.29"/>
    <col collapsed="false" customWidth="true" hidden="false" outlineLevel="0" max="4719" min="4719" style="70" width="8"/>
    <col collapsed="false" customWidth="false" hidden="false" outlineLevel="0" max="4720" min="4720" style="70" width="42.57"/>
    <col collapsed="false" customWidth="true" hidden="false" outlineLevel="0" max="4721" min="4721" style="70" width="3.29"/>
    <col collapsed="false" customWidth="true" hidden="false" outlineLevel="0" max="4722" min="4722" style="70" width="8"/>
    <col collapsed="false" customWidth="false" hidden="false" outlineLevel="0" max="4723" min="4723" style="70" width="42.57"/>
    <col collapsed="false" customWidth="true" hidden="false" outlineLevel="0" max="4724" min="4724" style="70" width="3.29"/>
    <col collapsed="false" customWidth="true" hidden="false" outlineLevel="0" max="4725" min="4725" style="70" width="8"/>
    <col collapsed="false" customWidth="false" hidden="false" outlineLevel="0" max="4726" min="4726" style="70" width="42.57"/>
    <col collapsed="false" customWidth="true" hidden="false" outlineLevel="0" max="4727" min="4727" style="70" width="3.29"/>
    <col collapsed="false" customWidth="true" hidden="false" outlineLevel="0" max="4728" min="4728" style="70" width="8"/>
    <col collapsed="false" customWidth="false" hidden="false" outlineLevel="0" max="4729" min="4729" style="70" width="42.57"/>
    <col collapsed="false" customWidth="true" hidden="false" outlineLevel="0" max="4730" min="4730" style="70" width="3.29"/>
    <col collapsed="false" customWidth="true" hidden="false" outlineLevel="0" max="4731" min="4731" style="70" width="8"/>
    <col collapsed="false" customWidth="false" hidden="false" outlineLevel="0" max="4732" min="4732" style="70" width="42.57"/>
    <col collapsed="false" customWidth="true" hidden="false" outlineLevel="0" max="4733" min="4733" style="70" width="3.29"/>
    <col collapsed="false" customWidth="true" hidden="false" outlineLevel="0" max="4734" min="4734" style="70" width="8"/>
    <col collapsed="false" customWidth="false" hidden="false" outlineLevel="0" max="4735" min="4735" style="70" width="42.57"/>
    <col collapsed="false" customWidth="true" hidden="false" outlineLevel="0" max="4736" min="4736" style="70" width="3.29"/>
    <col collapsed="false" customWidth="true" hidden="false" outlineLevel="0" max="4737" min="4737" style="70" width="8"/>
    <col collapsed="false" customWidth="false" hidden="false" outlineLevel="0" max="4738" min="4738" style="70" width="42.57"/>
    <col collapsed="false" customWidth="true" hidden="false" outlineLevel="0" max="4739" min="4739" style="70" width="3.29"/>
    <col collapsed="false" customWidth="true" hidden="false" outlineLevel="0" max="4740" min="4740" style="70" width="8"/>
    <col collapsed="false" customWidth="false" hidden="false" outlineLevel="0" max="4741" min="4741" style="70" width="42.57"/>
    <col collapsed="false" customWidth="true" hidden="false" outlineLevel="0" max="4742" min="4742" style="70" width="3.29"/>
    <col collapsed="false" customWidth="true" hidden="false" outlineLevel="0" max="4743" min="4743" style="70" width="8"/>
    <col collapsed="false" customWidth="false" hidden="false" outlineLevel="0" max="4744" min="4744" style="70" width="42.57"/>
    <col collapsed="false" customWidth="true" hidden="false" outlineLevel="0" max="4745" min="4745" style="70" width="3.29"/>
    <col collapsed="false" customWidth="true" hidden="false" outlineLevel="0" max="4746" min="4746" style="70" width="8"/>
    <col collapsed="false" customWidth="false" hidden="false" outlineLevel="0" max="4747" min="4747" style="70" width="42.57"/>
    <col collapsed="false" customWidth="true" hidden="false" outlineLevel="0" max="4748" min="4748" style="70" width="3.29"/>
    <col collapsed="false" customWidth="true" hidden="false" outlineLevel="0" max="4749" min="4749" style="70" width="8"/>
    <col collapsed="false" customWidth="false" hidden="false" outlineLevel="0" max="4750" min="4750" style="70" width="42.57"/>
    <col collapsed="false" customWidth="true" hidden="false" outlineLevel="0" max="4751" min="4751" style="70" width="3.29"/>
    <col collapsed="false" customWidth="true" hidden="false" outlineLevel="0" max="4752" min="4752" style="70" width="8"/>
    <col collapsed="false" customWidth="false" hidden="false" outlineLevel="0" max="4753" min="4753" style="70" width="42.57"/>
    <col collapsed="false" customWidth="true" hidden="false" outlineLevel="0" max="4754" min="4754" style="70" width="3.29"/>
    <col collapsed="false" customWidth="true" hidden="false" outlineLevel="0" max="4755" min="4755" style="70" width="8"/>
    <col collapsed="false" customWidth="false" hidden="false" outlineLevel="0" max="4756" min="4756" style="70" width="42.57"/>
    <col collapsed="false" customWidth="true" hidden="false" outlineLevel="0" max="4757" min="4757" style="70" width="3.29"/>
    <col collapsed="false" customWidth="true" hidden="false" outlineLevel="0" max="4758" min="4758" style="70" width="8"/>
    <col collapsed="false" customWidth="false" hidden="false" outlineLevel="0" max="4759" min="4759" style="70" width="42.57"/>
    <col collapsed="false" customWidth="true" hidden="false" outlineLevel="0" max="4760" min="4760" style="70" width="3.29"/>
    <col collapsed="false" customWidth="true" hidden="false" outlineLevel="0" max="4761" min="4761" style="70" width="8"/>
    <col collapsed="false" customWidth="false" hidden="false" outlineLevel="0" max="4762" min="4762" style="70" width="42.57"/>
    <col collapsed="false" customWidth="true" hidden="false" outlineLevel="0" max="4763" min="4763" style="70" width="3.29"/>
    <col collapsed="false" customWidth="true" hidden="false" outlineLevel="0" max="4764" min="4764" style="70" width="8"/>
    <col collapsed="false" customWidth="false" hidden="false" outlineLevel="0" max="4765" min="4765" style="70" width="42.57"/>
    <col collapsed="false" customWidth="true" hidden="false" outlineLevel="0" max="4766" min="4766" style="70" width="3.29"/>
    <col collapsed="false" customWidth="true" hidden="false" outlineLevel="0" max="4767" min="4767" style="70" width="8"/>
    <col collapsed="false" customWidth="false" hidden="false" outlineLevel="0" max="4768" min="4768" style="70" width="42.57"/>
    <col collapsed="false" customWidth="true" hidden="false" outlineLevel="0" max="4769" min="4769" style="70" width="3.29"/>
    <col collapsed="false" customWidth="true" hidden="false" outlineLevel="0" max="4770" min="4770" style="70" width="8"/>
    <col collapsed="false" customWidth="false" hidden="false" outlineLevel="0" max="4771" min="4771" style="70" width="42.57"/>
    <col collapsed="false" customWidth="true" hidden="false" outlineLevel="0" max="4772" min="4772" style="70" width="3.29"/>
    <col collapsed="false" customWidth="true" hidden="false" outlineLevel="0" max="4773" min="4773" style="70" width="8"/>
    <col collapsed="false" customWidth="false" hidden="false" outlineLevel="0" max="4774" min="4774" style="70" width="42.57"/>
    <col collapsed="false" customWidth="true" hidden="false" outlineLevel="0" max="4775" min="4775" style="70" width="3.29"/>
    <col collapsed="false" customWidth="true" hidden="false" outlineLevel="0" max="4776" min="4776" style="70" width="8"/>
    <col collapsed="false" customWidth="false" hidden="false" outlineLevel="0" max="4777" min="4777" style="70" width="42.57"/>
    <col collapsed="false" customWidth="true" hidden="false" outlineLevel="0" max="4778" min="4778" style="70" width="3.29"/>
    <col collapsed="false" customWidth="true" hidden="false" outlineLevel="0" max="4779" min="4779" style="70" width="8"/>
    <col collapsed="false" customWidth="false" hidden="false" outlineLevel="0" max="4780" min="4780" style="70" width="42.57"/>
    <col collapsed="false" customWidth="true" hidden="false" outlineLevel="0" max="4781" min="4781" style="70" width="3.29"/>
    <col collapsed="false" customWidth="true" hidden="false" outlineLevel="0" max="4782" min="4782" style="70" width="8"/>
    <col collapsed="false" customWidth="false" hidden="false" outlineLevel="0" max="4783" min="4783" style="70" width="42.57"/>
    <col collapsed="false" customWidth="true" hidden="false" outlineLevel="0" max="4784" min="4784" style="70" width="3.29"/>
    <col collapsed="false" customWidth="true" hidden="false" outlineLevel="0" max="4785" min="4785" style="70" width="8"/>
    <col collapsed="false" customWidth="false" hidden="false" outlineLevel="0" max="4786" min="4786" style="70" width="42.57"/>
    <col collapsed="false" customWidth="true" hidden="false" outlineLevel="0" max="4787" min="4787" style="70" width="3.29"/>
    <col collapsed="false" customWidth="true" hidden="false" outlineLevel="0" max="4788" min="4788" style="70" width="8"/>
    <col collapsed="false" customWidth="false" hidden="false" outlineLevel="0" max="4789" min="4789" style="70" width="42.57"/>
    <col collapsed="false" customWidth="true" hidden="false" outlineLevel="0" max="4790" min="4790" style="70" width="3.29"/>
    <col collapsed="false" customWidth="true" hidden="false" outlineLevel="0" max="4791" min="4791" style="70" width="8"/>
    <col collapsed="false" customWidth="false" hidden="false" outlineLevel="0" max="4792" min="4792" style="70" width="42.57"/>
    <col collapsed="false" customWidth="true" hidden="false" outlineLevel="0" max="4793" min="4793" style="70" width="3.29"/>
    <col collapsed="false" customWidth="true" hidden="false" outlineLevel="0" max="4794" min="4794" style="70" width="8"/>
    <col collapsed="false" customWidth="false" hidden="false" outlineLevel="0" max="4795" min="4795" style="70" width="42.57"/>
    <col collapsed="false" customWidth="true" hidden="false" outlineLevel="0" max="4796" min="4796" style="70" width="3.29"/>
    <col collapsed="false" customWidth="true" hidden="false" outlineLevel="0" max="4797" min="4797" style="70" width="8"/>
    <col collapsed="false" customWidth="false" hidden="false" outlineLevel="0" max="4798" min="4798" style="70" width="42.57"/>
    <col collapsed="false" customWidth="true" hidden="false" outlineLevel="0" max="4799" min="4799" style="70" width="3.29"/>
    <col collapsed="false" customWidth="true" hidden="false" outlineLevel="0" max="4800" min="4800" style="70" width="8"/>
    <col collapsed="false" customWidth="false" hidden="false" outlineLevel="0" max="4801" min="4801" style="70" width="42.57"/>
    <col collapsed="false" customWidth="true" hidden="false" outlineLevel="0" max="4802" min="4802" style="70" width="3.29"/>
    <col collapsed="false" customWidth="true" hidden="false" outlineLevel="0" max="4803" min="4803" style="70" width="8"/>
    <col collapsed="false" customWidth="false" hidden="false" outlineLevel="0" max="4804" min="4804" style="70" width="42.57"/>
    <col collapsed="false" customWidth="true" hidden="false" outlineLevel="0" max="4805" min="4805" style="70" width="3.29"/>
    <col collapsed="false" customWidth="true" hidden="false" outlineLevel="0" max="4806" min="4806" style="70" width="8"/>
    <col collapsed="false" customWidth="false" hidden="false" outlineLevel="0" max="4807" min="4807" style="70" width="42.57"/>
    <col collapsed="false" customWidth="true" hidden="false" outlineLevel="0" max="4808" min="4808" style="70" width="3.29"/>
    <col collapsed="false" customWidth="true" hidden="false" outlineLevel="0" max="4809" min="4809" style="70" width="8"/>
    <col collapsed="false" customWidth="false" hidden="false" outlineLevel="0" max="4810" min="4810" style="70" width="42.57"/>
    <col collapsed="false" customWidth="true" hidden="false" outlineLevel="0" max="4811" min="4811" style="70" width="3.29"/>
    <col collapsed="false" customWidth="true" hidden="false" outlineLevel="0" max="4812" min="4812" style="70" width="8"/>
    <col collapsed="false" customWidth="false" hidden="false" outlineLevel="0" max="4813" min="4813" style="70" width="42.57"/>
    <col collapsed="false" customWidth="true" hidden="false" outlineLevel="0" max="4814" min="4814" style="70" width="3.29"/>
    <col collapsed="false" customWidth="true" hidden="false" outlineLevel="0" max="4815" min="4815" style="70" width="8"/>
    <col collapsed="false" customWidth="false" hidden="false" outlineLevel="0" max="4816" min="4816" style="70" width="42.57"/>
    <col collapsed="false" customWidth="true" hidden="false" outlineLevel="0" max="4817" min="4817" style="70" width="3.29"/>
    <col collapsed="false" customWidth="true" hidden="false" outlineLevel="0" max="4818" min="4818" style="70" width="8"/>
    <col collapsed="false" customWidth="false" hidden="false" outlineLevel="0" max="4819" min="4819" style="70" width="42.57"/>
    <col collapsed="false" customWidth="true" hidden="false" outlineLevel="0" max="4820" min="4820" style="70" width="3.29"/>
    <col collapsed="false" customWidth="true" hidden="false" outlineLevel="0" max="4821" min="4821" style="70" width="8"/>
    <col collapsed="false" customWidth="false" hidden="false" outlineLevel="0" max="4822" min="4822" style="70" width="42.57"/>
    <col collapsed="false" customWidth="true" hidden="false" outlineLevel="0" max="4823" min="4823" style="70" width="3.29"/>
    <col collapsed="false" customWidth="true" hidden="false" outlineLevel="0" max="4824" min="4824" style="70" width="8"/>
    <col collapsed="false" customWidth="false" hidden="false" outlineLevel="0" max="4825" min="4825" style="70" width="42.57"/>
    <col collapsed="false" customWidth="true" hidden="false" outlineLevel="0" max="4826" min="4826" style="70" width="3.29"/>
    <col collapsed="false" customWidth="true" hidden="false" outlineLevel="0" max="4827" min="4827" style="70" width="8"/>
    <col collapsed="false" customWidth="false" hidden="false" outlineLevel="0" max="4828" min="4828" style="70" width="42.57"/>
    <col collapsed="false" customWidth="true" hidden="false" outlineLevel="0" max="4829" min="4829" style="70" width="3.29"/>
    <col collapsed="false" customWidth="true" hidden="false" outlineLevel="0" max="4830" min="4830" style="70" width="8"/>
    <col collapsed="false" customWidth="false" hidden="false" outlineLevel="0" max="4831" min="4831" style="70" width="42.57"/>
    <col collapsed="false" customWidth="true" hidden="false" outlineLevel="0" max="4832" min="4832" style="70" width="3.29"/>
    <col collapsed="false" customWidth="true" hidden="false" outlineLevel="0" max="4833" min="4833" style="70" width="8"/>
    <col collapsed="false" customWidth="false" hidden="false" outlineLevel="0" max="4834" min="4834" style="70" width="42.57"/>
    <col collapsed="false" customWidth="true" hidden="false" outlineLevel="0" max="4835" min="4835" style="70" width="3.29"/>
    <col collapsed="false" customWidth="true" hidden="false" outlineLevel="0" max="4836" min="4836" style="70" width="8"/>
    <col collapsed="false" customWidth="false" hidden="false" outlineLevel="0" max="4837" min="4837" style="70" width="42.57"/>
    <col collapsed="false" customWidth="true" hidden="false" outlineLevel="0" max="4838" min="4838" style="70" width="3.29"/>
    <col collapsed="false" customWidth="true" hidden="false" outlineLevel="0" max="4839" min="4839" style="70" width="8"/>
    <col collapsed="false" customWidth="false" hidden="false" outlineLevel="0" max="4840" min="4840" style="70" width="42.57"/>
    <col collapsed="false" customWidth="true" hidden="false" outlineLevel="0" max="4841" min="4841" style="70" width="3.29"/>
    <col collapsed="false" customWidth="true" hidden="false" outlineLevel="0" max="4842" min="4842" style="70" width="8"/>
    <col collapsed="false" customWidth="false" hidden="false" outlineLevel="0" max="4843" min="4843" style="70" width="42.57"/>
    <col collapsed="false" customWidth="true" hidden="false" outlineLevel="0" max="4844" min="4844" style="70" width="3.29"/>
    <col collapsed="false" customWidth="true" hidden="false" outlineLevel="0" max="4845" min="4845" style="70" width="8"/>
    <col collapsed="false" customWidth="false" hidden="false" outlineLevel="0" max="4846" min="4846" style="70" width="42.57"/>
    <col collapsed="false" customWidth="true" hidden="false" outlineLevel="0" max="4847" min="4847" style="70" width="3.29"/>
    <col collapsed="false" customWidth="true" hidden="false" outlineLevel="0" max="4848" min="4848" style="70" width="8"/>
    <col collapsed="false" customWidth="false" hidden="false" outlineLevel="0" max="4849" min="4849" style="70" width="42.57"/>
    <col collapsed="false" customWidth="true" hidden="false" outlineLevel="0" max="4850" min="4850" style="70" width="3.29"/>
    <col collapsed="false" customWidth="true" hidden="false" outlineLevel="0" max="4851" min="4851" style="70" width="8"/>
    <col collapsed="false" customWidth="false" hidden="false" outlineLevel="0" max="4852" min="4852" style="70" width="42.57"/>
    <col collapsed="false" customWidth="true" hidden="false" outlineLevel="0" max="4853" min="4853" style="70" width="3.29"/>
    <col collapsed="false" customWidth="true" hidden="false" outlineLevel="0" max="4854" min="4854" style="70" width="8"/>
    <col collapsed="false" customWidth="false" hidden="false" outlineLevel="0" max="4855" min="4855" style="70" width="42.57"/>
    <col collapsed="false" customWidth="true" hidden="false" outlineLevel="0" max="4856" min="4856" style="70" width="3.29"/>
    <col collapsed="false" customWidth="true" hidden="false" outlineLevel="0" max="4857" min="4857" style="70" width="8"/>
    <col collapsed="false" customWidth="false" hidden="false" outlineLevel="0" max="4858" min="4858" style="70" width="42.57"/>
    <col collapsed="false" customWidth="true" hidden="false" outlineLevel="0" max="4859" min="4859" style="70" width="3.29"/>
    <col collapsed="false" customWidth="true" hidden="false" outlineLevel="0" max="4860" min="4860" style="70" width="8"/>
    <col collapsed="false" customWidth="false" hidden="false" outlineLevel="0" max="4861" min="4861" style="70" width="42.57"/>
    <col collapsed="false" customWidth="true" hidden="false" outlineLevel="0" max="4862" min="4862" style="70" width="3.29"/>
    <col collapsed="false" customWidth="true" hidden="false" outlineLevel="0" max="4863" min="4863" style="70" width="8"/>
    <col collapsed="false" customWidth="false" hidden="false" outlineLevel="0" max="4864" min="4864" style="70" width="42.57"/>
    <col collapsed="false" customWidth="true" hidden="false" outlineLevel="0" max="4865" min="4865" style="70" width="3.29"/>
    <col collapsed="false" customWidth="true" hidden="false" outlineLevel="0" max="4866" min="4866" style="70" width="8"/>
    <col collapsed="false" customWidth="false" hidden="false" outlineLevel="0" max="4867" min="4867" style="70" width="42.57"/>
    <col collapsed="false" customWidth="true" hidden="false" outlineLevel="0" max="4868" min="4868" style="70" width="3.29"/>
    <col collapsed="false" customWidth="true" hidden="false" outlineLevel="0" max="4869" min="4869" style="70" width="8"/>
    <col collapsed="false" customWidth="false" hidden="false" outlineLevel="0" max="4870" min="4870" style="70" width="42.57"/>
    <col collapsed="false" customWidth="true" hidden="false" outlineLevel="0" max="4871" min="4871" style="70" width="3.29"/>
    <col collapsed="false" customWidth="true" hidden="false" outlineLevel="0" max="4872" min="4872" style="70" width="8"/>
    <col collapsed="false" customWidth="false" hidden="false" outlineLevel="0" max="4873" min="4873" style="70" width="42.57"/>
    <col collapsed="false" customWidth="true" hidden="false" outlineLevel="0" max="4874" min="4874" style="70" width="3.29"/>
    <col collapsed="false" customWidth="true" hidden="false" outlineLevel="0" max="4875" min="4875" style="70" width="8"/>
    <col collapsed="false" customWidth="false" hidden="false" outlineLevel="0" max="4876" min="4876" style="70" width="42.57"/>
    <col collapsed="false" customWidth="true" hidden="false" outlineLevel="0" max="4877" min="4877" style="70" width="3.29"/>
    <col collapsed="false" customWidth="true" hidden="false" outlineLevel="0" max="4878" min="4878" style="70" width="8"/>
    <col collapsed="false" customWidth="false" hidden="false" outlineLevel="0" max="4879" min="4879" style="70" width="42.57"/>
    <col collapsed="false" customWidth="true" hidden="false" outlineLevel="0" max="4880" min="4880" style="70" width="3.29"/>
    <col collapsed="false" customWidth="true" hidden="false" outlineLevel="0" max="4881" min="4881" style="70" width="8"/>
    <col collapsed="false" customWidth="false" hidden="false" outlineLevel="0" max="4882" min="4882" style="70" width="42.57"/>
    <col collapsed="false" customWidth="true" hidden="false" outlineLevel="0" max="4883" min="4883" style="70" width="3.29"/>
    <col collapsed="false" customWidth="true" hidden="false" outlineLevel="0" max="4884" min="4884" style="70" width="8"/>
    <col collapsed="false" customWidth="false" hidden="false" outlineLevel="0" max="4885" min="4885" style="70" width="42.57"/>
    <col collapsed="false" customWidth="true" hidden="false" outlineLevel="0" max="4886" min="4886" style="70" width="3.29"/>
    <col collapsed="false" customWidth="true" hidden="false" outlineLevel="0" max="4887" min="4887" style="70" width="8"/>
    <col collapsed="false" customWidth="false" hidden="false" outlineLevel="0" max="4888" min="4888" style="70" width="42.57"/>
    <col collapsed="false" customWidth="true" hidden="false" outlineLevel="0" max="4889" min="4889" style="70" width="3.29"/>
    <col collapsed="false" customWidth="true" hidden="false" outlineLevel="0" max="4890" min="4890" style="70" width="8"/>
    <col collapsed="false" customWidth="false" hidden="false" outlineLevel="0" max="4891" min="4891" style="70" width="42.57"/>
    <col collapsed="false" customWidth="true" hidden="false" outlineLevel="0" max="4892" min="4892" style="70" width="3.29"/>
    <col collapsed="false" customWidth="true" hidden="false" outlineLevel="0" max="4893" min="4893" style="70" width="8"/>
    <col collapsed="false" customWidth="false" hidden="false" outlineLevel="0" max="4894" min="4894" style="70" width="42.57"/>
    <col collapsed="false" customWidth="true" hidden="false" outlineLevel="0" max="4895" min="4895" style="70" width="3.29"/>
    <col collapsed="false" customWidth="true" hidden="false" outlineLevel="0" max="4896" min="4896" style="70" width="8"/>
    <col collapsed="false" customWidth="false" hidden="false" outlineLevel="0" max="4897" min="4897" style="70" width="42.57"/>
    <col collapsed="false" customWidth="true" hidden="false" outlineLevel="0" max="4898" min="4898" style="70" width="3.29"/>
    <col collapsed="false" customWidth="true" hidden="false" outlineLevel="0" max="4899" min="4899" style="70" width="8"/>
    <col collapsed="false" customWidth="false" hidden="false" outlineLevel="0" max="4900" min="4900" style="70" width="42.57"/>
    <col collapsed="false" customWidth="true" hidden="false" outlineLevel="0" max="4901" min="4901" style="70" width="3.29"/>
    <col collapsed="false" customWidth="true" hidden="false" outlineLevel="0" max="4902" min="4902" style="70" width="8"/>
    <col collapsed="false" customWidth="false" hidden="false" outlineLevel="0" max="4903" min="4903" style="70" width="42.57"/>
    <col collapsed="false" customWidth="true" hidden="false" outlineLevel="0" max="4904" min="4904" style="70" width="3.29"/>
    <col collapsed="false" customWidth="true" hidden="false" outlineLevel="0" max="4905" min="4905" style="70" width="8"/>
    <col collapsed="false" customWidth="false" hidden="false" outlineLevel="0" max="4906" min="4906" style="70" width="42.57"/>
    <col collapsed="false" customWidth="true" hidden="false" outlineLevel="0" max="4907" min="4907" style="70" width="3.29"/>
    <col collapsed="false" customWidth="true" hidden="false" outlineLevel="0" max="4908" min="4908" style="70" width="8"/>
    <col collapsed="false" customWidth="false" hidden="false" outlineLevel="0" max="4909" min="4909" style="70" width="42.57"/>
    <col collapsed="false" customWidth="true" hidden="false" outlineLevel="0" max="4910" min="4910" style="70" width="3.29"/>
    <col collapsed="false" customWidth="true" hidden="false" outlineLevel="0" max="4911" min="4911" style="70" width="8"/>
    <col collapsed="false" customWidth="false" hidden="false" outlineLevel="0" max="4912" min="4912" style="70" width="42.57"/>
    <col collapsed="false" customWidth="true" hidden="false" outlineLevel="0" max="4913" min="4913" style="70" width="3.29"/>
    <col collapsed="false" customWidth="true" hidden="false" outlineLevel="0" max="4914" min="4914" style="70" width="8"/>
    <col collapsed="false" customWidth="false" hidden="false" outlineLevel="0" max="4915" min="4915" style="70" width="42.57"/>
    <col collapsed="false" customWidth="true" hidden="false" outlineLevel="0" max="4916" min="4916" style="70" width="3.29"/>
    <col collapsed="false" customWidth="true" hidden="false" outlineLevel="0" max="4917" min="4917" style="70" width="8"/>
    <col collapsed="false" customWidth="false" hidden="false" outlineLevel="0" max="4918" min="4918" style="70" width="42.57"/>
    <col collapsed="false" customWidth="true" hidden="false" outlineLevel="0" max="4919" min="4919" style="70" width="3.29"/>
    <col collapsed="false" customWidth="true" hidden="false" outlineLevel="0" max="4920" min="4920" style="70" width="8"/>
    <col collapsed="false" customWidth="false" hidden="false" outlineLevel="0" max="4921" min="4921" style="70" width="42.57"/>
    <col collapsed="false" customWidth="true" hidden="false" outlineLevel="0" max="4922" min="4922" style="70" width="3.29"/>
    <col collapsed="false" customWidth="true" hidden="false" outlineLevel="0" max="4923" min="4923" style="70" width="8"/>
    <col collapsed="false" customWidth="false" hidden="false" outlineLevel="0" max="4924" min="4924" style="70" width="42.57"/>
    <col collapsed="false" customWidth="true" hidden="false" outlineLevel="0" max="4925" min="4925" style="70" width="3.29"/>
    <col collapsed="false" customWidth="true" hidden="false" outlineLevel="0" max="4926" min="4926" style="70" width="8"/>
    <col collapsed="false" customWidth="false" hidden="false" outlineLevel="0" max="4927" min="4927" style="70" width="42.57"/>
    <col collapsed="false" customWidth="true" hidden="false" outlineLevel="0" max="4928" min="4928" style="70" width="3.29"/>
    <col collapsed="false" customWidth="true" hidden="false" outlineLevel="0" max="4929" min="4929" style="70" width="8"/>
    <col collapsed="false" customWidth="false" hidden="false" outlineLevel="0" max="4930" min="4930" style="70" width="42.57"/>
    <col collapsed="false" customWidth="true" hidden="false" outlineLevel="0" max="4931" min="4931" style="70" width="3.29"/>
    <col collapsed="false" customWidth="true" hidden="false" outlineLevel="0" max="4932" min="4932" style="70" width="8"/>
    <col collapsed="false" customWidth="false" hidden="false" outlineLevel="0" max="4933" min="4933" style="70" width="42.57"/>
    <col collapsed="false" customWidth="true" hidden="false" outlineLevel="0" max="4934" min="4934" style="70" width="3.29"/>
    <col collapsed="false" customWidth="true" hidden="false" outlineLevel="0" max="4935" min="4935" style="70" width="8"/>
    <col collapsed="false" customWidth="false" hidden="false" outlineLevel="0" max="4936" min="4936" style="70" width="42.57"/>
    <col collapsed="false" customWidth="true" hidden="false" outlineLevel="0" max="4937" min="4937" style="70" width="3.29"/>
    <col collapsed="false" customWidth="true" hidden="false" outlineLevel="0" max="4938" min="4938" style="70" width="8"/>
    <col collapsed="false" customWidth="false" hidden="false" outlineLevel="0" max="4939" min="4939" style="70" width="42.57"/>
    <col collapsed="false" customWidth="true" hidden="false" outlineLevel="0" max="4940" min="4940" style="70" width="3.29"/>
    <col collapsed="false" customWidth="true" hidden="false" outlineLevel="0" max="4941" min="4941" style="70" width="8"/>
    <col collapsed="false" customWidth="false" hidden="false" outlineLevel="0" max="4942" min="4942" style="70" width="42.57"/>
    <col collapsed="false" customWidth="true" hidden="false" outlineLevel="0" max="4943" min="4943" style="70" width="3.29"/>
    <col collapsed="false" customWidth="true" hidden="false" outlineLevel="0" max="4944" min="4944" style="70" width="8"/>
    <col collapsed="false" customWidth="false" hidden="false" outlineLevel="0" max="4945" min="4945" style="70" width="42.57"/>
    <col collapsed="false" customWidth="true" hidden="false" outlineLevel="0" max="4946" min="4946" style="70" width="3.29"/>
    <col collapsed="false" customWidth="true" hidden="false" outlineLevel="0" max="4947" min="4947" style="70" width="8"/>
    <col collapsed="false" customWidth="false" hidden="false" outlineLevel="0" max="4948" min="4948" style="70" width="42.57"/>
    <col collapsed="false" customWidth="true" hidden="false" outlineLevel="0" max="4949" min="4949" style="70" width="3.29"/>
    <col collapsed="false" customWidth="true" hidden="false" outlineLevel="0" max="4950" min="4950" style="70" width="8"/>
    <col collapsed="false" customWidth="false" hidden="false" outlineLevel="0" max="4951" min="4951" style="70" width="42.57"/>
    <col collapsed="false" customWidth="true" hidden="false" outlineLevel="0" max="4952" min="4952" style="70" width="3.29"/>
    <col collapsed="false" customWidth="true" hidden="false" outlineLevel="0" max="4953" min="4953" style="70" width="8"/>
    <col collapsed="false" customWidth="false" hidden="false" outlineLevel="0" max="4954" min="4954" style="70" width="42.57"/>
    <col collapsed="false" customWidth="true" hidden="false" outlineLevel="0" max="4955" min="4955" style="70" width="3.29"/>
    <col collapsed="false" customWidth="true" hidden="false" outlineLevel="0" max="4956" min="4956" style="70" width="8"/>
    <col collapsed="false" customWidth="false" hidden="false" outlineLevel="0" max="4957" min="4957" style="70" width="42.57"/>
    <col collapsed="false" customWidth="true" hidden="false" outlineLevel="0" max="4958" min="4958" style="70" width="3.29"/>
    <col collapsed="false" customWidth="true" hidden="false" outlineLevel="0" max="4959" min="4959" style="70" width="8"/>
    <col collapsed="false" customWidth="false" hidden="false" outlineLevel="0" max="4960" min="4960" style="70" width="42.57"/>
    <col collapsed="false" customWidth="true" hidden="false" outlineLevel="0" max="4961" min="4961" style="70" width="3.29"/>
    <col collapsed="false" customWidth="true" hidden="false" outlineLevel="0" max="4962" min="4962" style="70" width="8"/>
    <col collapsed="false" customWidth="false" hidden="false" outlineLevel="0" max="4963" min="4963" style="70" width="42.57"/>
    <col collapsed="false" customWidth="true" hidden="false" outlineLevel="0" max="4964" min="4964" style="70" width="3.29"/>
    <col collapsed="false" customWidth="true" hidden="false" outlineLevel="0" max="4965" min="4965" style="70" width="8"/>
    <col collapsed="false" customWidth="false" hidden="false" outlineLevel="0" max="4966" min="4966" style="70" width="42.57"/>
    <col collapsed="false" customWidth="true" hidden="false" outlineLevel="0" max="4967" min="4967" style="70" width="3.29"/>
    <col collapsed="false" customWidth="true" hidden="false" outlineLevel="0" max="4968" min="4968" style="70" width="8"/>
    <col collapsed="false" customWidth="false" hidden="false" outlineLevel="0" max="4969" min="4969" style="70" width="42.57"/>
    <col collapsed="false" customWidth="true" hidden="false" outlineLevel="0" max="4970" min="4970" style="70" width="3.29"/>
    <col collapsed="false" customWidth="true" hidden="false" outlineLevel="0" max="4971" min="4971" style="70" width="8"/>
    <col collapsed="false" customWidth="false" hidden="false" outlineLevel="0" max="4972" min="4972" style="70" width="42.57"/>
    <col collapsed="false" customWidth="true" hidden="false" outlineLevel="0" max="4973" min="4973" style="70" width="3.29"/>
    <col collapsed="false" customWidth="true" hidden="false" outlineLevel="0" max="4974" min="4974" style="70" width="8"/>
    <col collapsed="false" customWidth="false" hidden="false" outlineLevel="0" max="4975" min="4975" style="70" width="42.57"/>
    <col collapsed="false" customWidth="true" hidden="false" outlineLevel="0" max="4976" min="4976" style="70" width="3.29"/>
    <col collapsed="false" customWidth="true" hidden="false" outlineLevel="0" max="4977" min="4977" style="70" width="8"/>
    <col collapsed="false" customWidth="false" hidden="false" outlineLevel="0" max="4978" min="4978" style="70" width="42.57"/>
    <col collapsed="false" customWidth="true" hidden="false" outlineLevel="0" max="4979" min="4979" style="70" width="3.29"/>
    <col collapsed="false" customWidth="true" hidden="false" outlineLevel="0" max="4980" min="4980" style="70" width="8"/>
    <col collapsed="false" customWidth="false" hidden="false" outlineLevel="0" max="4981" min="4981" style="70" width="42.57"/>
    <col collapsed="false" customWidth="true" hidden="false" outlineLevel="0" max="4982" min="4982" style="70" width="3.29"/>
    <col collapsed="false" customWidth="true" hidden="false" outlineLevel="0" max="4983" min="4983" style="70" width="8"/>
    <col collapsed="false" customWidth="false" hidden="false" outlineLevel="0" max="4984" min="4984" style="70" width="42.57"/>
    <col collapsed="false" customWidth="true" hidden="false" outlineLevel="0" max="4985" min="4985" style="70" width="3.29"/>
    <col collapsed="false" customWidth="true" hidden="false" outlineLevel="0" max="4986" min="4986" style="70" width="8"/>
    <col collapsed="false" customWidth="false" hidden="false" outlineLevel="0" max="4987" min="4987" style="70" width="42.57"/>
    <col collapsed="false" customWidth="true" hidden="false" outlineLevel="0" max="4988" min="4988" style="70" width="3.29"/>
    <col collapsed="false" customWidth="true" hidden="false" outlineLevel="0" max="4989" min="4989" style="70" width="8"/>
    <col collapsed="false" customWidth="false" hidden="false" outlineLevel="0" max="4990" min="4990" style="70" width="42.57"/>
    <col collapsed="false" customWidth="true" hidden="false" outlineLevel="0" max="4991" min="4991" style="70" width="3.29"/>
    <col collapsed="false" customWidth="true" hidden="false" outlineLevel="0" max="4992" min="4992" style="70" width="8"/>
    <col collapsed="false" customWidth="false" hidden="false" outlineLevel="0" max="4993" min="4993" style="70" width="42.57"/>
    <col collapsed="false" customWidth="true" hidden="false" outlineLevel="0" max="4994" min="4994" style="70" width="3.29"/>
    <col collapsed="false" customWidth="true" hidden="false" outlineLevel="0" max="4995" min="4995" style="70" width="8"/>
    <col collapsed="false" customWidth="false" hidden="false" outlineLevel="0" max="4996" min="4996" style="70" width="42.57"/>
    <col collapsed="false" customWidth="true" hidden="false" outlineLevel="0" max="4997" min="4997" style="70" width="3.29"/>
    <col collapsed="false" customWidth="true" hidden="false" outlineLevel="0" max="4998" min="4998" style="70" width="8"/>
    <col collapsed="false" customWidth="false" hidden="false" outlineLevel="0" max="4999" min="4999" style="70" width="42.57"/>
    <col collapsed="false" customWidth="true" hidden="false" outlineLevel="0" max="5000" min="5000" style="70" width="3.29"/>
    <col collapsed="false" customWidth="true" hidden="false" outlineLevel="0" max="5001" min="5001" style="70" width="8"/>
    <col collapsed="false" customWidth="false" hidden="false" outlineLevel="0" max="5002" min="5002" style="70" width="42.57"/>
    <col collapsed="false" customWidth="true" hidden="false" outlineLevel="0" max="5003" min="5003" style="70" width="3.29"/>
    <col collapsed="false" customWidth="true" hidden="false" outlineLevel="0" max="5004" min="5004" style="70" width="8"/>
    <col collapsed="false" customWidth="false" hidden="false" outlineLevel="0" max="5005" min="5005" style="70" width="42.57"/>
    <col collapsed="false" customWidth="true" hidden="false" outlineLevel="0" max="5006" min="5006" style="70" width="3.29"/>
    <col collapsed="false" customWidth="true" hidden="false" outlineLevel="0" max="5007" min="5007" style="70" width="8"/>
    <col collapsed="false" customWidth="false" hidden="false" outlineLevel="0" max="5008" min="5008" style="70" width="42.57"/>
    <col collapsed="false" customWidth="true" hidden="false" outlineLevel="0" max="5009" min="5009" style="70" width="3.29"/>
    <col collapsed="false" customWidth="true" hidden="false" outlineLevel="0" max="5010" min="5010" style="70" width="8"/>
    <col collapsed="false" customWidth="false" hidden="false" outlineLevel="0" max="5011" min="5011" style="70" width="42.57"/>
    <col collapsed="false" customWidth="true" hidden="false" outlineLevel="0" max="5012" min="5012" style="70" width="3.29"/>
    <col collapsed="false" customWidth="true" hidden="false" outlineLevel="0" max="5013" min="5013" style="70" width="8"/>
    <col collapsed="false" customWidth="false" hidden="false" outlineLevel="0" max="5014" min="5014" style="70" width="42.57"/>
    <col collapsed="false" customWidth="true" hidden="false" outlineLevel="0" max="5015" min="5015" style="70" width="3.29"/>
    <col collapsed="false" customWidth="true" hidden="false" outlineLevel="0" max="5016" min="5016" style="70" width="8"/>
    <col collapsed="false" customWidth="false" hidden="false" outlineLevel="0" max="5017" min="5017" style="70" width="42.57"/>
    <col collapsed="false" customWidth="true" hidden="false" outlineLevel="0" max="5018" min="5018" style="70" width="3.29"/>
    <col collapsed="false" customWidth="true" hidden="false" outlineLevel="0" max="5019" min="5019" style="70" width="8"/>
    <col collapsed="false" customWidth="false" hidden="false" outlineLevel="0" max="5020" min="5020" style="70" width="42.57"/>
    <col collapsed="false" customWidth="true" hidden="false" outlineLevel="0" max="5021" min="5021" style="70" width="3.29"/>
    <col collapsed="false" customWidth="true" hidden="false" outlineLevel="0" max="5022" min="5022" style="70" width="8"/>
    <col collapsed="false" customWidth="false" hidden="false" outlineLevel="0" max="5023" min="5023" style="70" width="42.57"/>
    <col collapsed="false" customWidth="true" hidden="false" outlineLevel="0" max="5024" min="5024" style="70" width="3.29"/>
    <col collapsed="false" customWidth="true" hidden="false" outlineLevel="0" max="5025" min="5025" style="70" width="8"/>
    <col collapsed="false" customWidth="false" hidden="false" outlineLevel="0" max="5026" min="5026" style="70" width="42.57"/>
    <col collapsed="false" customWidth="true" hidden="false" outlineLevel="0" max="5027" min="5027" style="70" width="3.29"/>
    <col collapsed="false" customWidth="true" hidden="false" outlineLevel="0" max="5028" min="5028" style="70" width="8"/>
    <col collapsed="false" customWidth="false" hidden="false" outlineLevel="0" max="5029" min="5029" style="70" width="42.57"/>
    <col collapsed="false" customWidth="true" hidden="false" outlineLevel="0" max="5030" min="5030" style="70" width="3.29"/>
    <col collapsed="false" customWidth="true" hidden="false" outlineLevel="0" max="5031" min="5031" style="70" width="8"/>
    <col collapsed="false" customWidth="false" hidden="false" outlineLevel="0" max="5032" min="5032" style="70" width="42.57"/>
    <col collapsed="false" customWidth="true" hidden="false" outlineLevel="0" max="5033" min="5033" style="70" width="3.29"/>
    <col collapsed="false" customWidth="true" hidden="false" outlineLevel="0" max="5034" min="5034" style="70" width="8"/>
    <col collapsed="false" customWidth="false" hidden="false" outlineLevel="0" max="5035" min="5035" style="70" width="42.57"/>
    <col collapsed="false" customWidth="true" hidden="false" outlineLevel="0" max="5036" min="5036" style="70" width="3.29"/>
    <col collapsed="false" customWidth="true" hidden="false" outlineLevel="0" max="5037" min="5037" style="70" width="8"/>
    <col collapsed="false" customWidth="false" hidden="false" outlineLevel="0" max="5038" min="5038" style="70" width="42.57"/>
    <col collapsed="false" customWidth="true" hidden="false" outlineLevel="0" max="5039" min="5039" style="70" width="3.29"/>
    <col collapsed="false" customWidth="true" hidden="false" outlineLevel="0" max="5040" min="5040" style="70" width="8"/>
    <col collapsed="false" customWidth="false" hidden="false" outlineLevel="0" max="5041" min="5041" style="70" width="42.57"/>
    <col collapsed="false" customWidth="true" hidden="false" outlineLevel="0" max="5042" min="5042" style="70" width="3.29"/>
    <col collapsed="false" customWidth="true" hidden="false" outlineLevel="0" max="5043" min="5043" style="70" width="8"/>
    <col collapsed="false" customWidth="false" hidden="false" outlineLevel="0" max="5044" min="5044" style="70" width="42.57"/>
    <col collapsed="false" customWidth="true" hidden="false" outlineLevel="0" max="5045" min="5045" style="70" width="3.29"/>
    <col collapsed="false" customWidth="true" hidden="false" outlineLevel="0" max="5046" min="5046" style="70" width="8"/>
    <col collapsed="false" customWidth="false" hidden="false" outlineLevel="0" max="5047" min="5047" style="70" width="42.57"/>
    <col collapsed="false" customWidth="true" hidden="false" outlineLevel="0" max="5048" min="5048" style="70" width="3.29"/>
    <col collapsed="false" customWidth="true" hidden="false" outlineLevel="0" max="5049" min="5049" style="70" width="8"/>
    <col collapsed="false" customWidth="false" hidden="false" outlineLevel="0" max="5050" min="5050" style="70" width="42.57"/>
    <col collapsed="false" customWidth="true" hidden="false" outlineLevel="0" max="5051" min="5051" style="70" width="3.29"/>
    <col collapsed="false" customWidth="true" hidden="false" outlineLevel="0" max="5052" min="5052" style="70" width="8"/>
    <col collapsed="false" customWidth="false" hidden="false" outlineLevel="0" max="5053" min="5053" style="70" width="42.57"/>
    <col collapsed="false" customWidth="true" hidden="false" outlineLevel="0" max="5054" min="5054" style="70" width="3.29"/>
    <col collapsed="false" customWidth="true" hidden="false" outlineLevel="0" max="5055" min="5055" style="70" width="8"/>
    <col collapsed="false" customWidth="false" hidden="false" outlineLevel="0" max="5056" min="5056" style="70" width="42.57"/>
    <col collapsed="false" customWidth="true" hidden="false" outlineLevel="0" max="5057" min="5057" style="70" width="3.29"/>
    <col collapsed="false" customWidth="true" hidden="false" outlineLevel="0" max="5058" min="5058" style="70" width="8"/>
    <col collapsed="false" customWidth="false" hidden="false" outlineLevel="0" max="5059" min="5059" style="70" width="42.57"/>
    <col collapsed="false" customWidth="true" hidden="false" outlineLevel="0" max="5060" min="5060" style="70" width="3.29"/>
    <col collapsed="false" customWidth="true" hidden="false" outlineLevel="0" max="5061" min="5061" style="70" width="8"/>
    <col collapsed="false" customWidth="false" hidden="false" outlineLevel="0" max="5062" min="5062" style="70" width="42.57"/>
    <col collapsed="false" customWidth="true" hidden="false" outlineLevel="0" max="5063" min="5063" style="70" width="3.29"/>
    <col collapsed="false" customWidth="true" hidden="false" outlineLevel="0" max="5064" min="5064" style="70" width="8"/>
    <col collapsed="false" customWidth="false" hidden="false" outlineLevel="0" max="5065" min="5065" style="70" width="42.57"/>
    <col collapsed="false" customWidth="true" hidden="false" outlineLevel="0" max="5066" min="5066" style="70" width="3.29"/>
    <col collapsed="false" customWidth="true" hidden="false" outlineLevel="0" max="5067" min="5067" style="70" width="8"/>
    <col collapsed="false" customWidth="false" hidden="false" outlineLevel="0" max="5068" min="5068" style="70" width="42.57"/>
    <col collapsed="false" customWidth="true" hidden="false" outlineLevel="0" max="5069" min="5069" style="70" width="3.29"/>
    <col collapsed="false" customWidth="true" hidden="false" outlineLevel="0" max="5070" min="5070" style="70" width="8"/>
    <col collapsed="false" customWidth="false" hidden="false" outlineLevel="0" max="5071" min="5071" style="70" width="42.57"/>
    <col collapsed="false" customWidth="true" hidden="false" outlineLevel="0" max="5072" min="5072" style="70" width="3.29"/>
    <col collapsed="false" customWidth="true" hidden="false" outlineLevel="0" max="5073" min="5073" style="70" width="8"/>
    <col collapsed="false" customWidth="false" hidden="false" outlineLevel="0" max="5074" min="5074" style="70" width="42.57"/>
    <col collapsed="false" customWidth="true" hidden="false" outlineLevel="0" max="5075" min="5075" style="70" width="3.29"/>
    <col collapsed="false" customWidth="true" hidden="false" outlineLevel="0" max="5076" min="5076" style="70" width="8"/>
    <col collapsed="false" customWidth="false" hidden="false" outlineLevel="0" max="5077" min="5077" style="70" width="42.57"/>
    <col collapsed="false" customWidth="true" hidden="false" outlineLevel="0" max="5078" min="5078" style="70" width="3.29"/>
    <col collapsed="false" customWidth="true" hidden="false" outlineLevel="0" max="5079" min="5079" style="70" width="8"/>
    <col collapsed="false" customWidth="false" hidden="false" outlineLevel="0" max="5080" min="5080" style="70" width="42.57"/>
    <col collapsed="false" customWidth="true" hidden="false" outlineLevel="0" max="5081" min="5081" style="70" width="3.29"/>
    <col collapsed="false" customWidth="true" hidden="false" outlineLevel="0" max="5082" min="5082" style="70" width="8"/>
    <col collapsed="false" customWidth="false" hidden="false" outlineLevel="0" max="5083" min="5083" style="70" width="42.57"/>
    <col collapsed="false" customWidth="true" hidden="false" outlineLevel="0" max="5084" min="5084" style="70" width="3.29"/>
    <col collapsed="false" customWidth="true" hidden="false" outlineLevel="0" max="5085" min="5085" style="70" width="8"/>
    <col collapsed="false" customWidth="false" hidden="false" outlineLevel="0" max="5086" min="5086" style="70" width="42.57"/>
    <col collapsed="false" customWidth="true" hidden="false" outlineLevel="0" max="5087" min="5087" style="70" width="3.29"/>
    <col collapsed="false" customWidth="true" hidden="false" outlineLevel="0" max="5088" min="5088" style="70" width="8"/>
    <col collapsed="false" customWidth="false" hidden="false" outlineLevel="0" max="5089" min="5089" style="70" width="42.57"/>
    <col collapsed="false" customWidth="true" hidden="false" outlineLevel="0" max="5090" min="5090" style="70" width="3.29"/>
    <col collapsed="false" customWidth="true" hidden="false" outlineLevel="0" max="5091" min="5091" style="70" width="8"/>
    <col collapsed="false" customWidth="false" hidden="false" outlineLevel="0" max="5092" min="5092" style="70" width="42.57"/>
    <col collapsed="false" customWidth="true" hidden="false" outlineLevel="0" max="5093" min="5093" style="70" width="3.29"/>
    <col collapsed="false" customWidth="true" hidden="false" outlineLevel="0" max="5094" min="5094" style="70" width="8"/>
    <col collapsed="false" customWidth="false" hidden="false" outlineLevel="0" max="5095" min="5095" style="70" width="42.57"/>
    <col collapsed="false" customWidth="true" hidden="false" outlineLevel="0" max="5096" min="5096" style="70" width="3.29"/>
    <col collapsed="false" customWidth="true" hidden="false" outlineLevel="0" max="5097" min="5097" style="70" width="8"/>
    <col collapsed="false" customWidth="false" hidden="false" outlineLevel="0" max="5098" min="5098" style="70" width="42.57"/>
    <col collapsed="false" customWidth="true" hidden="false" outlineLevel="0" max="5099" min="5099" style="70" width="3.29"/>
    <col collapsed="false" customWidth="true" hidden="false" outlineLevel="0" max="5100" min="5100" style="70" width="8"/>
    <col collapsed="false" customWidth="false" hidden="false" outlineLevel="0" max="5101" min="5101" style="70" width="42.57"/>
    <col collapsed="false" customWidth="true" hidden="false" outlineLevel="0" max="5102" min="5102" style="70" width="3.29"/>
    <col collapsed="false" customWidth="true" hidden="false" outlineLevel="0" max="5103" min="5103" style="70" width="8"/>
    <col collapsed="false" customWidth="false" hidden="false" outlineLevel="0" max="5104" min="5104" style="70" width="42.57"/>
    <col collapsed="false" customWidth="true" hidden="false" outlineLevel="0" max="5105" min="5105" style="70" width="3.29"/>
    <col collapsed="false" customWidth="true" hidden="false" outlineLevel="0" max="5106" min="5106" style="70" width="8"/>
    <col collapsed="false" customWidth="false" hidden="false" outlineLevel="0" max="5107" min="5107" style="70" width="42.57"/>
    <col collapsed="false" customWidth="true" hidden="false" outlineLevel="0" max="5108" min="5108" style="70" width="3.29"/>
    <col collapsed="false" customWidth="true" hidden="false" outlineLevel="0" max="5109" min="5109" style="70" width="8"/>
    <col collapsed="false" customWidth="false" hidden="false" outlineLevel="0" max="5110" min="5110" style="70" width="42.57"/>
    <col collapsed="false" customWidth="true" hidden="false" outlineLevel="0" max="5111" min="5111" style="70" width="3.29"/>
    <col collapsed="false" customWidth="true" hidden="false" outlineLevel="0" max="5112" min="5112" style="70" width="8"/>
    <col collapsed="false" customWidth="false" hidden="false" outlineLevel="0" max="5113" min="5113" style="70" width="42.57"/>
    <col collapsed="false" customWidth="true" hidden="false" outlineLevel="0" max="5114" min="5114" style="70" width="3.29"/>
    <col collapsed="false" customWidth="true" hidden="false" outlineLevel="0" max="5115" min="5115" style="70" width="8"/>
    <col collapsed="false" customWidth="false" hidden="false" outlineLevel="0" max="5116" min="5116" style="70" width="42.57"/>
    <col collapsed="false" customWidth="true" hidden="false" outlineLevel="0" max="5117" min="5117" style="70" width="3.29"/>
    <col collapsed="false" customWidth="true" hidden="false" outlineLevel="0" max="5118" min="5118" style="70" width="8"/>
    <col collapsed="false" customWidth="false" hidden="false" outlineLevel="0" max="5119" min="5119" style="70" width="42.57"/>
    <col collapsed="false" customWidth="true" hidden="false" outlineLevel="0" max="5120" min="5120" style="70" width="3.29"/>
    <col collapsed="false" customWidth="true" hidden="false" outlineLevel="0" max="5121" min="5121" style="70" width="8"/>
    <col collapsed="false" customWidth="false" hidden="false" outlineLevel="0" max="5122" min="5122" style="70" width="42.57"/>
    <col collapsed="false" customWidth="true" hidden="false" outlineLevel="0" max="5123" min="5123" style="70" width="3.29"/>
    <col collapsed="false" customWidth="true" hidden="false" outlineLevel="0" max="5124" min="5124" style="70" width="8"/>
    <col collapsed="false" customWidth="false" hidden="false" outlineLevel="0" max="5125" min="5125" style="70" width="42.57"/>
    <col collapsed="false" customWidth="true" hidden="false" outlineLevel="0" max="5126" min="5126" style="70" width="3.29"/>
    <col collapsed="false" customWidth="true" hidden="false" outlineLevel="0" max="5127" min="5127" style="70" width="8"/>
    <col collapsed="false" customWidth="false" hidden="false" outlineLevel="0" max="5128" min="5128" style="70" width="42.57"/>
    <col collapsed="false" customWidth="true" hidden="false" outlineLevel="0" max="5129" min="5129" style="70" width="3.29"/>
    <col collapsed="false" customWidth="true" hidden="false" outlineLevel="0" max="5130" min="5130" style="70" width="8"/>
    <col collapsed="false" customWidth="false" hidden="false" outlineLevel="0" max="5131" min="5131" style="70" width="42.57"/>
    <col collapsed="false" customWidth="true" hidden="false" outlineLevel="0" max="5132" min="5132" style="70" width="3.29"/>
    <col collapsed="false" customWidth="true" hidden="false" outlineLevel="0" max="5133" min="5133" style="70" width="8"/>
    <col collapsed="false" customWidth="false" hidden="false" outlineLevel="0" max="5134" min="5134" style="70" width="42.57"/>
    <col collapsed="false" customWidth="true" hidden="false" outlineLevel="0" max="5135" min="5135" style="70" width="3.29"/>
    <col collapsed="false" customWidth="true" hidden="false" outlineLevel="0" max="5136" min="5136" style="70" width="8"/>
    <col collapsed="false" customWidth="false" hidden="false" outlineLevel="0" max="5137" min="5137" style="70" width="42.57"/>
    <col collapsed="false" customWidth="true" hidden="false" outlineLevel="0" max="5138" min="5138" style="70" width="3.29"/>
    <col collapsed="false" customWidth="true" hidden="false" outlineLevel="0" max="5139" min="5139" style="70" width="8"/>
    <col collapsed="false" customWidth="false" hidden="false" outlineLevel="0" max="5140" min="5140" style="70" width="42.57"/>
    <col collapsed="false" customWidth="true" hidden="false" outlineLevel="0" max="5141" min="5141" style="70" width="3.29"/>
    <col collapsed="false" customWidth="true" hidden="false" outlineLevel="0" max="5142" min="5142" style="70" width="8"/>
    <col collapsed="false" customWidth="false" hidden="false" outlineLevel="0" max="5143" min="5143" style="70" width="42.57"/>
    <col collapsed="false" customWidth="true" hidden="false" outlineLevel="0" max="5144" min="5144" style="70" width="3.29"/>
    <col collapsed="false" customWidth="true" hidden="false" outlineLevel="0" max="5145" min="5145" style="70" width="8"/>
    <col collapsed="false" customWidth="false" hidden="false" outlineLevel="0" max="5146" min="5146" style="70" width="42.57"/>
    <col collapsed="false" customWidth="true" hidden="false" outlineLevel="0" max="5147" min="5147" style="70" width="3.29"/>
    <col collapsed="false" customWidth="true" hidden="false" outlineLevel="0" max="5148" min="5148" style="70" width="8"/>
    <col collapsed="false" customWidth="false" hidden="false" outlineLevel="0" max="5149" min="5149" style="70" width="42.57"/>
    <col collapsed="false" customWidth="true" hidden="false" outlineLevel="0" max="5150" min="5150" style="70" width="3.29"/>
    <col collapsed="false" customWidth="true" hidden="false" outlineLevel="0" max="5151" min="5151" style="70" width="8"/>
    <col collapsed="false" customWidth="false" hidden="false" outlineLevel="0" max="5152" min="5152" style="70" width="42.57"/>
    <col collapsed="false" customWidth="true" hidden="false" outlineLevel="0" max="5153" min="5153" style="70" width="3.29"/>
    <col collapsed="false" customWidth="true" hidden="false" outlineLevel="0" max="5154" min="5154" style="70" width="8"/>
    <col collapsed="false" customWidth="false" hidden="false" outlineLevel="0" max="5155" min="5155" style="70" width="42.57"/>
    <col collapsed="false" customWidth="true" hidden="false" outlineLevel="0" max="5156" min="5156" style="70" width="3.29"/>
    <col collapsed="false" customWidth="true" hidden="false" outlineLevel="0" max="5157" min="5157" style="70" width="8"/>
    <col collapsed="false" customWidth="false" hidden="false" outlineLevel="0" max="5158" min="5158" style="70" width="42.57"/>
    <col collapsed="false" customWidth="true" hidden="false" outlineLevel="0" max="5159" min="5159" style="70" width="3.29"/>
    <col collapsed="false" customWidth="true" hidden="false" outlineLevel="0" max="5160" min="5160" style="70" width="8"/>
    <col collapsed="false" customWidth="false" hidden="false" outlineLevel="0" max="5161" min="5161" style="70" width="42.57"/>
    <col collapsed="false" customWidth="true" hidden="false" outlineLevel="0" max="5162" min="5162" style="70" width="3.29"/>
    <col collapsed="false" customWidth="true" hidden="false" outlineLevel="0" max="5163" min="5163" style="70" width="8"/>
    <col collapsed="false" customWidth="false" hidden="false" outlineLevel="0" max="5164" min="5164" style="70" width="42.57"/>
    <col collapsed="false" customWidth="true" hidden="false" outlineLevel="0" max="5165" min="5165" style="70" width="3.29"/>
    <col collapsed="false" customWidth="true" hidden="false" outlineLevel="0" max="5166" min="5166" style="70" width="8"/>
    <col collapsed="false" customWidth="false" hidden="false" outlineLevel="0" max="5167" min="5167" style="70" width="42.57"/>
    <col collapsed="false" customWidth="true" hidden="false" outlineLevel="0" max="5168" min="5168" style="70" width="3.29"/>
    <col collapsed="false" customWidth="true" hidden="false" outlineLevel="0" max="5169" min="5169" style="70" width="8"/>
    <col collapsed="false" customWidth="false" hidden="false" outlineLevel="0" max="5170" min="5170" style="70" width="42.57"/>
    <col collapsed="false" customWidth="true" hidden="false" outlineLevel="0" max="5171" min="5171" style="70" width="3.29"/>
    <col collapsed="false" customWidth="true" hidden="false" outlineLevel="0" max="5172" min="5172" style="70" width="8"/>
    <col collapsed="false" customWidth="false" hidden="false" outlineLevel="0" max="5173" min="5173" style="70" width="42.57"/>
    <col collapsed="false" customWidth="true" hidden="false" outlineLevel="0" max="5174" min="5174" style="70" width="3.29"/>
    <col collapsed="false" customWidth="true" hidden="false" outlineLevel="0" max="5175" min="5175" style="70" width="8"/>
    <col collapsed="false" customWidth="false" hidden="false" outlineLevel="0" max="5176" min="5176" style="70" width="42.57"/>
    <col collapsed="false" customWidth="true" hidden="false" outlineLevel="0" max="5177" min="5177" style="70" width="3.29"/>
    <col collapsed="false" customWidth="true" hidden="false" outlineLevel="0" max="5178" min="5178" style="70" width="8"/>
    <col collapsed="false" customWidth="false" hidden="false" outlineLevel="0" max="5179" min="5179" style="70" width="42.57"/>
    <col collapsed="false" customWidth="true" hidden="false" outlineLevel="0" max="5180" min="5180" style="70" width="3.29"/>
    <col collapsed="false" customWidth="true" hidden="false" outlineLevel="0" max="5181" min="5181" style="70" width="8"/>
    <col collapsed="false" customWidth="false" hidden="false" outlineLevel="0" max="5182" min="5182" style="70" width="42.57"/>
    <col collapsed="false" customWidth="true" hidden="false" outlineLevel="0" max="5183" min="5183" style="70" width="3.29"/>
    <col collapsed="false" customWidth="true" hidden="false" outlineLevel="0" max="5184" min="5184" style="70" width="8"/>
    <col collapsed="false" customWidth="false" hidden="false" outlineLevel="0" max="5185" min="5185" style="70" width="42.57"/>
    <col collapsed="false" customWidth="true" hidden="false" outlineLevel="0" max="5186" min="5186" style="70" width="3.29"/>
    <col collapsed="false" customWidth="true" hidden="false" outlineLevel="0" max="5187" min="5187" style="70" width="8"/>
    <col collapsed="false" customWidth="false" hidden="false" outlineLevel="0" max="5188" min="5188" style="70" width="42.57"/>
    <col collapsed="false" customWidth="true" hidden="false" outlineLevel="0" max="5189" min="5189" style="70" width="3.29"/>
    <col collapsed="false" customWidth="true" hidden="false" outlineLevel="0" max="5190" min="5190" style="70" width="8"/>
    <col collapsed="false" customWidth="false" hidden="false" outlineLevel="0" max="5191" min="5191" style="70" width="42.57"/>
    <col collapsed="false" customWidth="true" hidden="false" outlineLevel="0" max="5192" min="5192" style="70" width="3.29"/>
    <col collapsed="false" customWidth="true" hidden="false" outlineLevel="0" max="5193" min="5193" style="70" width="8"/>
    <col collapsed="false" customWidth="false" hidden="false" outlineLevel="0" max="5194" min="5194" style="70" width="42.57"/>
    <col collapsed="false" customWidth="true" hidden="false" outlineLevel="0" max="5195" min="5195" style="70" width="3.29"/>
    <col collapsed="false" customWidth="true" hidden="false" outlineLevel="0" max="5196" min="5196" style="70" width="8"/>
    <col collapsed="false" customWidth="false" hidden="false" outlineLevel="0" max="5197" min="5197" style="70" width="42.57"/>
    <col collapsed="false" customWidth="true" hidden="false" outlineLevel="0" max="5198" min="5198" style="70" width="3.29"/>
    <col collapsed="false" customWidth="true" hidden="false" outlineLevel="0" max="5199" min="5199" style="70" width="8"/>
    <col collapsed="false" customWidth="false" hidden="false" outlineLevel="0" max="5200" min="5200" style="70" width="42.57"/>
    <col collapsed="false" customWidth="true" hidden="false" outlineLevel="0" max="5201" min="5201" style="70" width="3.29"/>
    <col collapsed="false" customWidth="true" hidden="false" outlineLevel="0" max="5202" min="5202" style="70" width="8"/>
    <col collapsed="false" customWidth="false" hidden="false" outlineLevel="0" max="5203" min="5203" style="70" width="42.57"/>
    <col collapsed="false" customWidth="true" hidden="false" outlineLevel="0" max="5204" min="5204" style="70" width="3.29"/>
    <col collapsed="false" customWidth="true" hidden="false" outlineLevel="0" max="5205" min="5205" style="70" width="8"/>
    <col collapsed="false" customWidth="false" hidden="false" outlineLevel="0" max="5206" min="5206" style="70" width="42.57"/>
    <col collapsed="false" customWidth="true" hidden="false" outlineLevel="0" max="5207" min="5207" style="70" width="3.29"/>
    <col collapsed="false" customWidth="true" hidden="false" outlineLevel="0" max="5208" min="5208" style="70" width="8"/>
    <col collapsed="false" customWidth="false" hidden="false" outlineLevel="0" max="5209" min="5209" style="70" width="42.57"/>
    <col collapsed="false" customWidth="true" hidden="false" outlineLevel="0" max="5210" min="5210" style="70" width="3.29"/>
    <col collapsed="false" customWidth="true" hidden="false" outlineLevel="0" max="5211" min="5211" style="70" width="8"/>
    <col collapsed="false" customWidth="false" hidden="false" outlineLevel="0" max="5212" min="5212" style="70" width="42.57"/>
    <col collapsed="false" customWidth="true" hidden="false" outlineLevel="0" max="5213" min="5213" style="70" width="3.29"/>
    <col collapsed="false" customWidth="true" hidden="false" outlineLevel="0" max="5214" min="5214" style="70" width="8"/>
    <col collapsed="false" customWidth="false" hidden="false" outlineLevel="0" max="5215" min="5215" style="70" width="42.57"/>
    <col collapsed="false" customWidth="true" hidden="false" outlineLevel="0" max="5216" min="5216" style="70" width="3.29"/>
    <col collapsed="false" customWidth="true" hidden="false" outlineLevel="0" max="5217" min="5217" style="70" width="8"/>
    <col collapsed="false" customWidth="false" hidden="false" outlineLevel="0" max="5218" min="5218" style="70" width="42.57"/>
    <col collapsed="false" customWidth="true" hidden="false" outlineLevel="0" max="5219" min="5219" style="70" width="3.29"/>
    <col collapsed="false" customWidth="true" hidden="false" outlineLevel="0" max="5220" min="5220" style="70" width="8"/>
    <col collapsed="false" customWidth="false" hidden="false" outlineLevel="0" max="5221" min="5221" style="70" width="42.57"/>
    <col collapsed="false" customWidth="true" hidden="false" outlineLevel="0" max="5222" min="5222" style="70" width="3.29"/>
    <col collapsed="false" customWidth="true" hidden="false" outlineLevel="0" max="5223" min="5223" style="70" width="8"/>
    <col collapsed="false" customWidth="false" hidden="false" outlineLevel="0" max="5224" min="5224" style="70" width="42.57"/>
    <col collapsed="false" customWidth="true" hidden="false" outlineLevel="0" max="5225" min="5225" style="70" width="3.29"/>
    <col collapsed="false" customWidth="true" hidden="false" outlineLevel="0" max="5226" min="5226" style="70" width="8"/>
    <col collapsed="false" customWidth="false" hidden="false" outlineLevel="0" max="5227" min="5227" style="70" width="42.57"/>
    <col collapsed="false" customWidth="true" hidden="false" outlineLevel="0" max="5228" min="5228" style="70" width="3.29"/>
    <col collapsed="false" customWidth="true" hidden="false" outlineLevel="0" max="5229" min="5229" style="70" width="8"/>
    <col collapsed="false" customWidth="false" hidden="false" outlineLevel="0" max="5230" min="5230" style="70" width="42.57"/>
    <col collapsed="false" customWidth="true" hidden="false" outlineLevel="0" max="5231" min="5231" style="70" width="3.29"/>
    <col collapsed="false" customWidth="true" hidden="false" outlineLevel="0" max="5232" min="5232" style="70" width="8"/>
    <col collapsed="false" customWidth="false" hidden="false" outlineLevel="0" max="5233" min="5233" style="70" width="42.57"/>
    <col collapsed="false" customWidth="true" hidden="false" outlineLevel="0" max="5234" min="5234" style="70" width="3.29"/>
    <col collapsed="false" customWidth="true" hidden="false" outlineLevel="0" max="5235" min="5235" style="70" width="8"/>
    <col collapsed="false" customWidth="false" hidden="false" outlineLevel="0" max="5236" min="5236" style="70" width="42.57"/>
    <col collapsed="false" customWidth="true" hidden="false" outlineLevel="0" max="5237" min="5237" style="70" width="3.29"/>
    <col collapsed="false" customWidth="true" hidden="false" outlineLevel="0" max="5238" min="5238" style="70" width="8"/>
    <col collapsed="false" customWidth="false" hidden="false" outlineLevel="0" max="5239" min="5239" style="70" width="42.57"/>
    <col collapsed="false" customWidth="true" hidden="false" outlineLevel="0" max="5240" min="5240" style="70" width="3.29"/>
    <col collapsed="false" customWidth="true" hidden="false" outlineLevel="0" max="5241" min="5241" style="70" width="8"/>
    <col collapsed="false" customWidth="false" hidden="false" outlineLevel="0" max="5242" min="5242" style="70" width="42.57"/>
    <col collapsed="false" customWidth="true" hidden="false" outlineLevel="0" max="5243" min="5243" style="70" width="3.29"/>
    <col collapsed="false" customWidth="true" hidden="false" outlineLevel="0" max="5244" min="5244" style="70" width="8"/>
    <col collapsed="false" customWidth="false" hidden="false" outlineLevel="0" max="5245" min="5245" style="70" width="42.57"/>
    <col collapsed="false" customWidth="true" hidden="false" outlineLevel="0" max="5246" min="5246" style="70" width="3.29"/>
    <col collapsed="false" customWidth="true" hidden="false" outlineLevel="0" max="5247" min="5247" style="70" width="8"/>
    <col collapsed="false" customWidth="false" hidden="false" outlineLevel="0" max="5248" min="5248" style="70" width="42.57"/>
    <col collapsed="false" customWidth="true" hidden="false" outlineLevel="0" max="5249" min="5249" style="70" width="3.29"/>
    <col collapsed="false" customWidth="true" hidden="false" outlineLevel="0" max="5250" min="5250" style="70" width="8"/>
    <col collapsed="false" customWidth="false" hidden="false" outlineLevel="0" max="5251" min="5251" style="70" width="42.57"/>
    <col collapsed="false" customWidth="true" hidden="false" outlineLevel="0" max="5252" min="5252" style="70" width="3.29"/>
    <col collapsed="false" customWidth="true" hidden="false" outlineLevel="0" max="5253" min="5253" style="70" width="8"/>
    <col collapsed="false" customWidth="false" hidden="false" outlineLevel="0" max="5254" min="5254" style="70" width="42.57"/>
    <col collapsed="false" customWidth="true" hidden="false" outlineLevel="0" max="5255" min="5255" style="70" width="3.29"/>
    <col collapsed="false" customWidth="true" hidden="false" outlineLevel="0" max="5256" min="5256" style="70" width="8"/>
    <col collapsed="false" customWidth="false" hidden="false" outlineLevel="0" max="5257" min="5257" style="70" width="42.57"/>
    <col collapsed="false" customWidth="true" hidden="false" outlineLevel="0" max="5258" min="5258" style="70" width="3.29"/>
    <col collapsed="false" customWidth="true" hidden="false" outlineLevel="0" max="5259" min="5259" style="70" width="8"/>
    <col collapsed="false" customWidth="false" hidden="false" outlineLevel="0" max="5260" min="5260" style="70" width="42.57"/>
    <col collapsed="false" customWidth="true" hidden="false" outlineLevel="0" max="5261" min="5261" style="70" width="3.29"/>
    <col collapsed="false" customWidth="true" hidden="false" outlineLevel="0" max="5262" min="5262" style="70" width="8"/>
    <col collapsed="false" customWidth="false" hidden="false" outlineLevel="0" max="5263" min="5263" style="70" width="42.57"/>
    <col collapsed="false" customWidth="true" hidden="false" outlineLevel="0" max="5264" min="5264" style="70" width="3.29"/>
    <col collapsed="false" customWidth="true" hidden="false" outlineLevel="0" max="5265" min="5265" style="70" width="8"/>
    <col collapsed="false" customWidth="false" hidden="false" outlineLevel="0" max="5266" min="5266" style="70" width="42.57"/>
    <col collapsed="false" customWidth="true" hidden="false" outlineLevel="0" max="5267" min="5267" style="70" width="3.29"/>
    <col collapsed="false" customWidth="true" hidden="false" outlineLevel="0" max="5268" min="5268" style="70" width="8"/>
    <col collapsed="false" customWidth="false" hidden="false" outlineLevel="0" max="5269" min="5269" style="70" width="42.57"/>
    <col collapsed="false" customWidth="true" hidden="false" outlineLevel="0" max="5270" min="5270" style="70" width="3.29"/>
    <col collapsed="false" customWidth="true" hidden="false" outlineLevel="0" max="5271" min="5271" style="70" width="8"/>
    <col collapsed="false" customWidth="false" hidden="false" outlineLevel="0" max="5272" min="5272" style="70" width="42.57"/>
    <col collapsed="false" customWidth="true" hidden="false" outlineLevel="0" max="5273" min="5273" style="70" width="3.29"/>
    <col collapsed="false" customWidth="true" hidden="false" outlineLevel="0" max="5274" min="5274" style="70" width="8"/>
    <col collapsed="false" customWidth="false" hidden="false" outlineLevel="0" max="5275" min="5275" style="70" width="42.57"/>
    <col collapsed="false" customWidth="true" hidden="false" outlineLevel="0" max="5276" min="5276" style="70" width="3.29"/>
    <col collapsed="false" customWidth="true" hidden="false" outlineLevel="0" max="5277" min="5277" style="70" width="8"/>
    <col collapsed="false" customWidth="false" hidden="false" outlineLevel="0" max="5278" min="5278" style="70" width="42.57"/>
    <col collapsed="false" customWidth="true" hidden="false" outlineLevel="0" max="5279" min="5279" style="70" width="3.29"/>
    <col collapsed="false" customWidth="true" hidden="false" outlineLevel="0" max="5280" min="5280" style="70" width="8"/>
    <col collapsed="false" customWidth="false" hidden="false" outlineLevel="0" max="5281" min="5281" style="70" width="42.57"/>
    <col collapsed="false" customWidth="true" hidden="false" outlineLevel="0" max="5282" min="5282" style="70" width="3.29"/>
    <col collapsed="false" customWidth="true" hidden="false" outlineLevel="0" max="5283" min="5283" style="70" width="8"/>
    <col collapsed="false" customWidth="false" hidden="false" outlineLevel="0" max="5284" min="5284" style="70" width="42.57"/>
    <col collapsed="false" customWidth="true" hidden="false" outlineLevel="0" max="5285" min="5285" style="70" width="3.29"/>
    <col collapsed="false" customWidth="true" hidden="false" outlineLevel="0" max="5286" min="5286" style="70" width="8"/>
    <col collapsed="false" customWidth="false" hidden="false" outlineLevel="0" max="5287" min="5287" style="70" width="42.57"/>
    <col collapsed="false" customWidth="true" hidden="false" outlineLevel="0" max="5288" min="5288" style="70" width="3.29"/>
    <col collapsed="false" customWidth="true" hidden="false" outlineLevel="0" max="5289" min="5289" style="70" width="8"/>
    <col collapsed="false" customWidth="false" hidden="false" outlineLevel="0" max="5290" min="5290" style="70" width="42.57"/>
    <col collapsed="false" customWidth="true" hidden="false" outlineLevel="0" max="5291" min="5291" style="70" width="3.29"/>
    <col collapsed="false" customWidth="true" hidden="false" outlineLevel="0" max="5292" min="5292" style="70" width="8"/>
    <col collapsed="false" customWidth="false" hidden="false" outlineLevel="0" max="5293" min="5293" style="70" width="42.57"/>
    <col collapsed="false" customWidth="true" hidden="false" outlineLevel="0" max="5294" min="5294" style="70" width="3.29"/>
    <col collapsed="false" customWidth="true" hidden="false" outlineLevel="0" max="5295" min="5295" style="70" width="8"/>
    <col collapsed="false" customWidth="false" hidden="false" outlineLevel="0" max="5296" min="5296" style="70" width="42.57"/>
    <col collapsed="false" customWidth="true" hidden="false" outlineLevel="0" max="5297" min="5297" style="70" width="3.29"/>
    <col collapsed="false" customWidth="true" hidden="false" outlineLevel="0" max="5298" min="5298" style="70" width="8"/>
    <col collapsed="false" customWidth="false" hidden="false" outlineLevel="0" max="5299" min="5299" style="70" width="42.57"/>
    <col collapsed="false" customWidth="true" hidden="false" outlineLevel="0" max="5300" min="5300" style="70" width="3.29"/>
    <col collapsed="false" customWidth="true" hidden="false" outlineLevel="0" max="5301" min="5301" style="70" width="8"/>
    <col collapsed="false" customWidth="false" hidden="false" outlineLevel="0" max="5302" min="5302" style="70" width="42.57"/>
    <col collapsed="false" customWidth="true" hidden="false" outlineLevel="0" max="5303" min="5303" style="70" width="3.29"/>
    <col collapsed="false" customWidth="true" hidden="false" outlineLevel="0" max="5304" min="5304" style="70" width="8"/>
    <col collapsed="false" customWidth="false" hidden="false" outlineLevel="0" max="5305" min="5305" style="70" width="42.57"/>
    <col collapsed="false" customWidth="true" hidden="false" outlineLevel="0" max="5306" min="5306" style="70" width="3.29"/>
    <col collapsed="false" customWidth="true" hidden="false" outlineLevel="0" max="5307" min="5307" style="70" width="8"/>
    <col collapsed="false" customWidth="false" hidden="false" outlineLevel="0" max="5308" min="5308" style="70" width="42.57"/>
    <col collapsed="false" customWidth="true" hidden="false" outlineLevel="0" max="5309" min="5309" style="70" width="3.29"/>
    <col collapsed="false" customWidth="true" hidden="false" outlineLevel="0" max="5310" min="5310" style="70" width="8"/>
    <col collapsed="false" customWidth="false" hidden="false" outlineLevel="0" max="5311" min="5311" style="70" width="42.57"/>
    <col collapsed="false" customWidth="true" hidden="false" outlineLevel="0" max="5312" min="5312" style="70" width="3.29"/>
    <col collapsed="false" customWidth="true" hidden="false" outlineLevel="0" max="5313" min="5313" style="70" width="8"/>
    <col collapsed="false" customWidth="false" hidden="false" outlineLevel="0" max="5314" min="5314" style="70" width="42.57"/>
    <col collapsed="false" customWidth="true" hidden="false" outlineLevel="0" max="5315" min="5315" style="70" width="3.29"/>
    <col collapsed="false" customWidth="true" hidden="false" outlineLevel="0" max="5316" min="5316" style="70" width="8"/>
    <col collapsed="false" customWidth="false" hidden="false" outlineLevel="0" max="5317" min="5317" style="70" width="42.57"/>
    <col collapsed="false" customWidth="true" hidden="false" outlineLevel="0" max="5318" min="5318" style="70" width="3.29"/>
    <col collapsed="false" customWidth="true" hidden="false" outlineLevel="0" max="5319" min="5319" style="70" width="8"/>
    <col collapsed="false" customWidth="false" hidden="false" outlineLevel="0" max="5320" min="5320" style="70" width="42.57"/>
    <col collapsed="false" customWidth="true" hidden="false" outlineLevel="0" max="5321" min="5321" style="70" width="3.29"/>
    <col collapsed="false" customWidth="true" hidden="false" outlineLevel="0" max="5322" min="5322" style="70" width="8"/>
    <col collapsed="false" customWidth="false" hidden="false" outlineLevel="0" max="5323" min="5323" style="70" width="42.57"/>
    <col collapsed="false" customWidth="true" hidden="false" outlineLevel="0" max="5324" min="5324" style="70" width="3.29"/>
    <col collapsed="false" customWidth="true" hidden="false" outlineLevel="0" max="5325" min="5325" style="70" width="8"/>
    <col collapsed="false" customWidth="false" hidden="false" outlineLevel="0" max="5326" min="5326" style="70" width="42.57"/>
    <col collapsed="false" customWidth="true" hidden="false" outlineLevel="0" max="5327" min="5327" style="70" width="3.29"/>
    <col collapsed="false" customWidth="true" hidden="false" outlineLevel="0" max="5328" min="5328" style="70" width="8"/>
    <col collapsed="false" customWidth="false" hidden="false" outlineLevel="0" max="5329" min="5329" style="70" width="42.57"/>
    <col collapsed="false" customWidth="true" hidden="false" outlineLevel="0" max="5330" min="5330" style="70" width="3.29"/>
    <col collapsed="false" customWidth="true" hidden="false" outlineLevel="0" max="5331" min="5331" style="70" width="8"/>
    <col collapsed="false" customWidth="false" hidden="false" outlineLevel="0" max="5332" min="5332" style="70" width="42.57"/>
    <col collapsed="false" customWidth="true" hidden="false" outlineLevel="0" max="5333" min="5333" style="70" width="3.29"/>
    <col collapsed="false" customWidth="true" hidden="false" outlineLevel="0" max="5334" min="5334" style="70" width="8"/>
    <col collapsed="false" customWidth="false" hidden="false" outlineLevel="0" max="5335" min="5335" style="70" width="42.57"/>
    <col collapsed="false" customWidth="true" hidden="false" outlineLevel="0" max="5336" min="5336" style="70" width="3.29"/>
    <col collapsed="false" customWidth="true" hidden="false" outlineLevel="0" max="5337" min="5337" style="70" width="8"/>
    <col collapsed="false" customWidth="false" hidden="false" outlineLevel="0" max="5338" min="5338" style="70" width="42.57"/>
    <col collapsed="false" customWidth="true" hidden="false" outlineLevel="0" max="5339" min="5339" style="70" width="3.29"/>
    <col collapsed="false" customWidth="true" hidden="false" outlineLevel="0" max="5340" min="5340" style="70" width="8"/>
    <col collapsed="false" customWidth="false" hidden="false" outlineLevel="0" max="5341" min="5341" style="70" width="42.57"/>
    <col collapsed="false" customWidth="true" hidden="false" outlineLevel="0" max="5342" min="5342" style="70" width="3.29"/>
    <col collapsed="false" customWidth="true" hidden="false" outlineLevel="0" max="5343" min="5343" style="70" width="8"/>
    <col collapsed="false" customWidth="false" hidden="false" outlineLevel="0" max="5344" min="5344" style="70" width="42.57"/>
    <col collapsed="false" customWidth="true" hidden="false" outlineLevel="0" max="5345" min="5345" style="70" width="3.29"/>
    <col collapsed="false" customWidth="true" hidden="false" outlineLevel="0" max="5346" min="5346" style="70" width="8"/>
    <col collapsed="false" customWidth="false" hidden="false" outlineLevel="0" max="5347" min="5347" style="70" width="42.57"/>
    <col collapsed="false" customWidth="true" hidden="false" outlineLevel="0" max="5348" min="5348" style="70" width="3.29"/>
    <col collapsed="false" customWidth="true" hidden="false" outlineLevel="0" max="5349" min="5349" style="70" width="8"/>
    <col collapsed="false" customWidth="false" hidden="false" outlineLevel="0" max="5350" min="5350" style="70" width="42.57"/>
    <col collapsed="false" customWidth="true" hidden="false" outlineLevel="0" max="5351" min="5351" style="70" width="3.29"/>
    <col collapsed="false" customWidth="true" hidden="false" outlineLevel="0" max="5352" min="5352" style="70" width="8"/>
    <col collapsed="false" customWidth="false" hidden="false" outlineLevel="0" max="5353" min="5353" style="70" width="42.57"/>
    <col collapsed="false" customWidth="true" hidden="false" outlineLevel="0" max="5354" min="5354" style="70" width="3.29"/>
    <col collapsed="false" customWidth="true" hidden="false" outlineLevel="0" max="5355" min="5355" style="70" width="8"/>
    <col collapsed="false" customWidth="false" hidden="false" outlineLevel="0" max="5356" min="5356" style="70" width="42.57"/>
    <col collapsed="false" customWidth="true" hidden="false" outlineLevel="0" max="5357" min="5357" style="70" width="3.29"/>
    <col collapsed="false" customWidth="true" hidden="false" outlineLevel="0" max="5358" min="5358" style="70" width="8"/>
    <col collapsed="false" customWidth="false" hidden="false" outlineLevel="0" max="5359" min="5359" style="70" width="42.57"/>
    <col collapsed="false" customWidth="true" hidden="false" outlineLevel="0" max="5360" min="5360" style="70" width="3.29"/>
    <col collapsed="false" customWidth="true" hidden="false" outlineLevel="0" max="5361" min="5361" style="70" width="8"/>
    <col collapsed="false" customWidth="false" hidden="false" outlineLevel="0" max="5362" min="5362" style="70" width="42.57"/>
    <col collapsed="false" customWidth="true" hidden="false" outlineLevel="0" max="5363" min="5363" style="70" width="3.29"/>
    <col collapsed="false" customWidth="true" hidden="false" outlineLevel="0" max="5364" min="5364" style="70" width="8"/>
    <col collapsed="false" customWidth="false" hidden="false" outlineLevel="0" max="5365" min="5365" style="70" width="42.57"/>
    <col collapsed="false" customWidth="true" hidden="false" outlineLevel="0" max="5366" min="5366" style="70" width="3.29"/>
    <col collapsed="false" customWidth="true" hidden="false" outlineLevel="0" max="5367" min="5367" style="70" width="8"/>
    <col collapsed="false" customWidth="false" hidden="false" outlineLevel="0" max="5368" min="5368" style="70" width="42.57"/>
    <col collapsed="false" customWidth="true" hidden="false" outlineLevel="0" max="5369" min="5369" style="70" width="3.29"/>
    <col collapsed="false" customWidth="true" hidden="false" outlineLevel="0" max="5370" min="5370" style="70" width="8"/>
    <col collapsed="false" customWidth="false" hidden="false" outlineLevel="0" max="5371" min="5371" style="70" width="42.57"/>
    <col collapsed="false" customWidth="true" hidden="false" outlineLevel="0" max="5372" min="5372" style="70" width="3.29"/>
    <col collapsed="false" customWidth="true" hidden="false" outlineLevel="0" max="5373" min="5373" style="70" width="8"/>
    <col collapsed="false" customWidth="false" hidden="false" outlineLevel="0" max="5374" min="5374" style="70" width="42.57"/>
    <col collapsed="false" customWidth="true" hidden="false" outlineLevel="0" max="5375" min="5375" style="70" width="3.29"/>
    <col collapsed="false" customWidth="true" hidden="false" outlineLevel="0" max="5376" min="5376" style="70" width="8"/>
    <col collapsed="false" customWidth="false" hidden="false" outlineLevel="0" max="5377" min="5377" style="70" width="42.57"/>
    <col collapsed="false" customWidth="true" hidden="false" outlineLevel="0" max="5378" min="5378" style="70" width="3.29"/>
    <col collapsed="false" customWidth="true" hidden="false" outlineLevel="0" max="5379" min="5379" style="70" width="8"/>
    <col collapsed="false" customWidth="false" hidden="false" outlineLevel="0" max="5380" min="5380" style="70" width="42.57"/>
    <col collapsed="false" customWidth="true" hidden="false" outlineLevel="0" max="5381" min="5381" style="70" width="3.29"/>
    <col collapsed="false" customWidth="true" hidden="false" outlineLevel="0" max="5382" min="5382" style="70" width="8"/>
    <col collapsed="false" customWidth="false" hidden="false" outlineLevel="0" max="5383" min="5383" style="70" width="42.57"/>
    <col collapsed="false" customWidth="true" hidden="false" outlineLevel="0" max="5384" min="5384" style="70" width="3.29"/>
    <col collapsed="false" customWidth="true" hidden="false" outlineLevel="0" max="5385" min="5385" style="70" width="8"/>
    <col collapsed="false" customWidth="false" hidden="false" outlineLevel="0" max="5386" min="5386" style="70" width="42.57"/>
    <col collapsed="false" customWidth="true" hidden="false" outlineLevel="0" max="5387" min="5387" style="70" width="3.29"/>
    <col collapsed="false" customWidth="true" hidden="false" outlineLevel="0" max="5388" min="5388" style="70" width="8"/>
    <col collapsed="false" customWidth="false" hidden="false" outlineLevel="0" max="5389" min="5389" style="70" width="42.57"/>
    <col collapsed="false" customWidth="true" hidden="false" outlineLevel="0" max="5390" min="5390" style="70" width="3.29"/>
    <col collapsed="false" customWidth="true" hidden="false" outlineLevel="0" max="5391" min="5391" style="70" width="8"/>
    <col collapsed="false" customWidth="false" hidden="false" outlineLevel="0" max="5392" min="5392" style="70" width="42.57"/>
    <col collapsed="false" customWidth="true" hidden="false" outlineLevel="0" max="5393" min="5393" style="70" width="3.29"/>
    <col collapsed="false" customWidth="true" hidden="false" outlineLevel="0" max="5394" min="5394" style="70" width="8"/>
    <col collapsed="false" customWidth="false" hidden="false" outlineLevel="0" max="5395" min="5395" style="70" width="42.57"/>
    <col collapsed="false" customWidth="true" hidden="false" outlineLevel="0" max="5396" min="5396" style="70" width="3.29"/>
    <col collapsed="false" customWidth="true" hidden="false" outlineLevel="0" max="5397" min="5397" style="70" width="8"/>
    <col collapsed="false" customWidth="false" hidden="false" outlineLevel="0" max="5398" min="5398" style="70" width="42.57"/>
    <col collapsed="false" customWidth="true" hidden="false" outlineLevel="0" max="5399" min="5399" style="70" width="3.29"/>
    <col collapsed="false" customWidth="true" hidden="false" outlineLevel="0" max="5400" min="5400" style="70" width="8"/>
    <col collapsed="false" customWidth="false" hidden="false" outlineLevel="0" max="5401" min="5401" style="70" width="42.57"/>
    <col collapsed="false" customWidth="true" hidden="false" outlineLevel="0" max="5402" min="5402" style="70" width="3.29"/>
    <col collapsed="false" customWidth="true" hidden="false" outlineLevel="0" max="5403" min="5403" style="70" width="8"/>
    <col collapsed="false" customWidth="false" hidden="false" outlineLevel="0" max="5404" min="5404" style="70" width="42.57"/>
    <col collapsed="false" customWidth="true" hidden="false" outlineLevel="0" max="5405" min="5405" style="70" width="3.29"/>
    <col collapsed="false" customWidth="true" hidden="false" outlineLevel="0" max="5406" min="5406" style="70" width="8"/>
    <col collapsed="false" customWidth="false" hidden="false" outlineLevel="0" max="5407" min="5407" style="70" width="42.57"/>
    <col collapsed="false" customWidth="true" hidden="false" outlineLevel="0" max="5408" min="5408" style="70" width="3.29"/>
    <col collapsed="false" customWidth="true" hidden="false" outlineLevel="0" max="5409" min="5409" style="70" width="8"/>
    <col collapsed="false" customWidth="false" hidden="false" outlineLevel="0" max="5410" min="5410" style="70" width="42.57"/>
    <col collapsed="false" customWidth="true" hidden="false" outlineLevel="0" max="5411" min="5411" style="70" width="3.29"/>
    <col collapsed="false" customWidth="true" hidden="false" outlineLevel="0" max="5412" min="5412" style="70" width="8"/>
    <col collapsed="false" customWidth="false" hidden="false" outlineLevel="0" max="5413" min="5413" style="70" width="42.57"/>
    <col collapsed="false" customWidth="true" hidden="false" outlineLevel="0" max="5414" min="5414" style="70" width="3.29"/>
    <col collapsed="false" customWidth="true" hidden="false" outlineLevel="0" max="5415" min="5415" style="70" width="8"/>
    <col collapsed="false" customWidth="false" hidden="false" outlineLevel="0" max="5416" min="5416" style="70" width="42.57"/>
    <col collapsed="false" customWidth="true" hidden="false" outlineLevel="0" max="5417" min="5417" style="70" width="3.29"/>
    <col collapsed="false" customWidth="true" hidden="false" outlineLevel="0" max="5418" min="5418" style="70" width="8"/>
    <col collapsed="false" customWidth="false" hidden="false" outlineLevel="0" max="5419" min="5419" style="70" width="42.57"/>
    <col collapsed="false" customWidth="true" hidden="false" outlineLevel="0" max="5420" min="5420" style="70" width="3.29"/>
    <col collapsed="false" customWidth="true" hidden="false" outlineLevel="0" max="5421" min="5421" style="70" width="8"/>
    <col collapsed="false" customWidth="false" hidden="false" outlineLevel="0" max="5422" min="5422" style="70" width="42.57"/>
    <col collapsed="false" customWidth="true" hidden="false" outlineLevel="0" max="5423" min="5423" style="70" width="3.29"/>
    <col collapsed="false" customWidth="true" hidden="false" outlineLevel="0" max="5424" min="5424" style="70" width="8"/>
    <col collapsed="false" customWidth="false" hidden="false" outlineLevel="0" max="5425" min="5425" style="70" width="42.57"/>
    <col collapsed="false" customWidth="true" hidden="false" outlineLevel="0" max="5426" min="5426" style="70" width="3.29"/>
    <col collapsed="false" customWidth="true" hidden="false" outlineLevel="0" max="5427" min="5427" style="70" width="8"/>
    <col collapsed="false" customWidth="false" hidden="false" outlineLevel="0" max="5428" min="5428" style="70" width="42.57"/>
    <col collapsed="false" customWidth="true" hidden="false" outlineLevel="0" max="5429" min="5429" style="70" width="3.29"/>
    <col collapsed="false" customWidth="true" hidden="false" outlineLevel="0" max="5430" min="5430" style="70" width="8"/>
    <col collapsed="false" customWidth="false" hidden="false" outlineLevel="0" max="5431" min="5431" style="70" width="42.57"/>
    <col collapsed="false" customWidth="true" hidden="false" outlineLevel="0" max="5432" min="5432" style="70" width="3.29"/>
    <col collapsed="false" customWidth="true" hidden="false" outlineLevel="0" max="5433" min="5433" style="70" width="8"/>
    <col collapsed="false" customWidth="false" hidden="false" outlineLevel="0" max="5434" min="5434" style="70" width="42.57"/>
    <col collapsed="false" customWidth="true" hidden="false" outlineLevel="0" max="5435" min="5435" style="70" width="3.29"/>
    <col collapsed="false" customWidth="true" hidden="false" outlineLevel="0" max="5436" min="5436" style="70" width="8"/>
    <col collapsed="false" customWidth="false" hidden="false" outlineLevel="0" max="5437" min="5437" style="70" width="42.57"/>
    <col collapsed="false" customWidth="true" hidden="false" outlineLevel="0" max="5438" min="5438" style="70" width="3.29"/>
    <col collapsed="false" customWidth="true" hidden="false" outlineLevel="0" max="5439" min="5439" style="70" width="8"/>
    <col collapsed="false" customWidth="false" hidden="false" outlineLevel="0" max="5440" min="5440" style="70" width="42.57"/>
    <col collapsed="false" customWidth="true" hidden="false" outlineLevel="0" max="5441" min="5441" style="70" width="3.29"/>
    <col collapsed="false" customWidth="true" hidden="false" outlineLevel="0" max="5442" min="5442" style="70" width="8"/>
    <col collapsed="false" customWidth="false" hidden="false" outlineLevel="0" max="5443" min="5443" style="70" width="42.57"/>
    <col collapsed="false" customWidth="true" hidden="false" outlineLevel="0" max="5444" min="5444" style="70" width="3.29"/>
    <col collapsed="false" customWidth="true" hidden="false" outlineLevel="0" max="5445" min="5445" style="70" width="8"/>
    <col collapsed="false" customWidth="false" hidden="false" outlineLevel="0" max="5446" min="5446" style="70" width="42.57"/>
    <col collapsed="false" customWidth="true" hidden="false" outlineLevel="0" max="5447" min="5447" style="70" width="3.29"/>
    <col collapsed="false" customWidth="true" hidden="false" outlineLevel="0" max="5448" min="5448" style="70" width="8"/>
    <col collapsed="false" customWidth="false" hidden="false" outlineLevel="0" max="5449" min="5449" style="70" width="42.57"/>
    <col collapsed="false" customWidth="true" hidden="false" outlineLevel="0" max="5450" min="5450" style="70" width="3.29"/>
    <col collapsed="false" customWidth="true" hidden="false" outlineLevel="0" max="5451" min="5451" style="70" width="8"/>
    <col collapsed="false" customWidth="false" hidden="false" outlineLevel="0" max="5452" min="5452" style="70" width="42.57"/>
    <col collapsed="false" customWidth="true" hidden="false" outlineLevel="0" max="5453" min="5453" style="70" width="3.29"/>
    <col collapsed="false" customWidth="true" hidden="false" outlineLevel="0" max="5454" min="5454" style="70" width="8"/>
    <col collapsed="false" customWidth="false" hidden="false" outlineLevel="0" max="5455" min="5455" style="70" width="42.57"/>
    <col collapsed="false" customWidth="true" hidden="false" outlineLevel="0" max="5456" min="5456" style="70" width="3.29"/>
    <col collapsed="false" customWidth="true" hidden="false" outlineLevel="0" max="5457" min="5457" style="70" width="8"/>
    <col collapsed="false" customWidth="false" hidden="false" outlineLevel="0" max="5458" min="5458" style="70" width="42.57"/>
    <col collapsed="false" customWidth="true" hidden="false" outlineLevel="0" max="5459" min="5459" style="70" width="3.29"/>
    <col collapsed="false" customWidth="true" hidden="false" outlineLevel="0" max="5460" min="5460" style="70" width="8"/>
    <col collapsed="false" customWidth="false" hidden="false" outlineLevel="0" max="5461" min="5461" style="70" width="42.57"/>
    <col collapsed="false" customWidth="true" hidden="false" outlineLevel="0" max="5462" min="5462" style="70" width="3.29"/>
    <col collapsed="false" customWidth="true" hidden="false" outlineLevel="0" max="5463" min="5463" style="70" width="8"/>
    <col collapsed="false" customWidth="false" hidden="false" outlineLevel="0" max="5464" min="5464" style="70" width="42.57"/>
    <col collapsed="false" customWidth="true" hidden="false" outlineLevel="0" max="5465" min="5465" style="70" width="3.29"/>
    <col collapsed="false" customWidth="true" hidden="false" outlineLevel="0" max="5466" min="5466" style="70" width="8"/>
    <col collapsed="false" customWidth="false" hidden="false" outlineLevel="0" max="5467" min="5467" style="70" width="42.57"/>
    <col collapsed="false" customWidth="true" hidden="false" outlineLevel="0" max="5468" min="5468" style="70" width="3.29"/>
    <col collapsed="false" customWidth="true" hidden="false" outlineLevel="0" max="5469" min="5469" style="70" width="8"/>
    <col collapsed="false" customWidth="false" hidden="false" outlineLevel="0" max="5470" min="5470" style="70" width="42.57"/>
    <col collapsed="false" customWidth="true" hidden="false" outlineLevel="0" max="5471" min="5471" style="70" width="3.29"/>
    <col collapsed="false" customWidth="true" hidden="false" outlineLevel="0" max="5472" min="5472" style="70" width="8"/>
    <col collapsed="false" customWidth="false" hidden="false" outlineLevel="0" max="5473" min="5473" style="70" width="42.57"/>
    <col collapsed="false" customWidth="true" hidden="false" outlineLevel="0" max="5474" min="5474" style="70" width="3.29"/>
    <col collapsed="false" customWidth="true" hidden="false" outlineLevel="0" max="5475" min="5475" style="70" width="8"/>
    <col collapsed="false" customWidth="false" hidden="false" outlineLevel="0" max="5476" min="5476" style="70" width="42.57"/>
    <col collapsed="false" customWidth="true" hidden="false" outlineLevel="0" max="5477" min="5477" style="70" width="3.29"/>
    <col collapsed="false" customWidth="true" hidden="false" outlineLevel="0" max="5478" min="5478" style="70" width="8"/>
    <col collapsed="false" customWidth="false" hidden="false" outlineLevel="0" max="5479" min="5479" style="70" width="42.57"/>
    <col collapsed="false" customWidth="true" hidden="false" outlineLevel="0" max="5480" min="5480" style="70" width="3.29"/>
    <col collapsed="false" customWidth="true" hidden="false" outlineLevel="0" max="5481" min="5481" style="70" width="8"/>
    <col collapsed="false" customWidth="false" hidden="false" outlineLevel="0" max="5482" min="5482" style="70" width="42.57"/>
    <col collapsed="false" customWidth="true" hidden="false" outlineLevel="0" max="5483" min="5483" style="70" width="3.29"/>
    <col collapsed="false" customWidth="true" hidden="false" outlineLevel="0" max="5484" min="5484" style="70" width="8"/>
    <col collapsed="false" customWidth="false" hidden="false" outlineLevel="0" max="5485" min="5485" style="70" width="42.57"/>
    <col collapsed="false" customWidth="true" hidden="false" outlineLevel="0" max="5486" min="5486" style="70" width="3.29"/>
    <col collapsed="false" customWidth="true" hidden="false" outlineLevel="0" max="5487" min="5487" style="70" width="8"/>
    <col collapsed="false" customWidth="false" hidden="false" outlineLevel="0" max="5488" min="5488" style="70" width="42.57"/>
    <col collapsed="false" customWidth="true" hidden="false" outlineLevel="0" max="5489" min="5489" style="70" width="3.29"/>
    <col collapsed="false" customWidth="true" hidden="false" outlineLevel="0" max="5490" min="5490" style="70" width="8"/>
    <col collapsed="false" customWidth="false" hidden="false" outlineLevel="0" max="5491" min="5491" style="70" width="42.57"/>
    <col collapsed="false" customWidth="true" hidden="false" outlineLevel="0" max="5492" min="5492" style="70" width="3.29"/>
    <col collapsed="false" customWidth="true" hidden="false" outlineLevel="0" max="5493" min="5493" style="70" width="8"/>
    <col collapsed="false" customWidth="false" hidden="false" outlineLevel="0" max="5494" min="5494" style="70" width="42.57"/>
    <col collapsed="false" customWidth="true" hidden="false" outlineLevel="0" max="5495" min="5495" style="70" width="3.29"/>
    <col collapsed="false" customWidth="true" hidden="false" outlineLevel="0" max="5496" min="5496" style="70" width="8"/>
    <col collapsed="false" customWidth="false" hidden="false" outlineLevel="0" max="5497" min="5497" style="70" width="42.57"/>
    <col collapsed="false" customWidth="true" hidden="false" outlineLevel="0" max="5498" min="5498" style="70" width="3.29"/>
    <col collapsed="false" customWidth="true" hidden="false" outlineLevel="0" max="5499" min="5499" style="70" width="8"/>
    <col collapsed="false" customWidth="false" hidden="false" outlineLevel="0" max="5500" min="5500" style="70" width="42.57"/>
    <col collapsed="false" customWidth="true" hidden="false" outlineLevel="0" max="5501" min="5501" style="70" width="3.29"/>
    <col collapsed="false" customWidth="true" hidden="false" outlineLevel="0" max="5502" min="5502" style="70" width="8"/>
    <col collapsed="false" customWidth="false" hidden="false" outlineLevel="0" max="5503" min="5503" style="70" width="42.57"/>
    <col collapsed="false" customWidth="true" hidden="false" outlineLevel="0" max="5504" min="5504" style="70" width="3.29"/>
    <col collapsed="false" customWidth="true" hidden="false" outlineLevel="0" max="5505" min="5505" style="70" width="8"/>
    <col collapsed="false" customWidth="false" hidden="false" outlineLevel="0" max="5506" min="5506" style="70" width="42.57"/>
    <col collapsed="false" customWidth="true" hidden="false" outlineLevel="0" max="5507" min="5507" style="70" width="3.29"/>
    <col collapsed="false" customWidth="true" hidden="false" outlineLevel="0" max="5508" min="5508" style="70" width="8"/>
    <col collapsed="false" customWidth="false" hidden="false" outlineLevel="0" max="5509" min="5509" style="70" width="42.57"/>
    <col collapsed="false" customWidth="true" hidden="false" outlineLevel="0" max="5510" min="5510" style="70" width="3.29"/>
    <col collapsed="false" customWidth="true" hidden="false" outlineLevel="0" max="5511" min="5511" style="70" width="8"/>
    <col collapsed="false" customWidth="false" hidden="false" outlineLevel="0" max="5512" min="5512" style="70" width="42.57"/>
    <col collapsed="false" customWidth="true" hidden="false" outlineLevel="0" max="5513" min="5513" style="70" width="3.29"/>
    <col collapsed="false" customWidth="true" hidden="false" outlineLevel="0" max="5514" min="5514" style="70" width="8"/>
    <col collapsed="false" customWidth="false" hidden="false" outlineLevel="0" max="5515" min="5515" style="70" width="42.57"/>
    <col collapsed="false" customWidth="true" hidden="false" outlineLevel="0" max="5516" min="5516" style="70" width="3.29"/>
    <col collapsed="false" customWidth="true" hidden="false" outlineLevel="0" max="5517" min="5517" style="70" width="8"/>
    <col collapsed="false" customWidth="false" hidden="false" outlineLevel="0" max="5518" min="5518" style="70" width="42.57"/>
    <col collapsed="false" customWidth="true" hidden="false" outlineLevel="0" max="5519" min="5519" style="70" width="3.29"/>
    <col collapsed="false" customWidth="true" hidden="false" outlineLevel="0" max="5520" min="5520" style="70" width="8"/>
    <col collapsed="false" customWidth="false" hidden="false" outlineLevel="0" max="5521" min="5521" style="70" width="42.57"/>
    <col collapsed="false" customWidth="true" hidden="false" outlineLevel="0" max="5522" min="5522" style="70" width="3.29"/>
    <col collapsed="false" customWidth="true" hidden="false" outlineLevel="0" max="5523" min="5523" style="70" width="8"/>
    <col collapsed="false" customWidth="false" hidden="false" outlineLevel="0" max="5524" min="5524" style="70" width="42.57"/>
    <col collapsed="false" customWidth="true" hidden="false" outlineLevel="0" max="5525" min="5525" style="70" width="3.29"/>
    <col collapsed="false" customWidth="true" hidden="false" outlineLevel="0" max="5526" min="5526" style="70" width="8"/>
    <col collapsed="false" customWidth="false" hidden="false" outlineLevel="0" max="5527" min="5527" style="70" width="42.57"/>
    <col collapsed="false" customWidth="true" hidden="false" outlineLevel="0" max="5528" min="5528" style="70" width="3.29"/>
    <col collapsed="false" customWidth="true" hidden="false" outlineLevel="0" max="5529" min="5529" style="70" width="8"/>
    <col collapsed="false" customWidth="false" hidden="false" outlineLevel="0" max="5530" min="5530" style="70" width="42.57"/>
    <col collapsed="false" customWidth="true" hidden="false" outlineLevel="0" max="5531" min="5531" style="70" width="3.29"/>
    <col collapsed="false" customWidth="true" hidden="false" outlineLevel="0" max="5532" min="5532" style="70" width="8"/>
    <col collapsed="false" customWidth="false" hidden="false" outlineLevel="0" max="5533" min="5533" style="70" width="42.57"/>
    <col collapsed="false" customWidth="true" hidden="false" outlineLevel="0" max="5534" min="5534" style="70" width="3.29"/>
    <col collapsed="false" customWidth="true" hidden="false" outlineLevel="0" max="5535" min="5535" style="70" width="8"/>
    <col collapsed="false" customWidth="false" hidden="false" outlineLevel="0" max="5536" min="5536" style="70" width="42.57"/>
    <col collapsed="false" customWidth="true" hidden="false" outlineLevel="0" max="5537" min="5537" style="70" width="3.29"/>
    <col collapsed="false" customWidth="true" hidden="false" outlineLevel="0" max="5538" min="5538" style="70" width="8"/>
    <col collapsed="false" customWidth="false" hidden="false" outlineLevel="0" max="5539" min="5539" style="70" width="42.57"/>
    <col collapsed="false" customWidth="true" hidden="false" outlineLevel="0" max="5540" min="5540" style="70" width="3.29"/>
    <col collapsed="false" customWidth="true" hidden="false" outlineLevel="0" max="5541" min="5541" style="70" width="8"/>
    <col collapsed="false" customWidth="false" hidden="false" outlineLevel="0" max="5542" min="5542" style="70" width="42.57"/>
    <col collapsed="false" customWidth="true" hidden="false" outlineLevel="0" max="5543" min="5543" style="70" width="3.29"/>
    <col collapsed="false" customWidth="true" hidden="false" outlineLevel="0" max="5544" min="5544" style="70" width="8"/>
    <col collapsed="false" customWidth="false" hidden="false" outlineLevel="0" max="5545" min="5545" style="70" width="42.57"/>
    <col collapsed="false" customWidth="true" hidden="false" outlineLevel="0" max="5546" min="5546" style="70" width="3.29"/>
    <col collapsed="false" customWidth="true" hidden="false" outlineLevel="0" max="5547" min="5547" style="70" width="8"/>
    <col collapsed="false" customWidth="false" hidden="false" outlineLevel="0" max="5548" min="5548" style="70" width="42.57"/>
    <col collapsed="false" customWidth="true" hidden="false" outlineLevel="0" max="5549" min="5549" style="70" width="3.29"/>
    <col collapsed="false" customWidth="true" hidden="false" outlineLevel="0" max="5550" min="5550" style="70" width="8"/>
    <col collapsed="false" customWidth="false" hidden="false" outlineLevel="0" max="5551" min="5551" style="70" width="42.57"/>
    <col collapsed="false" customWidth="true" hidden="false" outlineLevel="0" max="5552" min="5552" style="70" width="3.29"/>
    <col collapsed="false" customWidth="true" hidden="false" outlineLevel="0" max="5553" min="5553" style="70" width="8"/>
    <col collapsed="false" customWidth="false" hidden="false" outlineLevel="0" max="5554" min="5554" style="70" width="42.57"/>
    <col collapsed="false" customWidth="true" hidden="false" outlineLevel="0" max="5555" min="5555" style="70" width="3.29"/>
    <col collapsed="false" customWidth="true" hidden="false" outlineLevel="0" max="5556" min="5556" style="70" width="8"/>
    <col collapsed="false" customWidth="false" hidden="false" outlineLevel="0" max="5557" min="5557" style="70" width="42.57"/>
    <col collapsed="false" customWidth="true" hidden="false" outlineLevel="0" max="5558" min="5558" style="70" width="3.29"/>
    <col collapsed="false" customWidth="true" hidden="false" outlineLevel="0" max="5559" min="5559" style="70" width="8"/>
    <col collapsed="false" customWidth="false" hidden="false" outlineLevel="0" max="5560" min="5560" style="70" width="42.57"/>
    <col collapsed="false" customWidth="true" hidden="false" outlineLevel="0" max="5561" min="5561" style="70" width="3.29"/>
    <col collapsed="false" customWidth="true" hidden="false" outlineLevel="0" max="5562" min="5562" style="70" width="8"/>
    <col collapsed="false" customWidth="false" hidden="false" outlineLevel="0" max="5563" min="5563" style="70" width="42.57"/>
    <col collapsed="false" customWidth="true" hidden="false" outlineLevel="0" max="5564" min="5564" style="70" width="3.29"/>
    <col collapsed="false" customWidth="true" hidden="false" outlineLevel="0" max="5565" min="5565" style="70" width="8"/>
    <col collapsed="false" customWidth="false" hidden="false" outlineLevel="0" max="5566" min="5566" style="70" width="42.57"/>
    <col collapsed="false" customWidth="true" hidden="false" outlineLevel="0" max="5567" min="5567" style="70" width="3.29"/>
    <col collapsed="false" customWidth="true" hidden="false" outlineLevel="0" max="5568" min="5568" style="70" width="8"/>
    <col collapsed="false" customWidth="false" hidden="false" outlineLevel="0" max="5569" min="5569" style="70" width="42.57"/>
    <col collapsed="false" customWidth="true" hidden="false" outlineLevel="0" max="5570" min="5570" style="70" width="3.29"/>
    <col collapsed="false" customWidth="true" hidden="false" outlineLevel="0" max="5571" min="5571" style="70" width="8"/>
    <col collapsed="false" customWidth="false" hidden="false" outlineLevel="0" max="5572" min="5572" style="70" width="42.57"/>
    <col collapsed="false" customWidth="true" hidden="false" outlineLevel="0" max="5573" min="5573" style="70" width="3.29"/>
    <col collapsed="false" customWidth="true" hidden="false" outlineLevel="0" max="5574" min="5574" style="70" width="8"/>
    <col collapsed="false" customWidth="false" hidden="false" outlineLevel="0" max="5575" min="5575" style="70" width="42.57"/>
    <col collapsed="false" customWidth="true" hidden="false" outlineLevel="0" max="5576" min="5576" style="70" width="3.29"/>
    <col collapsed="false" customWidth="true" hidden="false" outlineLevel="0" max="5577" min="5577" style="70" width="8"/>
    <col collapsed="false" customWidth="false" hidden="false" outlineLevel="0" max="5578" min="5578" style="70" width="42.57"/>
    <col collapsed="false" customWidth="true" hidden="false" outlineLevel="0" max="5579" min="5579" style="70" width="3.29"/>
    <col collapsed="false" customWidth="true" hidden="false" outlineLevel="0" max="5580" min="5580" style="70" width="8"/>
    <col collapsed="false" customWidth="false" hidden="false" outlineLevel="0" max="5581" min="5581" style="70" width="42.57"/>
    <col collapsed="false" customWidth="true" hidden="false" outlineLevel="0" max="5582" min="5582" style="70" width="3.29"/>
    <col collapsed="false" customWidth="true" hidden="false" outlineLevel="0" max="5583" min="5583" style="70" width="8"/>
    <col collapsed="false" customWidth="false" hidden="false" outlineLevel="0" max="5584" min="5584" style="70" width="42.57"/>
    <col collapsed="false" customWidth="true" hidden="false" outlineLevel="0" max="5585" min="5585" style="70" width="3.29"/>
    <col collapsed="false" customWidth="true" hidden="false" outlineLevel="0" max="5586" min="5586" style="70" width="8"/>
    <col collapsed="false" customWidth="false" hidden="false" outlineLevel="0" max="5587" min="5587" style="70" width="42.57"/>
    <col collapsed="false" customWidth="true" hidden="false" outlineLevel="0" max="5588" min="5588" style="70" width="3.29"/>
    <col collapsed="false" customWidth="true" hidden="false" outlineLevel="0" max="5589" min="5589" style="70" width="8"/>
    <col collapsed="false" customWidth="false" hidden="false" outlineLevel="0" max="5590" min="5590" style="70" width="42.57"/>
    <col collapsed="false" customWidth="true" hidden="false" outlineLevel="0" max="5591" min="5591" style="70" width="3.29"/>
    <col collapsed="false" customWidth="true" hidden="false" outlineLevel="0" max="5592" min="5592" style="70" width="8"/>
    <col collapsed="false" customWidth="false" hidden="false" outlineLevel="0" max="5593" min="5593" style="70" width="42.57"/>
    <col collapsed="false" customWidth="true" hidden="false" outlineLevel="0" max="5594" min="5594" style="70" width="3.29"/>
    <col collapsed="false" customWidth="true" hidden="false" outlineLevel="0" max="5595" min="5595" style="70" width="8"/>
    <col collapsed="false" customWidth="false" hidden="false" outlineLevel="0" max="5596" min="5596" style="70" width="42.57"/>
    <col collapsed="false" customWidth="true" hidden="false" outlineLevel="0" max="5597" min="5597" style="70" width="3.29"/>
    <col collapsed="false" customWidth="true" hidden="false" outlineLevel="0" max="5598" min="5598" style="70" width="8"/>
    <col collapsed="false" customWidth="false" hidden="false" outlineLevel="0" max="5599" min="5599" style="70" width="42.57"/>
    <col collapsed="false" customWidth="true" hidden="false" outlineLevel="0" max="5600" min="5600" style="70" width="3.29"/>
    <col collapsed="false" customWidth="true" hidden="false" outlineLevel="0" max="5601" min="5601" style="70" width="8"/>
    <col collapsed="false" customWidth="false" hidden="false" outlineLevel="0" max="5602" min="5602" style="70" width="42.57"/>
    <col collapsed="false" customWidth="true" hidden="false" outlineLevel="0" max="5603" min="5603" style="70" width="3.29"/>
    <col collapsed="false" customWidth="true" hidden="false" outlineLevel="0" max="5604" min="5604" style="70" width="8"/>
    <col collapsed="false" customWidth="false" hidden="false" outlineLevel="0" max="5605" min="5605" style="70" width="42.57"/>
    <col collapsed="false" customWidth="true" hidden="false" outlineLevel="0" max="5606" min="5606" style="70" width="3.29"/>
    <col collapsed="false" customWidth="true" hidden="false" outlineLevel="0" max="5607" min="5607" style="70" width="8"/>
    <col collapsed="false" customWidth="false" hidden="false" outlineLevel="0" max="5608" min="5608" style="70" width="42.57"/>
    <col collapsed="false" customWidth="true" hidden="false" outlineLevel="0" max="5609" min="5609" style="70" width="3.29"/>
    <col collapsed="false" customWidth="true" hidden="false" outlineLevel="0" max="5610" min="5610" style="70" width="8"/>
    <col collapsed="false" customWidth="false" hidden="false" outlineLevel="0" max="5611" min="5611" style="70" width="42.57"/>
    <col collapsed="false" customWidth="true" hidden="false" outlineLevel="0" max="5612" min="5612" style="70" width="3.29"/>
    <col collapsed="false" customWidth="true" hidden="false" outlineLevel="0" max="5613" min="5613" style="70" width="8"/>
    <col collapsed="false" customWidth="false" hidden="false" outlineLevel="0" max="5614" min="5614" style="70" width="42.57"/>
    <col collapsed="false" customWidth="true" hidden="false" outlineLevel="0" max="5615" min="5615" style="70" width="3.29"/>
    <col collapsed="false" customWidth="true" hidden="false" outlineLevel="0" max="5616" min="5616" style="70" width="8"/>
    <col collapsed="false" customWidth="false" hidden="false" outlineLevel="0" max="5617" min="5617" style="70" width="42.57"/>
    <col collapsed="false" customWidth="true" hidden="false" outlineLevel="0" max="5618" min="5618" style="70" width="3.29"/>
    <col collapsed="false" customWidth="true" hidden="false" outlineLevel="0" max="5619" min="5619" style="70" width="8"/>
    <col collapsed="false" customWidth="false" hidden="false" outlineLevel="0" max="5620" min="5620" style="70" width="42.57"/>
    <col collapsed="false" customWidth="true" hidden="false" outlineLevel="0" max="5621" min="5621" style="70" width="3.29"/>
    <col collapsed="false" customWidth="true" hidden="false" outlineLevel="0" max="5622" min="5622" style="70" width="8"/>
    <col collapsed="false" customWidth="false" hidden="false" outlineLevel="0" max="5623" min="5623" style="70" width="42.57"/>
    <col collapsed="false" customWidth="true" hidden="false" outlineLevel="0" max="5624" min="5624" style="70" width="3.29"/>
    <col collapsed="false" customWidth="true" hidden="false" outlineLevel="0" max="5625" min="5625" style="70" width="8"/>
    <col collapsed="false" customWidth="false" hidden="false" outlineLevel="0" max="5626" min="5626" style="70" width="42.57"/>
    <col collapsed="false" customWidth="true" hidden="false" outlineLevel="0" max="5627" min="5627" style="70" width="3.29"/>
    <col collapsed="false" customWidth="true" hidden="false" outlineLevel="0" max="5628" min="5628" style="70" width="8"/>
    <col collapsed="false" customWidth="false" hidden="false" outlineLevel="0" max="5629" min="5629" style="70" width="42.57"/>
    <col collapsed="false" customWidth="true" hidden="false" outlineLevel="0" max="5630" min="5630" style="70" width="3.29"/>
    <col collapsed="false" customWidth="true" hidden="false" outlineLevel="0" max="5631" min="5631" style="70" width="8"/>
    <col collapsed="false" customWidth="false" hidden="false" outlineLevel="0" max="5632" min="5632" style="70" width="42.57"/>
    <col collapsed="false" customWidth="true" hidden="false" outlineLevel="0" max="5633" min="5633" style="70" width="3.29"/>
    <col collapsed="false" customWidth="true" hidden="false" outlineLevel="0" max="5634" min="5634" style="70" width="8"/>
    <col collapsed="false" customWidth="false" hidden="false" outlineLevel="0" max="5635" min="5635" style="70" width="42.57"/>
    <col collapsed="false" customWidth="true" hidden="false" outlineLevel="0" max="5636" min="5636" style="70" width="3.29"/>
    <col collapsed="false" customWidth="true" hidden="false" outlineLevel="0" max="5637" min="5637" style="70" width="8"/>
    <col collapsed="false" customWidth="false" hidden="false" outlineLevel="0" max="5638" min="5638" style="70" width="42.57"/>
    <col collapsed="false" customWidth="true" hidden="false" outlineLevel="0" max="5639" min="5639" style="70" width="3.29"/>
    <col collapsed="false" customWidth="true" hidden="false" outlineLevel="0" max="5640" min="5640" style="70" width="8"/>
    <col collapsed="false" customWidth="false" hidden="false" outlineLevel="0" max="5641" min="5641" style="70" width="42.57"/>
    <col collapsed="false" customWidth="true" hidden="false" outlineLevel="0" max="5642" min="5642" style="70" width="3.29"/>
    <col collapsed="false" customWidth="true" hidden="false" outlineLevel="0" max="5643" min="5643" style="70" width="8"/>
    <col collapsed="false" customWidth="false" hidden="false" outlineLevel="0" max="5644" min="5644" style="70" width="42.57"/>
    <col collapsed="false" customWidth="true" hidden="false" outlineLevel="0" max="5645" min="5645" style="70" width="3.29"/>
    <col collapsed="false" customWidth="true" hidden="false" outlineLevel="0" max="5646" min="5646" style="70" width="8"/>
    <col collapsed="false" customWidth="false" hidden="false" outlineLevel="0" max="5647" min="5647" style="70" width="42.57"/>
    <col collapsed="false" customWidth="true" hidden="false" outlineLevel="0" max="5648" min="5648" style="70" width="3.29"/>
    <col collapsed="false" customWidth="true" hidden="false" outlineLevel="0" max="5649" min="5649" style="70" width="8"/>
    <col collapsed="false" customWidth="false" hidden="false" outlineLevel="0" max="5650" min="5650" style="70" width="42.57"/>
    <col collapsed="false" customWidth="true" hidden="false" outlineLevel="0" max="5651" min="5651" style="70" width="3.29"/>
    <col collapsed="false" customWidth="true" hidden="false" outlineLevel="0" max="5652" min="5652" style="70" width="8"/>
    <col collapsed="false" customWidth="false" hidden="false" outlineLevel="0" max="5653" min="5653" style="70" width="42.57"/>
    <col collapsed="false" customWidth="true" hidden="false" outlineLevel="0" max="5654" min="5654" style="70" width="3.29"/>
    <col collapsed="false" customWidth="true" hidden="false" outlineLevel="0" max="5655" min="5655" style="70" width="8"/>
    <col collapsed="false" customWidth="false" hidden="false" outlineLevel="0" max="5656" min="5656" style="70" width="42.57"/>
    <col collapsed="false" customWidth="true" hidden="false" outlineLevel="0" max="5657" min="5657" style="70" width="3.29"/>
    <col collapsed="false" customWidth="true" hidden="false" outlineLevel="0" max="5658" min="5658" style="70" width="8"/>
    <col collapsed="false" customWidth="false" hidden="false" outlineLevel="0" max="5659" min="5659" style="70" width="42.57"/>
    <col collapsed="false" customWidth="true" hidden="false" outlineLevel="0" max="5660" min="5660" style="70" width="3.29"/>
    <col collapsed="false" customWidth="true" hidden="false" outlineLevel="0" max="5661" min="5661" style="70" width="8"/>
    <col collapsed="false" customWidth="false" hidden="false" outlineLevel="0" max="5662" min="5662" style="70" width="42.57"/>
    <col collapsed="false" customWidth="true" hidden="false" outlineLevel="0" max="5663" min="5663" style="70" width="3.29"/>
    <col collapsed="false" customWidth="true" hidden="false" outlineLevel="0" max="5664" min="5664" style="70" width="8"/>
    <col collapsed="false" customWidth="false" hidden="false" outlineLevel="0" max="5665" min="5665" style="70" width="42.57"/>
    <col collapsed="false" customWidth="true" hidden="false" outlineLevel="0" max="5666" min="5666" style="70" width="3.29"/>
    <col collapsed="false" customWidth="true" hidden="false" outlineLevel="0" max="5667" min="5667" style="70" width="8"/>
    <col collapsed="false" customWidth="false" hidden="false" outlineLevel="0" max="5668" min="5668" style="70" width="42.57"/>
    <col collapsed="false" customWidth="true" hidden="false" outlineLevel="0" max="5669" min="5669" style="70" width="3.29"/>
    <col collapsed="false" customWidth="true" hidden="false" outlineLevel="0" max="5670" min="5670" style="70" width="8"/>
    <col collapsed="false" customWidth="false" hidden="false" outlineLevel="0" max="5671" min="5671" style="70" width="42.57"/>
    <col collapsed="false" customWidth="true" hidden="false" outlineLevel="0" max="5672" min="5672" style="70" width="3.29"/>
    <col collapsed="false" customWidth="true" hidden="false" outlineLevel="0" max="5673" min="5673" style="70" width="8"/>
    <col collapsed="false" customWidth="false" hidden="false" outlineLevel="0" max="5674" min="5674" style="70" width="42.57"/>
    <col collapsed="false" customWidth="true" hidden="false" outlineLevel="0" max="5675" min="5675" style="70" width="3.29"/>
    <col collapsed="false" customWidth="true" hidden="false" outlineLevel="0" max="5676" min="5676" style="70" width="8"/>
    <col collapsed="false" customWidth="false" hidden="false" outlineLevel="0" max="5677" min="5677" style="70" width="42.57"/>
    <col collapsed="false" customWidth="true" hidden="false" outlineLevel="0" max="5678" min="5678" style="70" width="3.29"/>
    <col collapsed="false" customWidth="true" hidden="false" outlineLevel="0" max="5679" min="5679" style="70" width="8"/>
    <col collapsed="false" customWidth="false" hidden="false" outlineLevel="0" max="5680" min="5680" style="70" width="42.57"/>
    <col collapsed="false" customWidth="true" hidden="false" outlineLevel="0" max="5681" min="5681" style="70" width="3.29"/>
    <col collapsed="false" customWidth="true" hidden="false" outlineLevel="0" max="5682" min="5682" style="70" width="8"/>
    <col collapsed="false" customWidth="false" hidden="false" outlineLevel="0" max="5683" min="5683" style="70" width="42.57"/>
    <col collapsed="false" customWidth="true" hidden="false" outlineLevel="0" max="5684" min="5684" style="70" width="3.29"/>
    <col collapsed="false" customWidth="true" hidden="false" outlineLevel="0" max="5685" min="5685" style="70" width="8"/>
    <col collapsed="false" customWidth="false" hidden="false" outlineLevel="0" max="5686" min="5686" style="70" width="42.57"/>
    <col collapsed="false" customWidth="true" hidden="false" outlineLevel="0" max="5687" min="5687" style="70" width="3.29"/>
    <col collapsed="false" customWidth="true" hidden="false" outlineLevel="0" max="5688" min="5688" style="70" width="8"/>
    <col collapsed="false" customWidth="false" hidden="false" outlineLevel="0" max="5689" min="5689" style="70" width="42.57"/>
    <col collapsed="false" customWidth="true" hidden="false" outlineLevel="0" max="5690" min="5690" style="70" width="3.29"/>
    <col collapsed="false" customWidth="true" hidden="false" outlineLevel="0" max="5691" min="5691" style="70" width="8"/>
    <col collapsed="false" customWidth="false" hidden="false" outlineLevel="0" max="5692" min="5692" style="70" width="42.57"/>
    <col collapsed="false" customWidth="true" hidden="false" outlineLevel="0" max="5693" min="5693" style="70" width="3.29"/>
    <col collapsed="false" customWidth="true" hidden="false" outlineLevel="0" max="5694" min="5694" style="70" width="8"/>
    <col collapsed="false" customWidth="false" hidden="false" outlineLevel="0" max="5695" min="5695" style="70" width="42.57"/>
    <col collapsed="false" customWidth="true" hidden="false" outlineLevel="0" max="5696" min="5696" style="70" width="3.29"/>
    <col collapsed="false" customWidth="true" hidden="false" outlineLevel="0" max="5697" min="5697" style="70" width="8"/>
    <col collapsed="false" customWidth="false" hidden="false" outlineLevel="0" max="5698" min="5698" style="70" width="42.57"/>
    <col collapsed="false" customWidth="true" hidden="false" outlineLevel="0" max="5699" min="5699" style="70" width="3.29"/>
    <col collapsed="false" customWidth="true" hidden="false" outlineLevel="0" max="5700" min="5700" style="70" width="8"/>
    <col collapsed="false" customWidth="false" hidden="false" outlineLevel="0" max="5701" min="5701" style="70" width="42.57"/>
    <col collapsed="false" customWidth="true" hidden="false" outlineLevel="0" max="5702" min="5702" style="70" width="3.29"/>
    <col collapsed="false" customWidth="true" hidden="false" outlineLevel="0" max="5703" min="5703" style="70" width="8"/>
    <col collapsed="false" customWidth="false" hidden="false" outlineLevel="0" max="5704" min="5704" style="70" width="42.57"/>
    <col collapsed="false" customWidth="true" hidden="false" outlineLevel="0" max="5705" min="5705" style="70" width="3.29"/>
    <col collapsed="false" customWidth="true" hidden="false" outlineLevel="0" max="5706" min="5706" style="70" width="8"/>
    <col collapsed="false" customWidth="false" hidden="false" outlineLevel="0" max="5707" min="5707" style="70" width="42.57"/>
    <col collapsed="false" customWidth="true" hidden="false" outlineLevel="0" max="5708" min="5708" style="70" width="3.29"/>
    <col collapsed="false" customWidth="true" hidden="false" outlineLevel="0" max="5709" min="5709" style="70" width="8"/>
    <col collapsed="false" customWidth="false" hidden="false" outlineLevel="0" max="5710" min="5710" style="70" width="42.57"/>
    <col collapsed="false" customWidth="true" hidden="false" outlineLevel="0" max="5711" min="5711" style="70" width="3.29"/>
    <col collapsed="false" customWidth="true" hidden="false" outlineLevel="0" max="5712" min="5712" style="70" width="8"/>
    <col collapsed="false" customWidth="false" hidden="false" outlineLevel="0" max="5713" min="5713" style="70" width="42.57"/>
    <col collapsed="false" customWidth="true" hidden="false" outlineLevel="0" max="5714" min="5714" style="70" width="3.29"/>
    <col collapsed="false" customWidth="true" hidden="false" outlineLevel="0" max="5715" min="5715" style="70" width="8"/>
    <col collapsed="false" customWidth="false" hidden="false" outlineLevel="0" max="5716" min="5716" style="70" width="42.57"/>
    <col collapsed="false" customWidth="true" hidden="false" outlineLevel="0" max="5717" min="5717" style="70" width="3.29"/>
    <col collapsed="false" customWidth="true" hidden="false" outlineLevel="0" max="5718" min="5718" style="70" width="8"/>
    <col collapsed="false" customWidth="false" hidden="false" outlineLevel="0" max="5719" min="5719" style="70" width="42.57"/>
    <col collapsed="false" customWidth="true" hidden="false" outlineLevel="0" max="5720" min="5720" style="70" width="3.29"/>
    <col collapsed="false" customWidth="true" hidden="false" outlineLevel="0" max="5721" min="5721" style="70" width="8"/>
    <col collapsed="false" customWidth="false" hidden="false" outlineLevel="0" max="5722" min="5722" style="70" width="42.57"/>
    <col collapsed="false" customWidth="true" hidden="false" outlineLevel="0" max="5723" min="5723" style="70" width="3.29"/>
    <col collapsed="false" customWidth="true" hidden="false" outlineLevel="0" max="5724" min="5724" style="70" width="8"/>
    <col collapsed="false" customWidth="false" hidden="false" outlineLevel="0" max="5725" min="5725" style="70" width="42.57"/>
    <col collapsed="false" customWidth="true" hidden="false" outlineLevel="0" max="5726" min="5726" style="70" width="3.29"/>
    <col collapsed="false" customWidth="true" hidden="false" outlineLevel="0" max="5727" min="5727" style="70" width="8"/>
    <col collapsed="false" customWidth="false" hidden="false" outlineLevel="0" max="5728" min="5728" style="70" width="42.57"/>
    <col collapsed="false" customWidth="true" hidden="false" outlineLevel="0" max="5729" min="5729" style="70" width="3.29"/>
    <col collapsed="false" customWidth="true" hidden="false" outlineLevel="0" max="5730" min="5730" style="70" width="8"/>
    <col collapsed="false" customWidth="false" hidden="false" outlineLevel="0" max="5731" min="5731" style="70" width="42.57"/>
    <col collapsed="false" customWidth="true" hidden="false" outlineLevel="0" max="5732" min="5732" style="70" width="3.29"/>
    <col collapsed="false" customWidth="true" hidden="false" outlineLevel="0" max="5733" min="5733" style="70" width="8"/>
    <col collapsed="false" customWidth="false" hidden="false" outlineLevel="0" max="5734" min="5734" style="70" width="42.57"/>
    <col collapsed="false" customWidth="true" hidden="false" outlineLevel="0" max="5735" min="5735" style="70" width="3.29"/>
    <col collapsed="false" customWidth="true" hidden="false" outlineLevel="0" max="5736" min="5736" style="70" width="8"/>
    <col collapsed="false" customWidth="false" hidden="false" outlineLevel="0" max="5737" min="5737" style="70" width="42.57"/>
    <col collapsed="false" customWidth="true" hidden="false" outlineLevel="0" max="5738" min="5738" style="70" width="3.29"/>
    <col collapsed="false" customWidth="true" hidden="false" outlineLevel="0" max="5739" min="5739" style="70" width="8"/>
    <col collapsed="false" customWidth="false" hidden="false" outlineLevel="0" max="5740" min="5740" style="70" width="42.57"/>
    <col collapsed="false" customWidth="true" hidden="false" outlineLevel="0" max="5741" min="5741" style="70" width="3.29"/>
    <col collapsed="false" customWidth="true" hidden="false" outlineLevel="0" max="5742" min="5742" style="70" width="8"/>
    <col collapsed="false" customWidth="false" hidden="false" outlineLevel="0" max="5743" min="5743" style="70" width="42.57"/>
    <col collapsed="false" customWidth="true" hidden="false" outlineLevel="0" max="5744" min="5744" style="70" width="3.29"/>
    <col collapsed="false" customWidth="true" hidden="false" outlineLevel="0" max="5745" min="5745" style="70" width="8"/>
    <col collapsed="false" customWidth="false" hidden="false" outlineLevel="0" max="5746" min="5746" style="70" width="42.57"/>
    <col collapsed="false" customWidth="true" hidden="false" outlineLevel="0" max="5747" min="5747" style="70" width="3.29"/>
    <col collapsed="false" customWidth="true" hidden="false" outlineLevel="0" max="5748" min="5748" style="70" width="8"/>
    <col collapsed="false" customWidth="false" hidden="false" outlineLevel="0" max="5749" min="5749" style="70" width="42.57"/>
    <col collapsed="false" customWidth="true" hidden="false" outlineLevel="0" max="5750" min="5750" style="70" width="3.29"/>
    <col collapsed="false" customWidth="true" hidden="false" outlineLevel="0" max="5751" min="5751" style="70" width="8"/>
    <col collapsed="false" customWidth="false" hidden="false" outlineLevel="0" max="5752" min="5752" style="70" width="42.57"/>
    <col collapsed="false" customWidth="true" hidden="false" outlineLevel="0" max="5753" min="5753" style="70" width="3.29"/>
    <col collapsed="false" customWidth="true" hidden="false" outlineLevel="0" max="5754" min="5754" style="70" width="8"/>
    <col collapsed="false" customWidth="false" hidden="false" outlineLevel="0" max="5755" min="5755" style="70" width="42.57"/>
    <col collapsed="false" customWidth="true" hidden="false" outlineLevel="0" max="5756" min="5756" style="70" width="3.29"/>
    <col collapsed="false" customWidth="true" hidden="false" outlineLevel="0" max="5757" min="5757" style="70" width="8"/>
    <col collapsed="false" customWidth="false" hidden="false" outlineLevel="0" max="5758" min="5758" style="70" width="42.57"/>
    <col collapsed="false" customWidth="true" hidden="false" outlineLevel="0" max="5759" min="5759" style="70" width="3.29"/>
    <col collapsed="false" customWidth="true" hidden="false" outlineLevel="0" max="5760" min="5760" style="70" width="8"/>
    <col collapsed="false" customWidth="false" hidden="false" outlineLevel="0" max="5761" min="5761" style="70" width="42.57"/>
    <col collapsed="false" customWidth="true" hidden="false" outlineLevel="0" max="5762" min="5762" style="70" width="3.29"/>
    <col collapsed="false" customWidth="true" hidden="false" outlineLevel="0" max="5763" min="5763" style="70" width="8"/>
    <col collapsed="false" customWidth="false" hidden="false" outlineLevel="0" max="5764" min="5764" style="70" width="42.57"/>
    <col collapsed="false" customWidth="true" hidden="false" outlineLevel="0" max="5765" min="5765" style="70" width="3.29"/>
    <col collapsed="false" customWidth="true" hidden="false" outlineLevel="0" max="5766" min="5766" style="70" width="8"/>
    <col collapsed="false" customWidth="false" hidden="false" outlineLevel="0" max="5767" min="5767" style="70" width="42.57"/>
    <col collapsed="false" customWidth="true" hidden="false" outlineLevel="0" max="5768" min="5768" style="70" width="3.29"/>
    <col collapsed="false" customWidth="true" hidden="false" outlineLevel="0" max="5769" min="5769" style="70" width="8"/>
    <col collapsed="false" customWidth="false" hidden="false" outlineLevel="0" max="5770" min="5770" style="70" width="42.57"/>
    <col collapsed="false" customWidth="true" hidden="false" outlineLevel="0" max="5771" min="5771" style="70" width="3.29"/>
    <col collapsed="false" customWidth="true" hidden="false" outlineLevel="0" max="5772" min="5772" style="70" width="8"/>
    <col collapsed="false" customWidth="false" hidden="false" outlineLevel="0" max="5773" min="5773" style="70" width="42.57"/>
    <col collapsed="false" customWidth="true" hidden="false" outlineLevel="0" max="5774" min="5774" style="70" width="3.29"/>
    <col collapsed="false" customWidth="true" hidden="false" outlineLevel="0" max="5775" min="5775" style="70" width="8"/>
    <col collapsed="false" customWidth="false" hidden="false" outlineLevel="0" max="5776" min="5776" style="70" width="42.57"/>
    <col collapsed="false" customWidth="true" hidden="false" outlineLevel="0" max="5777" min="5777" style="70" width="3.29"/>
    <col collapsed="false" customWidth="true" hidden="false" outlineLevel="0" max="5778" min="5778" style="70" width="8"/>
    <col collapsed="false" customWidth="false" hidden="false" outlineLevel="0" max="5779" min="5779" style="70" width="42.57"/>
    <col collapsed="false" customWidth="true" hidden="false" outlineLevel="0" max="5780" min="5780" style="70" width="3.29"/>
    <col collapsed="false" customWidth="true" hidden="false" outlineLevel="0" max="5781" min="5781" style="70" width="8"/>
    <col collapsed="false" customWidth="false" hidden="false" outlineLevel="0" max="5782" min="5782" style="70" width="42.57"/>
    <col collapsed="false" customWidth="true" hidden="false" outlineLevel="0" max="5783" min="5783" style="70" width="3.29"/>
    <col collapsed="false" customWidth="true" hidden="false" outlineLevel="0" max="5784" min="5784" style="70" width="8"/>
    <col collapsed="false" customWidth="false" hidden="false" outlineLevel="0" max="5785" min="5785" style="70" width="42.57"/>
    <col collapsed="false" customWidth="true" hidden="false" outlineLevel="0" max="5786" min="5786" style="70" width="3.29"/>
    <col collapsed="false" customWidth="true" hidden="false" outlineLevel="0" max="5787" min="5787" style="70" width="8"/>
    <col collapsed="false" customWidth="false" hidden="false" outlineLevel="0" max="5788" min="5788" style="70" width="42.57"/>
    <col collapsed="false" customWidth="true" hidden="false" outlineLevel="0" max="5789" min="5789" style="70" width="3.29"/>
    <col collapsed="false" customWidth="true" hidden="false" outlineLevel="0" max="5790" min="5790" style="70" width="8"/>
    <col collapsed="false" customWidth="false" hidden="false" outlineLevel="0" max="5791" min="5791" style="70" width="42.57"/>
    <col collapsed="false" customWidth="true" hidden="false" outlineLevel="0" max="5792" min="5792" style="70" width="3.29"/>
    <col collapsed="false" customWidth="true" hidden="false" outlineLevel="0" max="5793" min="5793" style="70" width="8"/>
    <col collapsed="false" customWidth="false" hidden="false" outlineLevel="0" max="5794" min="5794" style="70" width="42.57"/>
    <col collapsed="false" customWidth="true" hidden="false" outlineLevel="0" max="5795" min="5795" style="70" width="3.29"/>
    <col collapsed="false" customWidth="true" hidden="false" outlineLevel="0" max="5796" min="5796" style="70" width="8"/>
    <col collapsed="false" customWidth="false" hidden="false" outlineLevel="0" max="5797" min="5797" style="70" width="42.57"/>
    <col collapsed="false" customWidth="true" hidden="false" outlineLevel="0" max="5798" min="5798" style="70" width="3.29"/>
    <col collapsed="false" customWidth="true" hidden="false" outlineLevel="0" max="5799" min="5799" style="70" width="8"/>
    <col collapsed="false" customWidth="false" hidden="false" outlineLevel="0" max="5800" min="5800" style="70" width="42.57"/>
    <col collapsed="false" customWidth="true" hidden="false" outlineLevel="0" max="5801" min="5801" style="70" width="3.29"/>
    <col collapsed="false" customWidth="true" hidden="false" outlineLevel="0" max="5802" min="5802" style="70" width="8"/>
    <col collapsed="false" customWidth="false" hidden="false" outlineLevel="0" max="5803" min="5803" style="70" width="42.57"/>
    <col collapsed="false" customWidth="true" hidden="false" outlineLevel="0" max="5804" min="5804" style="70" width="3.29"/>
    <col collapsed="false" customWidth="true" hidden="false" outlineLevel="0" max="5805" min="5805" style="70" width="8"/>
    <col collapsed="false" customWidth="false" hidden="false" outlineLevel="0" max="5806" min="5806" style="70" width="42.57"/>
    <col collapsed="false" customWidth="true" hidden="false" outlineLevel="0" max="5807" min="5807" style="70" width="3.29"/>
    <col collapsed="false" customWidth="true" hidden="false" outlineLevel="0" max="5808" min="5808" style="70" width="8"/>
    <col collapsed="false" customWidth="false" hidden="false" outlineLevel="0" max="5809" min="5809" style="70" width="42.57"/>
    <col collapsed="false" customWidth="true" hidden="false" outlineLevel="0" max="5810" min="5810" style="70" width="3.29"/>
    <col collapsed="false" customWidth="true" hidden="false" outlineLevel="0" max="5811" min="5811" style="70" width="8"/>
    <col collapsed="false" customWidth="false" hidden="false" outlineLevel="0" max="5812" min="5812" style="70" width="42.57"/>
    <col collapsed="false" customWidth="true" hidden="false" outlineLevel="0" max="5813" min="5813" style="70" width="3.29"/>
    <col collapsed="false" customWidth="true" hidden="false" outlineLevel="0" max="5814" min="5814" style="70" width="8"/>
    <col collapsed="false" customWidth="false" hidden="false" outlineLevel="0" max="5815" min="5815" style="70" width="42.57"/>
    <col collapsed="false" customWidth="true" hidden="false" outlineLevel="0" max="5816" min="5816" style="70" width="3.29"/>
    <col collapsed="false" customWidth="true" hidden="false" outlineLevel="0" max="5817" min="5817" style="70" width="8"/>
    <col collapsed="false" customWidth="false" hidden="false" outlineLevel="0" max="5818" min="5818" style="70" width="42.57"/>
    <col collapsed="false" customWidth="true" hidden="false" outlineLevel="0" max="5819" min="5819" style="70" width="3.29"/>
    <col collapsed="false" customWidth="true" hidden="false" outlineLevel="0" max="5820" min="5820" style="70" width="8"/>
    <col collapsed="false" customWidth="false" hidden="false" outlineLevel="0" max="5821" min="5821" style="70" width="42.57"/>
    <col collapsed="false" customWidth="true" hidden="false" outlineLevel="0" max="5822" min="5822" style="70" width="3.29"/>
    <col collapsed="false" customWidth="true" hidden="false" outlineLevel="0" max="5823" min="5823" style="70" width="8"/>
    <col collapsed="false" customWidth="false" hidden="false" outlineLevel="0" max="5824" min="5824" style="70" width="42.57"/>
    <col collapsed="false" customWidth="true" hidden="false" outlineLevel="0" max="5825" min="5825" style="70" width="3.29"/>
    <col collapsed="false" customWidth="true" hidden="false" outlineLevel="0" max="5826" min="5826" style="70" width="8"/>
    <col collapsed="false" customWidth="false" hidden="false" outlineLevel="0" max="5827" min="5827" style="70" width="42.57"/>
    <col collapsed="false" customWidth="true" hidden="false" outlineLevel="0" max="5828" min="5828" style="70" width="3.29"/>
    <col collapsed="false" customWidth="true" hidden="false" outlineLevel="0" max="5829" min="5829" style="70" width="8"/>
    <col collapsed="false" customWidth="false" hidden="false" outlineLevel="0" max="5830" min="5830" style="70" width="42.57"/>
    <col collapsed="false" customWidth="true" hidden="false" outlineLevel="0" max="5831" min="5831" style="70" width="3.29"/>
    <col collapsed="false" customWidth="true" hidden="false" outlineLevel="0" max="5832" min="5832" style="70" width="8"/>
    <col collapsed="false" customWidth="false" hidden="false" outlineLevel="0" max="5833" min="5833" style="70" width="42.57"/>
    <col collapsed="false" customWidth="true" hidden="false" outlineLevel="0" max="5834" min="5834" style="70" width="3.29"/>
    <col collapsed="false" customWidth="true" hidden="false" outlineLevel="0" max="5835" min="5835" style="70" width="8"/>
    <col collapsed="false" customWidth="false" hidden="false" outlineLevel="0" max="5836" min="5836" style="70" width="42.57"/>
    <col collapsed="false" customWidth="true" hidden="false" outlineLevel="0" max="5837" min="5837" style="70" width="3.29"/>
    <col collapsed="false" customWidth="true" hidden="false" outlineLevel="0" max="5838" min="5838" style="70" width="8"/>
    <col collapsed="false" customWidth="false" hidden="false" outlineLevel="0" max="5839" min="5839" style="70" width="42.57"/>
    <col collapsed="false" customWidth="true" hidden="false" outlineLevel="0" max="5840" min="5840" style="70" width="3.29"/>
    <col collapsed="false" customWidth="true" hidden="false" outlineLevel="0" max="5841" min="5841" style="70" width="8"/>
    <col collapsed="false" customWidth="false" hidden="false" outlineLevel="0" max="5842" min="5842" style="70" width="42.57"/>
    <col collapsed="false" customWidth="true" hidden="false" outlineLevel="0" max="5843" min="5843" style="70" width="3.29"/>
    <col collapsed="false" customWidth="true" hidden="false" outlineLevel="0" max="5844" min="5844" style="70" width="8"/>
    <col collapsed="false" customWidth="false" hidden="false" outlineLevel="0" max="5845" min="5845" style="70" width="42.57"/>
    <col collapsed="false" customWidth="true" hidden="false" outlineLevel="0" max="5846" min="5846" style="70" width="3.29"/>
    <col collapsed="false" customWidth="true" hidden="false" outlineLevel="0" max="5847" min="5847" style="70" width="8"/>
    <col collapsed="false" customWidth="false" hidden="false" outlineLevel="0" max="5848" min="5848" style="70" width="42.57"/>
    <col collapsed="false" customWidth="true" hidden="false" outlineLevel="0" max="5849" min="5849" style="70" width="3.29"/>
    <col collapsed="false" customWidth="true" hidden="false" outlineLevel="0" max="5850" min="5850" style="70" width="8"/>
    <col collapsed="false" customWidth="false" hidden="false" outlineLevel="0" max="5851" min="5851" style="70" width="42.57"/>
    <col collapsed="false" customWidth="true" hidden="false" outlineLevel="0" max="5852" min="5852" style="70" width="3.29"/>
    <col collapsed="false" customWidth="true" hidden="false" outlineLevel="0" max="5853" min="5853" style="70" width="8"/>
    <col collapsed="false" customWidth="false" hidden="false" outlineLevel="0" max="5854" min="5854" style="70" width="42.57"/>
    <col collapsed="false" customWidth="true" hidden="false" outlineLevel="0" max="5855" min="5855" style="70" width="3.29"/>
    <col collapsed="false" customWidth="true" hidden="false" outlineLevel="0" max="5856" min="5856" style="70" width="8"/>
    <col collapsed="false" customWidth="false" hidden="false" outlineLevel="0" max="5857" min="5857" style="70" width="42.57"/>
    <col collapsed="false" customWidth="true" hidden="false" outlineLevel="0" max="5858" min="5858" style="70" width="3.29"/>
    <col collapsed="false" customWidth="true" hidden="false" outlineLevel="0" max="5859" min="5859" style="70" width="8"/>
    <col collapsed="false" customWidth="false" hidden="false" outlineLevel="0" max="5860" min="5860" style="70" width="42.57"/>
    <col collapsed="false" customWidth="true" hidden="false" outlineLevel="0" max="5861" min="5861" style="70" width="3.29"/>
    <col collapsed="false" customWidth="true" hidden="false" outlineLevel="0" max="5862" min="5862" style="70" width="8"/>
    <col collapsed="false" customWidth="false" hidden="false" outlineLevel="0" max="5863" min="5863" style="70" width="42.57"/>
    <col collapsed="false" customWidth="true" hidden="false" outlineLevel="0" max="5864" min="5864" style="70" width="3.29"/>
    <col collapsed="false" customWidth="true" hidden="false" outlineLevel="0" max="5865" min="5865" style="70" width="8"/>
    <col collapsed="false" customWidth="false" hidden="false" outlineLevel="0" max="5866" min="5866" style="70" width="42.57"/>
    <col collapsed="false" customWidth="true" hidden="false" outlineLevel="0" max="5867" min="5867" style="70" width="3.29"/>
    <col collapsed="false" customWidth="true" hidden="false" outlineLevel="0" max="5868" min="5868" style="70" width="8"/>
    <col collapsed="false" customWidth="false" hidden="false" outlineLevel="0" max="5869" min="5869" style="70" width="42.57"/>
    <col collapsed="false" customWidth="true" hidden="false" outlineLevel="0" max="5870" min="5870" style="70" width="3.29"/>
    <col collapsed="false" customWidth="true" hidden="false" outlineLevel="0" max="5871" min="5871" style="70" width="8"/>
    <col collapsed="false" customWidth="false" hidden="false" outlineLevel="0" max="5872" min="5872" style="70" width="42.57"/>
    <col collapsed="false" customWidth="true" hidden="false" outlineLevel="0" max="5873" min="5873" style="70" width="3.29"/>
    <col collapsed="false" customWidth="true" hidden="false" outlineLevel="0" max="5874" min="5874" style="70" width="8"/>
    <col collapsed="false" customWidth="false" hidden="false" outlineLevel="0" max="5875" min="5875" style="70" width="42.57"/>
    <col collapsed="false" customWidth="true" hidden="false" outlineLevel="0" max="5876" min="5876" style="70" width="3.29"/>
    <col collapsed="false" customWidth="true" hidden="false" outlineLevel="0" max="5877" min="5877" style="70" width="8"/>
    <col collapsed="false" customWidth="false" hidden="false" outlineLevel="0" max="5878" min="5878" style="70" width="42.57"/>
    <col collapsed="false" customWidth="true" hidden="false" outlineLevel="0" max="5879" min="5879" style="70" width="3.29"/>
    <col collapsed="false" customWidth="true" hidden="false" outlineLevel="0" max="5880" min="5880" style="70" width="8"/>
    <col collapsed="false" customWidth="false" hidden="false" outlineLevel="0" max="5881" min="5881" style="70" width="42.57"/>
    <col collapsed="false" customWidth="true" hidden="false" outlineLevel="0" max="5882" min="5882" style="70" width="3.29"/>
    <col collapsed="false" customWidth="true" hidden="false" outlineLevel="0" max="5883" min="5883" style="70" width="8"/>
    <col collapsed="false" customWidth="false" hidden="false" outlineLevel="0" max="5884" min="5884" style="70" width="42.57"/>
    <col collapsed="false" customWidth="true" hidden="false" outlineLevel="0" max="5885" min="5885" style="70" width="3.29"/>
    <col collapsed="false" customWidth="true" hidden="false" outlineLevel="0" max="5886" min="5886" style="70" width="8"/>
    <col collapsed="false" customWidth="false" hidden="false" outlineLevel="0" max="5887" min="5887" style="70" width="42.57"/>
    <col collapsed="false" customWidth="true" hidden="false" outlineLevel="0" max="5888" min="5888" style="70" width="3.29"/>
    <col collapsed="false" customWidth="true" hidden="false" outlineLevel="0" max="5889" min="5889" style="70" width="8"/>
    <col collapsed="false" customWidth="false" hidden="false" outlineLevel="0" max="5890" min="5890" style="70" width="42.57"/>
    <col collapsed="false" customWidth="true" hidden="false" outlineLevel="0" max="5891" min="5891" style="70" width="3.29"/>
    <col collapsed="false" customWidth="true" hidden="false" outlineLevel="0" max="5892" min="5892" style="70" width="8"/>
    <col collapsed="false" customWidth="false" hidden="false" outlineLevel="0" max="5893" min="5893" style="70" width="42.57"/>
    <col collapsed="false" customWidth="true" hidden="false" outlineLevel="0" max="5894" min="5894" style="70" width="3.29"/>
    <col collapsed="false" customWidth="true" hidden="false" outlineLevel="0" max="5895" min="5895" style="70" width="8"/>
    <col collapsed="false" customWidth="false" hidden="false" outlineLevel="0" max="5896" min="5896" style="70" width="42.57"/>
    <col collapsed="false" customWidth="true" hidden="false" outlineLevel="0" max="5897" min="5897" style="70" width="3.29"/>
    <col collapsed="false" customWidth="true" hidden="false" outlineLevel="0" max="5898" min="5898" style="70" width="8"/>
    <col collapsed="false" customWidth="false" hidden="false" outlineLevel="0" max="5899" min="5899" style="70" width="42.57"/>
    <col collapsed="false" customWidth="true" hidden="false" outlineLevel="0" max="5900" min="5900" style="70" width="3.29"/>
    <col collapsed="false" customWidth="true" hidden="false" outlineLevel="0" max="5901" min="5901" style="70" width="8"/>
    <col collapsed="false" customWidth="false" hidden="false" outlineLevel="0" max="5902" min="5902" style="70" width="42.57"/>
    <col collapsed="false" customWidth="true" hidden="false" outlineLevel="0" max="5903" min="5903" style="70" width="3.29"/>
    <col collapsed="false" customWidth="true" hidden="false" outlineLevel="0" max="5904" min="5904" style="70" width="8"/>
    <col collapsed="false" customWidth="false" hidden="false" outlineLevel="0" max="5905" min="5905" style="70" width="42.57"/>
    <col collapsed="false" customWidth="true" hidden="false" outlineLevel="0" max="5906" min="5906" style="70" width="3.29"/>
    <col collapsed="false" customWidth="true" hidden="false" outlineLevel="0" max="5907" min="5907" style="70" width="8"/>
    <col collapsed="false" customWidth="false" hidden="false" outlineLevel="0" max="5908" min="5908" style="70" width="42.57"/>
    <col collapsed="false" customWidth="true" hidden="false" outlineLevel="0" max="5909" min="5909" style="70" width="3.29"/>
    <col collapsed="false" customWidth="true" hidden="false" outlineLevel="0" max="5910" min="5910" style="70" width="8"/>
    <col collapsed="false" customWidth="false" hidden="false" outlineLevel="0" max="5911" min="5911" style="70" width="42.57"/>
    <col collapsed="false" customWidth="true" hidden="false" outlineLevel="0" max="5912" min="5912" style="70" width="3.29"/>
    <col collapsed="false" customWidth="true" hidden="false" outlineLevel="0" max="5913" min="5913" style="70" width="8"/>
    <col collapsed="false" customWidth="false" hidden="false" outlineLevel="0" max="5914" min="5914" style="70" width="42.57"/>
    <col collapsed="false" customWidth="true" hidden="false" outlineLevel="0" max="5915" min="5915" style="70" width="3.29"/>
    <col collapsed="false" customWidth="true" hidden="false" outlineLevel="0" max="5916" min="5916" style="70" width="8"/>
    <col collapsed="false" customWidth="false" hidden="false" outlineLevel="0" max="5917" min="5917" style="70" width="42.57"/>
    <col collapsed="false" customWidth="true" hidden="false" outlineLevel="0" max="5918" min="5918" style="70" width="3.29"/>
    <col collapsed="false" customWidth="true" hidden="false" outlineLevel="0" max="5919" min="5919" style="70" width="8"/>
    <col collapsed="false" customWidth="false" hidden="false" outlineLevel="0" max="5920" min="5920" style="70" width="42.57"/>
    <col collapsed="false" customWidth="true" hidden="false" outlineLevel="0" max="5921" min="5921" style="70" width="3.29"/>
    <col collapsed="false" customWidth="true" hidden="false" outlineLevel="0" max="5922" min="5922" style="70" width="8"/>
    <col collapsed="false" customWidth="false" hidden="false" outlineLevel="0" max="5923" min="5923" style="70" width="42.57"/>
    <col collapsed="false" customWidth="true" hidden="false" outlineLevel="0" max="5924" min="5924" style="70" width="3.29"/>
    <col collapsed="false" customWidth="true" hidden="false" outlineLevel="0" max="5925" min="5925" style="70" width="8"/>
    <col collapsed="false" customWidth="false" hidden="false" outlineLevel="0" max="5926" min="5926" style="70" width="42.57"/>
    <col collapsed="false" customWidth="true" hidden="false" outlineLevel="0" max="5927" min="5927" style="70" width="3.29"/>
    <col collapsed="false" customWidth="true" hidden="false" outlineLevel="0" max="5928" min="5928" style="70" width="8"/>
    <col collapsed="false" customWidth="false" hidden="false" outlineLevel="0" max="5929" min="5929" style="70" width="42.57"/>
    <col collapsed="false" customWidth="true" hidden="false" outlineLevel="0" max="5930" min="5930" style="70" width="3.29"/>
    <col collapsed="false" customWidth="true" hidden="false" outlineLevel="0" max="5931" min="5931" style="70" width="8"/>
    <col collapsed="false" customWidth="false" hidden="false" outlineLevel="0" max="5932" min="5932" style="70" width="42.57"/>
    <col collapsed="false" customWidth="true" hidden="false" outlineLevel="0" max="5933" min="5933" style="70" width="3.29"/>
    <col collapsed="false" customWidth="true" hidden="false" outlineLevel="0" max="5934" min="5934" style="70" width="8"/>
    <col collapsed="false" customWidth="false" hidden="false" outlineLevel="0" max="5935" min="5935" style="70" width="42.57"/>
    <col collapsed="false" customWidth="true" hidden="false" outlineLevel="0" max="5936" min="5936" style="70" width="3.29"/>
    <col collapsed="false" customWidth="true" hidden="false" outlineLevel="0" max="5937" min="5937" style="70" width="8"/>
    <col collapsed="false" customWidth="false" hidden="false" outlineLevel="0" max="5938" min="5938" style="70" width="42.57"/>
    <col collapsed="false" customWidth="true" hidden="false" outlineLevel="0" max="5939" min="5939" style="70" width="3.29"/>
    <col collapsed="false" customWidth="true" hidden="false" outlineLevel="0" max="5940" min="5940" style="70" width="8"/>
    <col collapsed="false" customWidth="false" hidden="false" outlineLevel="0" max="5941" min="5941" style="70" width="42.57"/>
    <col collapsed="false" customWidth="true" hidden="false" outlineLevel="0" max="5942" min="5942" style="70" width="3.29"/>
    <col collapsed="false" customWidth="true" hidden="false" outlineLevel="0" max="5943" min="5943" style="70" width="8"/>
    <col collapsed="false" customWidth="false" hidden="false" outlineLevel="0" max="5944" min="5944" style="70" width="42.57"/>
    <col collapsed="false" customWidth="true" hidden="false" outlineLevel="0" max="5945" min="5945" style="70" width="3.29"/>
    <col collapsed="false" customWidth="true" hidden="false" outlineLevel="0" max="5946" min="5946" style="70" width="8"/>
    <col collapsed="false" customWidth="false" hidden="false" outlineLevel="0" max="5947" min="5947" style="70" width="42.57"/>
    <col collapsed="false" customWidth="true" hidden="false" outlineLevel="0" max="5948" min="5948" style="70" width="3.29"/>
    <col collapsed="false" customWidth="true" hidden="false" outlineLevel="0" max="5949" min="5949" style="70" width="8"/>
    <col collapsed="false" customWidth="false" hidden="false" outlineLevel="0" max="5950" min="5950" style="70" width="42.57"/>
    <col collapsed="false" customWidth="true" hidden="false" outlineLevel="0" max="5951" min="5951" style="70" width="3.29"/>
    <col collapsed="false" customWidth="true" hidden="false" outlineLevel="0" max="5952" min="5952" style="70" width="8"/>
    <col collapsed="false" customWidth="false" hidden="false" outlineLevel="0" max="5953" min="5953" style="70" width="42.57"/>
    <col collapsed="false" customWidth="true" hidden="false" outlineLevel="0" max="5954" min="5954" style="70" width="3.29"/>
    <col collapsed="false" customWidth="true" hidden="false" outlineLevel="0" max="5955" min="5955" style="70" width="8"/>
    <col collapsed="false" customWidth="false" hidden="false" outlineLevel="0" max="5956" min="5956" style="70" width="42.57"/>
    <col collapsed="false" customWidth="true" hidden="false" outlineLevel="0" max="5957" min="5957" style="70" width="3.29"/>
    <col collapsed="false" customWidth="true" hidden="false" outlineLevel="0" max="5958" min="5958" style="70" width="8"/>
    <col collapsed="false" customWidth="false" hidden="false" outlineLevel="0" max="5959" min="5959" style="70" width="42.57"/>
    <col collapsed="false" customWidth="true" hidden="false" outlineLevel="0" max="5960" min="5960" style="70" width="3.29"/>
    <col collapsed="false" customWidth="true" hidden="false" outlineLevel="0" max="5961" min="5961" style="70" width="8"/>
    <col collapsed="false" customWidth="false" hidden="false" outlineLevel="0" max="5962" min="5962" style="70" width="42.57"/>
    <col collapsed="false" customWidth="true" hidden="false" outlineLevel="0" max="5963" min="5963" style="70" width="3.29"/>
    <col collapsed="false" customWidth="true" hidden="false" outlineLevel="0" max="5964" min="5964" style="70" width="8"/>
    <col collapsed="false" customWidth="false" hidden="false" outlineLevel="0" max="5965" min="5965" style="70" width="42.57"/>
    <col collapsed="false" customWidth="true" hidden="false" outlineLevel="0" max="5966" min="5966" style="70" width="3.29"/>
    <col collapsed="false" customWidth="true" hidden="false" outlineLevel="0" max="5967" min="5967" style="70" width="8"/>
    <col collapsed="false" customWidth="false" hidden="false" outlineLevel="0" max="5968" min="5968" style="70" width="42.57"/>
    <col collapsed="false" customWidth="true" hidden="false" outlineLevel="0" max="5969" min="5969" style="70" width="3.29"/>
    <col collapsed="false" customWidth="true" hidden="false" outlineLevel="0" max="5970" min="5970" style="70" width="8"/>
    <col collapsed="false" customWidth="false" hidden="false" outlineLevel="0" max="5971" min="5971" style="70" width="42.57"/>
    <col collapsed="false" customWidth="true" hidden="false" outlineLevel="0" max="5972" min="5972" style="70" width="3.29"/>
    <col collapsed="false" customWidth="true" hidden="false" outlineLevel="0" max="5973" min="5973" style="70" width="8"/>
    <col collapsed="false" customWidth="false" hidden="false" outlineLevel="0" max="5974" min="5974" style="70" width="42.57"/>
    <col collapsed="false" customWidth="true" hidden="false" outlineLevel="0" max="5975" min="5975" style="70" width="3.29"/>
    <col collapsed="false" customWidth="true" hidden="false" outlineLevel="0" max="5976" min="5976" style="70" width="8"/>
    <col collapsed="false" customWidth="false" hidden="false" outlineLevel="0" max="5977" min="5977" style="70" width="42.57"/>
    <col collapsed="false" customWidth="true" hidden="false" outlineLevel="0" max="5978" min="5978" style="70" width="3.29"/>
    <col collapsed="false" customWidth="true" hidden="false" outlineLevel="0" max="5979" min="5979" style="70" width="8"/>
    <col collapsed="false" customWidth="false" hidden="false" outlineLevel="0" max="5980" min="5980" style="70" width="42.57"/>
    <col collapsed="false" customWidth="true" hidden="false" outlineLevel="0" max="5981" min="5981" style="70" width="3.29"/>
    <col collapsed="false" customWidth="true" hidden="false" outlineLevel="0" max="5982" min="5982" style="70" width="8"/>
    <col collapsed="false" customWidth="false" hidden="false" outlineLevel="0" max="5983" min="5983" style="70" width="42.57"/>
    <col collapsed="false" customWidth="true" hidden="false" outlineLevel="0" max="5984" min="5984" style="70" width="3.29"/>
    <col collapsed="false" customWidth="true" hidden="false" outlineLevel="0" max="5985" min="5985" style="70" width="8"/>
    <col collapsed="false" customWidth="false" hidden="false" outlineLevel="0" max="5986" min="5986" style="70" width="42.57"/>
    <col collapsed="false" customWidth="true" hidden="false" outlineLevel="0" max="5987" min="5987" style="70" width="3.29"/>
    <col collapsed="false" customWidth="true" hidden="false" outlineLevel="0" max="5988" min="5988" style="70" width="8"/>
    <col collapsed="false" customWidth="false" hidden="false" outlineLevel="0" max="5989" min="5989" style="70" width="42.57"/>
    <col collapsed="false" customWidth="true" hidden="false" outlineLevel="0" max="5990" min="5990" style="70" width="3.29"/>
    <col collapsed="false" customWidth="true" hidden="false" outlineLevel="0" max="5991" min="5991" style="70" width="8"/>
    <col collapsed="false" customWidth="false" hidden="false" outlineLevel="0" max="5992" min="5992" style="70" width="42.57"/>
    <col collapsed="false" customWidth="true" hidden="false" outlineLevel="0" max="5993" min="5993" style="70" width="3.29"/>
    <col collapsed="false" customWidth="true" hidden="false" outlineLevel="0" max="5994" min="5994" style="70" width="8"/>
    <col collapsed="false" customWidth="false" hidden="false" outlineLevel="0" max="5995" min="5995" style="70" width="42.57"/>
    <col collapsed="false" customWidth="true" hidden="false" outlineLevel="0" max="5996" min="5996" style="70" width="3.29"/>
    <col collapsed="false" customWidth="true" hidden="false" outlineLevel="0" max="5997" min="5997" style="70" width="8"/>
    <col collapsed="false" customWidth="false" hidden="false" outlineLevel="0" max="5998" min="5998" style="70" width="42.57"/>
    <col collapsed="false" customWidth="true" hidden="false" outlineLevel="0" max="5999" min="5999" style="70" width="3.29"/>
    <col collapsed="false" customWidth="true" hidden="false" outlineLevel="0" max="6000" min="6000" style="70" width="8"/>
    <col collapsed="false" customWidth="false" hidden="false" outlineLevel="0" max="6001" min="6001" style="70" width="42.57"/>
    <col collapsed="false" customWidth="true" hidden="false" outlineLevel="0" max="6002" min="6002" style="70" width="3.29"/>
    <col collapsed="false" customWidth="true" hidden="false" outlineLevel="0" max="6003" min="6003" style="70" width="8"/>
    <col collapsed="false" customWidth="false" hidden="false" outlineLevel="0" max="6004" min="6004" style="70" width="42.57"/>
    <col collapsed="false" customWidth="true" hidden="false" outlineLevel="0" max="6005" min="6005" style="70" width="3.29"/>
    <col collapsed="false" customWidth="true" hidden="false" outlineLevel="0" max="6006" min="6006" style="70" width="8"/>
    <col collapsed="false" customWidth="false" hidden="false" outlineLevel="0" max="6007" min="6007" style="70" width="42.57"/>
    <col collapsed="false" customWidth="true" hidden="false" outlineLevel="0" max="6008" min="6008" style="70" width="3.29"/>
    <col collapsed="false" customWidth="true" hidden="false" outlineLevel="0" max="6009" min="6009" style="70" width="8"/>
    <col collapsed="false" customWidth="false" hidden="false" outlineLevel="0" max="6010" min="6010" style="70" width="42.57"/>
    <col collapsed="false" customWidth="true" hidden="false" outlineLevel="0" max="6011" min="6011" style="70" width="3.29"/>
    <col collapsed="false" customWidth="true" hidden="false" outlineLevel="0" max="6012" min="6012" style="70" width="8"/>
    <col collapsed="false" customWidth="false" hidden="false" outlineLevel="0" max="6013" min="6013" style="70" width="42.57"/>
    <col collapsed="false" customWidth="true" hidden="false" outlineLevel="0" max="6014" min="6014" style="70" width="3.29"/>
    <col collapsed="false" customWidth="true" hidden="false" outlineLevel="0" max="6015" min="6015" style="70" width="8"/>
    <col collapsed="false" customWidth="false" hidden="false" outlineLevel="0" max="6016" min="6016" style="70" width="42.57"/>
    <col collapsed="false" customWidth="true" hidden="false" outlineLevel="0" max="6017" min="6017" style="70" width="3.29"/>
    <col collapsed="false" customWidth="true" hidden="false" outlineLevel="0" max="6018" min="6018" style="70" width="8"/>
    <col collapsed="false" customWidth="false" hidden="false" outlineLevel="0" max="6019" min="6019" style="70" width="42.57"/>
    <col collapsed="false" customWidth="true" hidden="false" outlineLevel="0" max="6020" min="6020" style="70" width="3.29"/>
    <col collapsed="false" customWidth="true" hidden="false" outlineLevel="0" max="6021" min="6021" style="70" width="8"/>
    <col collapsed="false" customWidth="false" hidden="false" outlineLevel="0" max="6022" min="6022" style="70" width="42.57"/>
    <col collapsed="false" customWidth="true" hidden="false" outlineLevel="0" max="6023" min="6023" style="70" width="3.29"/>
    <col collapsed="false" customWidth="true" hidden="false" outlineLevel="0" max="6024" min="6024" style="70" width="8"/>
    <col collapsed="false" customWidth="false" hidden="false" outlineLevel="0" max="6025" min="6025" style="70" width="42.57"/>
    <col collapsed="false" customWidth="true" hidden="false" outlineLevel="0" max="6026" min="6026" style="70" width="3.29"/>
    <col collapsed="false" customWidth="true" hidden="false" outlineLevel="0" max="6027" min="6027" style="70" width="8"/>
    <col collapsed="false" customWidth="false" hidden="false" outlineLevel="0" max="6028" min="6028" style="70" width="42.57"/>
    <col collapsed="false" customWidth="true" hidden="false" outlineLevel="0" max="6029" min="6029" style="70" width="3.29"/>
    <col collapsed="false" customWidth="true" hidden="false" outlineLevel="0" max="6030" min="6030" style="70" width="8"/>
    <col collapsed="false" customWidth="false" hidden="false" outlineLevel="0" max="6031" min="6031" style="70" width="42.57"/>
    <col collapsed="false" customWidth="true" hidden="false" outlineLevel="0" max="6032" min="6032" style="70" width="3.29"/>
    <col collapsed="false" customWidth="true" hidden="false" outlineLevel="0" max="6033" min="6033" style="70" width="8"/>
    <col collapsed="false" customWidth="false" hidden="false" outlineLevel="0" max="6034" min="6034" style="70" width="42.57"/>
    <col collapsed="false" customWidth="true" hidden="false" outlineLevel="0" max="6035" min="6035" style="70" width="3.29"/>
    <col collapsed="false" customWidth="true" hidden="false" outlineLevel="0" max="6036" min="6036" style="70" width="8"/>
    <col collapsed="false" customWidth="false" hidden="false" outlineLevel="0" max="6037" min="6037" style="70" width="42.57"/>
    <col collapsed="false" customWidth="true" hidden="false" outlineLevel="0" max="6038" min="6038" style="70" width="3.29"/>
    <col collapsed="false" customWidth="true" hidden="false" outlineLevel="0" max="6039" min="6039" style="70" width="8"/>
    <col collapsed="false" customWidth="false" hidden="false" outlineLevel="0" max="6040" min="6040" style="70" width="42.57"/>
    <col collapsed="false" customWidth="true" hidden="false" outlineLevel="0" max="6041" min="6041" style="70" width="3.29"/>
    <col collapsed="false" customWidth="true" hidden="false" outlineLevel="0" max="6042" min="6042" style="70" width="8"/>
    <col collapsed="false" customWidth="false" hidden="false" outlineLevel="0" max="6043" min="6043" style="70" width="42.57"/>
    <col collapsed="false" customWidth="true" hidden="false" outlineLevel="0" max="6044" min="6044" style="70" width="3.29"/>
    <col collapsed="false" customWidth="true" hidden="false" outlineLevel="0" max="6045" min="6045" style="70" width="8"/>
    <col collapsed="false" customWidth="false" hidden="false" outlineLevel="0" max="6046" min="6046" style="70" width="42.57"/>
    <col collapsed="false" customWidth="true" hidden="false" outlineLevel="0" max="6047" min="6047" style="70" width="3.29"/>
    <col collapsed="false" customWidth="true" hidden="false" outlineLevel="0" max="6048" min="6048" style="70" width="8"/>
    <col collapsed="false" customWidth="false" hidden="false" outlineLevel="0" max="6049" min="6049" style="70" width="42.57"/>
    <col collapsed="false" customWidth="true" hidden="false" outlineLevel="0" max="6050" min="6050" style="70" width="3.29"/>
    <col collapsed="false" customWidth="true" hidden="false" outlineLevel="0" max="6051" min="6051" style="70" width="8"/>
    <col collapsed="false" customWidth="false" hidden="false" outlineLevel="0" max="6052" min="6052" style="70" width="42.57"/>
    <col collapsed="false" customWidth="true" hidden="false" outlineLevel="0" max="6053" min="6053" style="70" width="3.29"/>
    <col collapsed="false" customWidth="true" hidden="false" outlineLevel="0" max="6054" min="6054" style="70" width="8"/>
    <col collapsed="false" customWidth="false" hidden="false" outlineLevel="0" max="6055" min="6055" style="70" width="42.57"/>
    <col collapsed="false" customWidth="true" hidden="false" outlineLevel="0" max="6056" min="6056" style="70" width="3.29"/>
    <col collapsed="false" customWidth="true" hidden="false" outlineLevel="0" max="6057" min="6057" style="70" width="8"/>
    <col collapsed="false" customWidth="false" hidden="false" outlineLevel="0" max="6058" min="6058" style="70" width="42.57"/>
    <col collapsed="false" customWidth="true" hidden="false" outlineLevel="0" max="6059" min="6059" style="70" width="3.29"/>
    <col collapsed="false" customWidth="true" hidden="false" outlineLevel="0" max="6060" min="6060" style="70" width="8"/>
    <col collapsed="false" customWidth="false" hidden="false" outlineLevel="0" max="6061" min="6061" style="70" width="42.57"/>
    <col collapsed="false" customWidth="true" hidden="false" outlineLevel="0" max="6062" min="6062" style="70" width="3.29"/>
    <col collapsed="false" customWidth="true" hidden="false" outlineLevel="0" max="6063" min="6063" style="70" width="8"/>
    <col collapsed="false" customWidth="false" hidden="false" outlineLevel="0" max="6064" min="6064" style="70" width="42.57"/>
    <col collapsed="false" customWidth="true" hidden="false" outlineLevel="0" max="6065" min="6065" style="70" width="3.29"/>
    <col collapsed="false" customWidth="true" hidden="false" outlineLevel="0" max="6066" min="6066" style="70" width="8"/>
    <col collapsed="false" customWidth="false" hidden="false" outlineLevel="0" max="6067" min="6067" style="70" width="42.57"/>
    <col collapsed="false" customWidth="true" hidden="false" outlineLevel="0" max="6068" min="6068" style="70" width="3.29"/>
    <col collapsed="false" customWidth="true" hidden="false" outlineLevel="0" max="6069" min="6069" style="70" width="8"/>
    <col collapsed="false" customWidth="false" hidden="false" outlineLevel="0" max="6070" min="6070" style="70" width="42.57"/>
    <col collapsed="false" customWidth="true" hidden="false" outlineLevel="0" max="6071" min="6071" style="70" width="3.29"/>
    <col collapsed="false" customWidth="true" hidden="false" outlineLevel="0" max="6072" min="6072" style="70" width="8"/>
    <col collapsed="false" customWidth="false" hidden="false" outlineLevel="0" max="6073" min="6073" style="70" width="42.57"/>
    <col collapsed="false" customWidth="true" hidden="false" outlineLevel="0" max="6074" min="6074" style="70" width="3.29"/>
    <col collapsed="false" customWidth="true" hidden="false" outlineLevel="0" max="6075" min="6075" style="70" width="8"/>
    <col collapsed="false" customWidth="false" hidden="false" outlineLevel="0" max="6076" min="6076" style="70" width="42.57"/>
    <col collapsed="false" customWidth="true" hidden="false" outlineLevel="0" max="6077" min="6077" style="70" width="3.29"/>
    <col collapsed="false" customWidth="true" hidden="false" outlineLevel="0" max="6078" min="6078" style="70" width="8"/>
    <col collapsed="false" customWidth="false" hidden="false" outlineLevel="0" max="6079" min="6079" style="70" width="42.57"/>
    <col collapsed="false" customWidth="true" hidden="false" outlineLevel="0" max="6080" min="6080" style="70" width="3.29"/>
    <col collapsed="false" customWidth="true" hidden="false" outlineLevel="0" max="6081" min="6081" style="70" width="8"/>
    <col collapsed="false" customWidth="false" hidden="false" outlineLevel="0" max="6082" min="6082" style="70" width="42.57"/>
    <col collapsed="false" customWidth="true" hidden="false" outlineLevel="0" max="6083" min="6083" style="70" width="3.29"/>
    <col collapsed="false" customWidth="true" hidden="false" outlineLevel="0" max="6084" min="6084" style="70" width="8"/>
    <col collapsed="false" customWidth="false" hidden="false" outlineLevel="0" max="6085" min="6085" style="70" width="42.57"/>
    <col collapsed="false" customWidth="true" hidden="false" outlineLevel="0" max="6086" min="6086" style="70" width="3.29"/>
    <col collapsed="false" customWidth="true" hidden="false" outlineLevel="0" max="6087" min="6087" style="70" width="8"/>
    <col collapsed="false" customWidth="false" hidden="false" outlineLevel="0" max="6088" min="6088" style="70" width="42.57"/>
    <col collapsed="false" customWidth="true" hidden="false" outlineLevel="0" max="6089" min="6089" style="70" width="3.29"/>
    <col collapsed="false" customWidth="true" hidden="false" outlineLevel="0" max="6090" min="6090" style="70" width="8"/>
    <col collapsed="false" customWidth="false" hidden="false" outlineLevel="0" max="6091" min="6091" style="70" width="42.57"/>
    <col collapsed="false" customWidth="true" hidden="false" outlineLevel="0" max="6092" min="6092" style="70" width="3.29"/>
    <col collapsed="false" customWidth="true" hidden="false" outlineLevel="0" max="6093" min="6093" style="70" width="8"/>
    <col collapsed="false" customWidth="false" hidden="false" outlineLevel="0" max="6094" min="6094" style="70" width="42.57"/>
    <col collapsed="false" customWidth="true" hidden="false" outlineLevel="0" max="6095" min="6095" style="70" width="3.29"/>
    <col collapsed="false" customWidth="true" hidden="false" outlineLevel="0" max="6096" min="6096" style="70" width="8"/>
    <col collapsed="false" customWidth="false" hidden="false" outlineLevel="0" max="6097" min="6097" style="70" width="42.57"/>
    <col collapsed="false" customWidth="true" hidden="false" outlineLevel="0" max="6098" min="6098" style="70" width="3.29"/>
    <col collapsed="false" customWidth="true" hidden="false" outlineLevel="0" max="6099" min="6099" style="70" width="8"/>
    <col collapsed="false" customWidth="false" hidden="false" outlineLevel="0" max="6100" min="6100" style="70" width="42.57"/>
    <col collapsed="false" customWidth="true" hidden="false" outlineLevel="0" max="6101" min="6101" style="70" width="3.29"/>
    <col collapsed="false" customWidth="true" hidden="false" outlineLevel="0" max="6102" min="6102" style="70" width="8"/>
    <col collapsed="false" customWidth="false" hidden="false" outlineLevel="0" max="6103" min="6103" style="70" width="42.57"/>
    <col collapsed="false" customWidth="true" hidden="false" outlineLevel="0" max="6104" min="6104" style="70" width="3.29"/>
    <col collapsed="false" customWidth="true" hidden="false" outlineLevel="0" max="6105" min="6105" style="70" width="8"/>
    <col collapsed="false" customWidth="false" hidden="false" outlineLevel="0" max="6106" min="6106" style="70" width="42.57"/>
    <col collapsed="false" customWidth="true" hidden="false" outlineLevel="0" max="6107" min="6107" style="70" width="3.29"/>
    <col collapsed="false" customWidth="true" hidden="false" outlineLevel="0" max="6108" min="6108" style="70" width="8"/>
    <col collapsed="false" customWidth="false" hidden="false" outlineLevel="0" max="6109" min="6109" style="70" width="42.57"/>
    <col collapsed="false" customWidth="true" hidden="false" outlineLevel="0" max="6110" min="6110" style="70" width="3.29"/>
    <col collapsed="false" customWidth="true" hidden="false" outlineLevel="0" max="6111" min="6111" style="70" width="8"/>
    <col collapsed="false" customWidth="false" hidden="false" outlineLevel="0" max="6112" min="6112" style="70" width="42.57"/>
    <col collapsed="false" customWidth="true" hidden="false" outlineLevel="0" max="6113" min="6113" style="70" width="3.29"/>
    <col collapsed="false" customWidth="true" hidden="false" outlineLevel="0" max="6114" min="6114" style="70" width="8"/>
    <col collapsed="false" customWidth="false" hidden="false" outlineLevel="0" max="6115" min="6115" style="70" width="42.57"/>
    <col collapsed="false" customWidth="true" hidden="false" outlineLevel="0" max="6116" min="6116" style="70" width="3.29"/>
    <col collapsed="false" customWidth="true" hidden="false" outlineLevel="0" max="6117" min="6117" style="70" width="8"/>
    <col collapsed="false" customWidth="false" hidden="false" outlineLevel="0" max="6118" min="6118" style="70" width="42.57"/>
    <col collapsed="false" customWidth="true" hidden="false" outlineLevel="0" max="6119" min="6119" style="70" width="3.29"/>
    <col collapsed="false" customWidth="true" hidden="false" outlineLevel="0" max="6120" min="6120" style="70" width="8"/>
    <col collapsed="false" customWidth="false" hidden="false" outlineLevel="0" max="6121" min="6121" style="70" width="42.57"/>
    <col collapsed="false" customWidth="true" hidden="false" outlineLevel="0" max="6122" min="6122" style="70" width="3.29"/>
    <col collapsed="false" customWidth="true" hidden="false" outlineLevel="0" max="6123" min="6123" style="70" width="8"/>
    <col collapsed="false" customWidth="false" hidden="false" outlineLevel="0" max="6124" min="6124" style="70" width="42.57"/>
    <col collapsed="false" customWidth="true" hidden="false" outlineLevel="0" max="6125" min="6125" style="70" width="3.29"/>
    <col collapsed="false" customWidth="true" hidden="false" outlineLevel="0" max="6126" min="6126" style="70" width="8"/>
    <col collapsed="false" customWidth="false" hidden="false" outlineLevel="0" max="6127" min="6127" style="70" width="42.57"/>
    <col collapsed="false" customWidth="true" hidden="false" outlineLevel="0" max="6128" min="6128" style="70" width="3.29"/>
    <col collapsed="false" customWidth="true" hidden="false" outlineLevel="0" max="6129" min="6129" style="70" width="8"/>
    <col collapsed="false" customWidth="false" hidden="false" outlineLevel="0" max="6130" min="6130" style="70" width="42.57"/>
    <col collapsed="false" customWidth="true" hidden="false" outlineLevel="0" max="6131" min="6131" style="70" width="3.29"/>
    <col collapsed="false" customWidth="true" hidden="false" outlineLevel="0" max="6132" min="6132" style="70" width="8"/>
    <col collapsed="false" customWidth="false" hidden="false" outlineLevel="0" max="6133" min="6133" style="70" width="42.57"/>
    <col collapsed="false" customWidth="true" hidden="false" outlineLevel="0" max="6134" min="6134" style="70" width="3.29"/>
    <col collapsed="false" customWidth="true" hidden="false" outlineLevel="0" max="6135" min="6135" style="70" width="8"/>
    <col collapsed="false" customWidth="false" hidden="false" outlineLevel="0" max="6136" min="6136" style="70" width="42.57"/>
    <col collapsed="false" customWidth="true" hidden="false" outlineLevel="0" max="6137" min="6137" style="70" width="3.29"/>
    <col collapsed="false" customWidth="true" hidden="false" outlineLevel="0" max="6138" min="6138" style="70" width="8"/>
    <col collapsed="false" customWidth="false" hidden="false" outlineLevel="0" max="6139" min="6139" style="70" width="42.57"/>
    <col collapsed="false" customWidth="true" hidden="false" outlineLevel="0" max="6140" min="6140" style="70" width="3.29"/>
    <col collapsed="false" customWidth="true" hidden="false" outlineLevel="0" max="6141" min="6141" style="70" width="8"/>
    <col collapsed="false" customWidth="false" hidden="false" outlineLevel="0" max="6142" min="6142" style="70" width="42.57"/>
    <col collapsed="false" customWidth="true" hidden="false" outlineLevel="0" max="6143" min="6143" style="70" width="3.29"/>
    <col collapsed="false" customWidth="true" hidden="false" outlineLevel="0" max="6144" min="6144" style="70" width="8"/>
    <col collapsed="false" customWidth="false" hidden="false" outlineLevel="0" max="6145" min="6145" style="70" width="42.57"/>
    <col collapsed="false" customWidth="true" hidden="false" outlineLevel="0" max="6146" min="6146" style="70" width="3.29"/>
    <col collapsed="false" customWidth="true" hidden="false" outlineLevel="0" max="6147" min="6147" style="70" width="8"/>
    <col collapsed="false" customWidth="false" hidden="false" outlineLevel="0" max="6148" min="6148" style="70" width="42.57"/>
    <col collapsed="false" customWidth="true" hidden="false" outlineLevel="0" max="6149" min="6149" style="70" width="3.29"/>
    <col collapsed="false" customWidth="true" hidden="false" outlineLevel="0" max="6150" min="6150" style="70" width="8"/>
    <col collapsed="false" customWidth="false" hidden="false" outlineLevel="0" max="6151" min="6151" style="70" width="42.57"/>
    <col collapsed="false" customWidth="true" hidden="false" outlineLevel="0" max="6152" min="6152" style="70" width="3.29"/>
    <col collapsed="false" customWidth="true" hidden="false" outlineLevel="0" max="6153" min="6153" style="70" width="8"/>
    <col collapsed="false" customWidth="false" hidden="false" outlineLevel="0" max="6154" min="6154" style="70" width="42.57"/>
    <col collapsed="false" customWidth="true" hidden="false" outlineLevel="0" max="6155" min="6155" style="70" width="3.29"/>
    <col collapsed="false" customWidth="true" hidden="false" outlineLevel="0" max="6156" min="6156" style="70" width="8"/>
    <col collapsed="false" customWidth="false" hidden="false" outlineLevel="0" max="6157" min="6157" style="70" width="42.57"/>
    <col collapsed="false" customWidth="true" hidden="false" outlineLevel="0" max="6158" min="6158" style="70" width="3.29"/>
    <col collapsed="false" customWidth="true" hidden="false" outlineLevel="0" max="6159" min="6159" style="70" width="8"/>
    <col collapsed="false" customWidth="false" hidden="false" outlineLevel="0" max="6160" min="6160" style="70" width="42.57"/>
    <col collapsed="false" customWidth="true" hidden="false" outlineLevel="0" max="6161" min="6161" style="70" width="3.29"/>
    <col collapsed="false" customWidth="true" hidden="false" outlineLevel="0" max="6162" min="6162" style="70" width="8"/>
    <col collapsed="false" customWidth="false" hidden="false" outlineLevel="0" max="6163" min="6163" style="70" width="42.57"/>
    <col collapsed="false" customWidth="true" hidden="false" outlineLevel="0" max="6164" min="6164" style="70" width="3.29"/>
    <col collapsed="false" customWidth="true" hidden="false" outlineLevel="0" max="6165" min="6165" style="70" width="8"/>
    <col collapsed="false" customWidth="false" hidden="false" outlineLevel="0" max="6166" min="6166" style="70" width="42.57"/>
    <col collapsed="false" customWidth="true" hidden="false" outlineLevel="0" max="6167" min="6167" style="70" width="3.29"/>
    <col collapsed="false" customWidth="true" hidden="false" outlineLevel="0" max="6168" min="6168" style="70" width="8"/>
    <col collapsed="false" customWidth="false" hidden="false" outlineLevel="0" max="6169" min="6169" style="70" width="42.57"/>
    <col collapsed="false" customWidth="true" hidden="false" outlineLevel="0" max="6170" min="6170" style="70" width="3.29"/>
    <col collapsed="false" customWidth="true" hidden="false" outlineLevel="0" max="6171" min="6171" style="70" width="8"/>
    <col collapsed="false" customWidth="false" hidden="false" outlineLevel="0" max="6172" min="6172" style="70" width="42.57"/>
    <col collapsed="false" customWidth="true" hidden="false" outlineLevel="0" max="6173" min="6173" style="70" width="3.29"/>
    <col collapsed="false" customWidth="true" hidden="false" outlineLevel="0" max="6174" min="6174" style="70" width="8"/>
    <col collapsed="false" customWidth="false" hidden="false" outlineLevel="0" max="6175" min="6175" style="70" width="42.57"/>
    <col collapsed="false" customWidth="true" hidden="false" outlineLevel="0" max="6176" min="6176" style="70" width="3.29"/>
    <col collapsed="false" customWidth="true" hidden="false" outlineLevel="0" max="6177" min="6177" style="70" width="8"/>
    <col collapsed="false" customWidth="false" hidden="false" outlineLevel="0" max="6178" min="6178" style="70" width="42.57"/>
    <col collapsed="false" customWidth="true" hidden="false" outlineLevel="0" max="6179" min="6179" style="70" width="3.29"/>
    <col collapsed="false" customWidth="true" hidden="false" outlineLevel="0" max="6180" min="6180" style="70" width="8"/>
    <col collapsed="false" customWidth="false" hidden="false" outlineLevel="0" max="6181" min="6181" style="70" width="42.57"/>
    <col collapsed="false" customWidth="true" hidden="false" outlineLevel="0" max="6182" min="6182" style="70" width="3.29"/>
    <col collapsed="false" customWidth="true" hidden="false" outlineLevel="0" max="6183" min="6183" style="70" width="8"/>
    <col collapsed="false" customWidth="false" hidden="false" outlineLevel="0" max="6184" min="6184" style="70" width="42.57"/>
    <col collapsed="false" customWidth="true" hidden="false" outlineLevel="0" max="6185" min="6185" style="70" width="3.29"/>
    <col collapsed="false" customWidth="true" hidden="false" outlineLevel="0" max="6186" min="6186" style="70" width="8"/>
    <col collapsed="false" customWidth="false" hidden="false" outlineLevel="0" max="6187" min="6187" style="70" width="42.57"/>
    <col collapsed="false" customWidth="true" hidden="false" outlineLevel="0" max="6188" min="6188" style="70" width="3.29"/>
    <col collapsed="false" customWidth="true" hidden="false" outlineLevel="0" max="6189" min="6189" style="70" width="8"/>
    <col collapsed="false" customWidth="false" hidden="false" outlineLevel="0" max="6190" min="6190" style="70" width="42.57"/>
    <col collapsed="false" customWidth="true" hidden="false" outlineLevel="0" max="6191" min="6191" style="70" width="3.29"/>
    <col collapsed="false" customWidth="true" hidden="false" outlineLevel="0" max="6192" min="6192" style="70" width="8"/>
    <col collapsed="false" customWidth="false" hidden="false" outlineLevel="0" max="6193" min="6193" style="70" width="42.57"/>
    <col collapsed="false" customWidth="true" hidden="false" outlineLevel="0" max="6194" min="6194" style="70" width="3.29"/>
    <col collapsed="false" customWidth="true" hidden="false" outlineLevel="0" max="6195" min="6195" style="70" width="8"/>
    <col collapsed="false" customWidth="false" hidden="false" outlineLevel="0" max="6196" min="6196" style="70" width="42.57"/>
    <col collapsed="false" customWidth="true" hidden="false" outlineLevel="0" max="6197" min="6197" style="70" width="3.29"/>
    <col collapsed="false" customWidth="true" hidden="false" outlineLevel="0" max="6198" min="6198" style="70" width="8"/>
    <col collapsed="false" customWidth="false" hidden="false" outlineLevel="0" max="6199" min="6199" style="70" width="42.57"/>
    <col collapsed="false" customWidth="true" hidden="false" outlineLevel="0" max="6200" min="6200" style="70" width="3.29"/>
    <col collapsed="false" customWidth="true" hidden="false" outlineLevel="0" max="6201" min="6201" style="70" width="8"/>
    <col collapsed="false" customWidth="false" hidden="false" outlineLevel="0" max="6202" min="6202" style="70" width="42.57"/>
    <col collapsed="false" customWidth="true" hidden="false" outlineLevel="0" max="6203" min="6203" style="70" width="3.29"/>
    <col collapsed="false" customWidth="true" hidden="false" outlineLevel="0" max="6204" min="6204" style="70" width="8"/>
    <col collapsed="false" customWidth="false" hidden="false" outlineLevel="0" max="6205" min="6205" style="70" width="42.57"/>
    <col collapsed="false" customWidth="true" hidden="false" outlineLevel="0" max="6206" min="6206" style="70" width="3.29"/>
    <col collapsed="false" customWidth="true" hidden="false" outlineLevel="0" max="6207" min="6207" style="70" width="8"/>
    <col collapsed="false" customWidth="false" hidden="false" outlineLevel="0" max="6208" min="6208" style="70" width="42.57"/>
    <col collapsed="false" customWidth="true" hidden="false" outlineLevel="0" max="6209" min="6209" style="70" width="3.29"/>
    <col collapsed="false" customWidth="true" hidden="false" outlineLevel="0" max="6210" min="6210" style="70" width="8"/>
    <col collapsed="false" customWidth="false" hidden="false" outlineLevel="0" max="6211" min="6211" style="70" width="42.57"/>
    <col collapsed="false" customWidth="true" hidden="false" outlineLevel="0" max="6212" min="6212" style="70" width="3.29"/>
    <col collapsed="false" customWidth="true" hidden="false" outlineLevel="0" max="6213" min="6213" style="70" width="8"/>
    <col collapsed="false" customWidth="false" hidden="false" outlineLevel="0" max="6214" min="6214" style="70" width="42.57"/>
    <col collapsed="false" customWidth="true" hidden="false" outlineLevel="0" max="6215" min="6215" style="70" width="3.29"/>
    <col collapsed="false" customWidth="true" hidden="false" outlineLevel="0" max="6216" min="6216" style="70" width="8"/>
    <col collapsed="false" customWidth="false" hidden="false" outlineLevel="0" max="6217" min="6217" style="70" width="42.57"/>
    <col collapsed="false" customWidth="true" hidden="false" outlineLevel="0" max="6218" min="6218" style="70" width="3.29"/>
    <col collapsed="false" customWidth="true" hidden="false" outlineLevel="0" max="6219" min="6219" style="70" width="8"/>
    <col collapsed="false" customWidth="false" hidden="false" outlineLevel="0" max="6220" min="6220" style="70" width="42.57"/>
    <col collapsed="false" customWidth="true" hidden="false" outlineLevel="0" max="6221" min="6221" style="70" width="3.29"/>
    <col collapsed="false" customWidth="true" hidden="false" outlineLevel="0" max="6222" min="6222" style="70" width="8"/>
    <col collapsed="false" customWidth="false" hidden="false" outlineLevel="0" max="6223" min="6223" style="70" width="42.57"/>
    <col collapsed="false" customWidth="true" hidden="false" outlineLevel="0" max="6224" min="6224" style="70" width="3.29"/>
    <col collapsed="false" customWidth="true" hidden="false" outlineLevel="0" max="6225" min="6225" style="70" width="8"/>
    <col collapsed="false" customWidth="false" hidden="false" outlineLevel="0" max="6226" min="6226" style="70" width="42.57"/>
    <col collapsed="false" customWidth="true" hidden="false" outlineLevel="0" max="6227" min="6227" style="70" width="3.29"/>
    <col collapsed="false" customWidth="true" hidden="false" outlineLevel="0" max="6228" min="6228" style="70" width="8"/>
    <col collapsed="false" customWidth="false" hidden="false" outlineLevel="0" max="6229" min="6229" style="70" width="42.57"/>
    <col collapsed="false" customWidth="true" hidden="false" outlineLevel="0" max="6230" min="6230" style="70" width="3.29"/>
    <col collapsed="false" customWidth="true" hidden="false" outlineLevel="0" max="6231" min="6231" style="70" width="8"/>
    <col collapsed="false" customWidth="false" hidden="false" outlineLevel="0" max="6232" min="6232" style="70" width="42.57"/>
    <col collapsed="false" customWidth="true" hidden="false" outlineLevel="0" max="6233" min="6233" style="70" width="3.29"/>
    <col collapsed="false" customWidth="true" hidden="false" outlineLevel="0" max="6234" min="6234" style="70" width="8"/>
    <col collapsed="false" customWidth="false" hidden="false" outlineLevel="0" max="6235" min="6235" style="70" width="42.57"/>
    <col collapsed="false" customWidth="true" hidden="false" outlineLevel="0" max="6236" min="6236" style="70" width="3.29"/>
    <col collapsed="false" customWidth="true" hidden="false" outlineLevel="0" max="6237" min="6237" style="70" width="8"/>
    <col collapsed="false" customWidth="false" hidden="false" outlineLevel="0" max="6238" min="6238" style="70" width="42.57"/>
    <col collapsed="false" customWidth="true" hidden="false" outlineLevel="0" max="6239" min="6239" style="70" width="3.29"/>
    <col collapsed="false" customWidth="true" hidden="false" outlineLevel="0" max="6240" min="6240" style="70" width="8"/>
    <col collapsed="false" customWidth="false" hidden="false" outlineLevel="0" max="6241" min="6241" style="70" width="42.57"/>
    <col collapsed="false" customWidth="true" hidden="false" outlineLevel="0" max="6242" min="6242" style="70" width="3.29"/>
    <col collapsed="false" customWidth="true" hidden="false" outlineLevel="0" max="6243" min="6243" style="70" width="8"/>
    <col collapsed="false" customWidth="false" hidden="false" outlineLevel="0" max="6244" min="6244" style="70" width="42.57"/>
    <col collapsed="false" customWidth="true" hidden="false" outlineLevel="0" max="6245" min="6245" style="70" width="3.29"/>
    <col collapsed="false" customWidth="true" hidden="false" outlineLevel="0" max="6246" min="6246" style="70" width="8"/>
    <col collapsed="false" customWidth="false" hidden="false" outlineLevel="0" max="6247" min="6247" style="70" width="42.57"/>
    <col collapsed="false" customWidth="true" hidden="false" outlineLevel="0" max="6248" min="6248" style="70" width="3.29"/>
    <col collapsed="false" customWidth="true" hidden="false" outlineLevel="0" max="6249" min="6249" style="70" width="8"/>
    <col collapsed="false" customWidth="false" hidden="false" outlineLevel="0" max="6250" min="6250" style="70" width="42.57"/>
    <col collapsed="false" customWidth="true" hidden="false" outlineLevel="0" max="6251" min="6251" style="70" width="3.29"/>
    <col collapsed="false" customWidth="true" hidden="false" outlineLevel="0" max="6252" min="6252" style="70" width="8"/>
    <col collapsed="false" customWidth="false" hidden="false" outlineLevel="0" max="6253" min="6253" style="70" width="42.57"/>
    <col collapsed="false" customWidth="true" hidden="false" outlineLevel="0" max="6254" min="6254" style="70" width="3.29"/>
    <col collapsed="false" customWidth="true" hidden="false" outlineLevel="0" max="6255" min="6255" style="70" width="8"/>
    <col collapsed="false" customWidth="false" hidden="false" outlineLevel="0" max="6256" min="6256" style="70" width="42.57"/>
    <col collapsed="false" customWidth="true" hidden="false" outlineLevel="0" max="6257" min="6257" style="70" width="3.29"/>
    <col collapsed="false" customWidth="true" hidden="false" outlineLevel="0" max="6258" min="6258" style="70" width="8"/>
    <col collapsed="false" customWidth="false" hidden="false" outlineLevel="0" max="6259" min="6259" style="70" width="42.57"/>
    <col collapsed="false" customWidth="true" hidden="false" outlineLevel="0" max="6260" min="6260" style="70" width="3.29"/>
    <col collapsed="false" customWidth="true" hidden="false" outlineLevel="0" max="6261" min="6261" style="70" width="8"/>
    <col collapsed="false" customWidth="false" hidden="false" outlineLevel="0" max="6262" min="6262" style="70" width="42.57"/>
    <col collapsed="false" customWidth="true" hidden="false" outlineLevel="0" max="6263" min="6263" style="70" width="3.29"/>
    <col collapsed="false" customWidth="true" hidden="false" outlineLevel="0" max="6264" min="6264" style="70" width="8"/>
    <col collapsed="false" customWidth="false" hidden="false" outlineLevel="0" max="6265" min="6265" style="70" width="42.57"/>
    <col collapsed="false" customWidth="true" hidden="false" outlineLevel="0" max="6266" min="6266" style="70" width="3.29"/>
    <col collapsed="false" customWidth="true" hidden="false" outlineLevel="0" max="6267" min="6267" style="70" width="8"/>
    <col collapsed="false" customWidth="false" hidden="false" outlineLevel="0" max="6268" min="6268" style="70" width="42.57"/>
    <col collapsed="false" customWidth="true" hidden="false" outlineLevel="0" max="6269" min="6269" style="70" width="3.29"/>
    <col collapsed="false" customWidth="true" hidden="false" outlineLevel="0" max="6270" min="6270" style="70" width="8"/>
    <col collapsed="false" customWidth="false" hidden="false" outlineLevel="0" max="6271" min="6271" style="70" width="42.57"/>
    <col collapsed="false" customWidth="true" hidden="false" outlineLevel="0" max="6272" min="6272" style="70" width="3.29"/>
    <col collapsed="false" customWidth="true" hidden="false" outlineLevel="0" max="6273" min="6273" style="70" width="8"/>
    <col collapsed="false" customWidth="false" hidden="false" outlineLevel="0" max="6274" min="6274" style="70" width="42.57"/>
    <col collapsed="false" customWidth="true" hidden="false" outlineLevel="0" max="6275" min="6275" style="70" width="3.29"/>
    <col collapsed="false" customWidth="true" hidden="false" outlineLevel="0" max="6276" min="6276" style="70" width="8"/>
    <col collapsed="false" customWidth="false" hidden="false" outlineLevel="0" max="6277" min="6277" style="70" width="42.57"/>
    <col collapsed="false" customWidth="true" hidden="false" outlineLevel="0" max="6278" min="6278" style="70" width="3.29"/>
    <col collapsed="false" customWidth="true" hidden="false" outlineLevel="0" max="6279" min="6279" style="70" width="8"/>
    <col collapsed="false" customWidth="false" hidden="false" outlineLevel="0" max="6280" min="6280" style="70" width="42.57"/>
    <col collapsed="false" customWidth="true" hidden="false" outlineLevel="0" max="6281" min="6281" style="70" width="3.29"/>
    <col collapsed="false" customWidth="true" hidden="false" outlineLevel="0" max="6282" min="6282" style="70" width="8"/>
    <col collapsed="false" customWidth="false" hidden="false" outlineLevel="0" max="6283" min="6283" style="70" width="42.57"/>
    <col collapsed="false" customWidth="true" hidden="false" outlineLevel="0" max="6284" min="6284" style="70" width="3.29"/>
    <col collapsed="false" customWidth="true" hidden="false" outlineLevel="0" max="6285" min="6285" style="70" width="8"/>
    <col collapsed="false" customWidth="false" hidden="false" outlineLevel="0" max="6286" min="6286" style="70" width="42.57"/>
    <col collapsed="false" customWidth="true" hidden="false" outlineLevel="0" max="6287" min="6287" style="70" width="3.29"/>
    <col collapsed="false" customWidth="true" hidden="false" outlineLevel="0" max="6288" min="6288" style="70" width="8"/>
    <col collapsed="false" customWidth="false" hidden="false" outlineLevel="0" max="6289" min="6289" style="70" width="42.57"/>
    <col collapsed="false" customWidth="true" hidden="false" outlineLevel="0" max="6290" min="6290" style="70" width="3.29"/>
    <col collapsed="false" customWidth="true" hidden="false" outlineLevel="0" max="6291" min="6291" style="70" width="8"/>
    <col collapsed="false" customWidth="false" hidden="false" outlineLevel="0" max="6292" min="6292" style="70" width="42.57"/>
    <col collapsed="false" customWidth="true" hidden="false" outlineLevel="0" max="6293" min="6293" style="70" width="3.29"/>
    <col collapsed="false" customWidth="true" hidden="false" outlineLevel="0" max="6294" min="6294" style="70" width="8"/>
    <col collapsed="false" customWidth="false" hidden="false" outlineLevel="0" max="6295" min="6295" style="70" width="42.57"/>
    <col collapsed="false" customWidth="true" hidden="false" outlineLevel="0" max="6296" min="6296" style="70" width="3.29"/>
    <col collapsed="false" customWidth="true" hidden="false" outlineLevel="0" max="6297" min="6297" style="70" width="8"/>
    <col collapsed="false" customWidth="false" hidden="false" outlineLevel="0" max="6298" min="6298" style="70" width="42.57"/>
    <col collapsed="false" customWidth="true" hidden="false" outlineLevel="0" max="6299" min="6299" style="70" width="3.29"/>
    <col collapsed="false" customWidth="true" hidden="false" outlineLevel="0" max="6300" min="6300" style="70" width="8"/>
    <col collapsed="false" customWidth="false" hidden="false" outlineLevel="0" max="6301" min="6301" style="70" width="42.57"/>
    <col collapsed="false" customWidth="true" hidden="false" outlineLevel="0" max="6302" min="6302" style="70" width="3.29"/>
    <col collapsed="false" customWidth="true" hidden="false" outlineLevel="0" max="6303" min="6303" style="70" width="8"/>
    <col collapsed="false" customWidth="false" hidden="false" outlineLevel="0" max="6304" min="6304" style="70" width="42.57"/>
    <col collapsed="false" customWidth="true" hidden="false" outlineLevel="0" max="6305" min="6305" style="70" width="3.29"/>
    <col collapsed="false" customWidth="true" hidden="false" outlineLevel="0" max="6306" min="6306" style="70" width="8"/>
    <col collapsed="false" customWidth="false" hidden="false" outlineLevel="0" max="6307" min="6307" style="70" width="42.57"/>
    <col collapsed="false" customWidth="true" hidden="false" outlineLevel="0" max="6308" min="6308" style="70" width="3.29"/>
    <col collapsed="false" customWidth="true" hidden="false" outlineLevel="0" max="6309" min="6309" style="70" width="8"/>
    <col collapsed="false" customWidth="false" hidden="false" outlineLevel="0" max="6310" min="6310" style="70" width="42.57"/>
    <col collapsed="false" customWidth="true" hidden="false" outlineLevel="0" max="6311" min="6311" style="70" width="3.29"/>
    <col collapsed="false" customWidth="true" hidden="false" outlineLevel="0" max="6312" min="6312" style="70" width="8"/>
    <col collapsed="false" customWidth="false" hidden="false" outlineLevel="0" max="6313" min="6313" style="70" width="42.57"/>
    <col collapsed="false" customWidth="true" hidden="false" outlineLevel="0" max="6314" min="6314" style="70" width="3.29"/>
    <col collapsed="false" customWidth="true" hidden="false" outlineLevel="0" max="6315" min="6315" style="70" width="8"/>
    <col collapsed="false" customWidth="false" hidden="false" outlineLevel="0" max="6316" min="6316" style="70" width="42.57"/>
    <col collapsed="false" customWidth="true" hidden="false" outlineLevel="0" max="6317" min="6317" style="70" width="3.29"/>
    <col collapsed="false" customWidth="true" hidden="false" outlineLevel="0" max="6318" min="6318" style="70" width="8"/>
    <col collapsed="false" customWidth="false" hidden="false" outlineLevel="0" max="6319" min="6319" style="70" width="42.57"/>
    <col collapsed="false" customWidth="true" hidden="false" outlineLevel="0" max="6320" min="6320" style="70" width="3.29"/>
    <col collapsed="false" customWidth="true" hidden="false" outlineLevel="0" max="6321" min="6321" style="70" width="8"/>
    <col collapsed="false" customWidth="false" hidden="false" outlineLevel="0" max="6322" min="6322" style="70" width="42.57"/>
    <col collapsed="false" customWidth="true" hidden="false" outlineLevel="0" max="6323" min="6323" style="70" width="3.29"/>
    <col collapsed="false" customWidth="true" hidden="false" outlineLevel="0" max="6324" min="6324" style="70" width="8"/>
    <col collapsed="false" customWidth="false" hidden="false" outlineLevel="0" max="6325" min="6325" style="70" width="42.57"/>
    <col collapsed="false" customWidth="true" hidden="false" outlineLevel="0" max="6326" min="6326" style="70" width="3.29"/>
    <col collapsed="false" customWidth="true" hidden="false" outlineLevel="0" max="6327" min="6327" style="70" width="8"/>
    <col collapsed="false" customWidth="false" hidden="false" outlineLevel="0" max="6328" min="6328" style="70" width="42.57"/>
    <col collapsed="false" customWidth="true" hidden="false" outlineLevel="0" max="6329" min="6329" style="70" width="3.29"/>
    <col collapsed="false" customWidth="true" hidden="false" outlineLevel="0" max="6330" min="6330" style="70" width="8"/>
    <col collapsed="false" customWidth="false" hidden="false" outlineLevel="0" max="6331" min="6331" style="70" width="42.57"/>
    <col collapsed="false" customWidth="true" hidden="false" outlineLevel="0" max="6332" min="6332" style="70" width="3.29"/>
    <col collapsed="false" customWidth="true" hidden="false" outlineLevel="0" max="6333" min="6333" style="70" width="8"/>
    <col collapsed="false" customWidth="false" hidden="false" outlineLevel="0" max="6334" min="6334" style="70" width="42.57"/>
    <col collapsed="false" customWidth="true" hidden="false" outlineLevel="0" max="6335" min="6335" style="70" width="3.29"/>
    <col collapsed="false" customWidth="true" hidden="false" outlineLevel="0" max="6336" min="6336" style="70" width="8"/>
    <col collapsed="false" customWidth="false" hidden="false" outlineLevel="0" max="6337" min="6337" style="70" width="42.57"/>
    <col collapsed="false" customWidth="true" hidden="false" outlineLevel="0" max="6338" min="6338" style="70" width="3.29"/>
    <col collapsed="false" customWidth="true" hidden="false" outlineLevel="0" max="6339" min="6339" style="70" width="8"/>
    <col collapsed="false" customWidth="false" hidden="false" outlineLevel="0" max="6340" min="6340" style="70" width="42.57"/>
    <col collapsed="false" customWidth="true" hidden="false" outlineLevel="0" max="6341" min="6341" style="70" width="3.29"/>
    <col collapsed="false" customWidth="true" hidden="false" outlineLevel="0" max="6342" min="6342" style="70" width="8"/>
    <col collapsed="false" customWidth="false" hidden="false" outlineLevel="0" max="6343" min="6343" style="70" width="42.57"/>
    <col collapsed="false" customWidth="true" hidden="false" outlineLevel="0" max="6344" min="6344" style="70" width="3.29"/>
    <col collapsed="false" customWidth="true" hidden="false" outlineLevel="0" max="6345" min="6345" style="70" width="8"/>
    <col collapsed="false" customWidth="false" hidden="false" outlineLevel="0" max="6346" min="6346" style="70" width="42.57"/>
    <col collapsed="false" customWidth="true" hidden="false" outlineLevel="0" max="6347" min="6347" style="70" width="3.29"/>
    <col collapsed="false" customWidth="true" hidden="false" outlineLevel="0" max="6348" min="6348" style="70" width="8"/>
    <col collapsed="false" customWidth="false" hidden="false" outlineLevel="0" max="6349" min="6349" style="70" width="42.57"/>
    <col collapsed="false" customWidth="true" hidden="false" outlineLevel="0" max="6350" min="6350" style="70" width="3.29"/>
    <col collapsed="false" customWidth="true" hidden="false" outlineLevel="0" max="6351" min="6351" style="70" width="8"/>
    <col collapsed="false" customWidth="false" hidden="false" outlineLevel="0" max="6352" min="6352" style="70" width="42.57"/>
    <col collapsed="false" customWidth="true" hidden="false" outlineLevel="0" max="6353" min="6353" style="70" width="3.29"/>
    <col collapsed="false" customWidth="true" hidden="false" outlineLevel="0" max="6354" min="6354" style="70" width="8"/>
    <col collapsed="false" customWidth="false" hidden="false" outlineLevel="0" max="6355" min="6355" style="70" width="42.57"/>
    <col collapsed="false" customWidth="true" hidden="false" outlineLevel="0" max="6356" min="6356" style="70" width="3.29"/>
    <col collapsed="false" customWidth="true" hidden="false" outlineLevel="0" max="6357" min="6357" style="70" width="8"/>
    <col collapsed="false" customWidth="false" hidden="false" outlineLevel="0" max="6358" min="6358" style="70" width="42.57"/>
    <col collapsed="false" customWidth="true" hidden="false" outlineLevel="0" max="6359" min="6359" style="70" width="3.29"/>
    <col collapsed="false" customWidth="true" hidden="false" outlineLevel="0" max="6360" min="6360" style="70" width="8"/>
    <col collapsed="false" customWidth="false" hidden="false" outlineLevel="0" max="6361" min="6361" style="70" width="42.57"/>
    <col collapsed="false" customWidth="true" hidden="false" outlineLevel="0" max="6362" min="6362" style="70" width="3.29"/>
    <col collapsed="false" customWidth="true" hidden="false" outlineLevel="0" max="6363" min="6363" style="70" width="8"/>
    <col collapsed="false" customWidth="false" hidden="false" outlineLevel="0" max="6364" min="6364" style="70" width="42.57"/>
    <col collapsed="false" customWidth="true" hidden="false" outlineLevel="0" max="6365" min="6365" style="70" width="3.29"/>
    <col collapsed="false" customWidth="true" hidden="false" outlineLevel="0" max="6366" min="6366" style="70" width="8"/>
    <col collapsed="false" customWidth="false" hidden="false" outlineLevel="0" max="6367" min="6367" style="70" width="42.57"/>
    <col collapsed="false" customWidth="true" hidden="false" outlineLevel="0" max="6368" min="6368" style="70" width="3.29"/>
    <col collapsed="false" customWidth="true" hidden="false" outlineLevel="0" max="6369" min="6369" style="70" width="8"/>
    <col collapsed="false" customWidth="false" hidden="false" outlineLevel="0" max="6370" min="6370" style="70" width="42.57"/>
    <col collapsed="false" customWidth="true" hidden="false" outlineLevel="0" max="6371" min="6371" style="70" width="3.29"/>
    <col collapsed="false" customWidth="true" hidden="false" outlineLevel="0" max="6372" min="6372" style="70" width="8"/>
    <col collapsed="false" customWidth="false" hidden="false" outlineLevel="0" max="6373" min="6373" style="70" width="42.57"/>
    <col collapsed="false" customWidth="true" hidden="false" outlineLevel="0" max="6374" min="6374" style="70" width="3.29"/>
    <col collapsed="false" customWidth="true" hidden="false" outlineLevel="0" max="6375" min="6375" style="70" width="8"/>
    <col collapsed="false" customWidth="false" hidden="false" outlineLevel="0" max="6376" min="6376" style="70" width="42.57"/>
    <col collapsed="false" customWidth="true" hidden="false" outlineLevel="0" max="6377" min="6377" style="70" width="3.29"/>
    <col collapsed="false" customWidth="true" hidden="false" outlineLevel="0" max="6378" min="6378" style="70" width="8"/>
    <col collapsed="false" customWidth="false" hidden="false" outlineLevel="0" max="6379" min="6379" style="70" width="42.57"/>
    <col collapsed="false" customWidth="true" hidden="false" outlineLevel="0" max="6380" min="6380" style="70" width="3.29"/>
    <col collapsed="false" customWidth="true" hidden="false" outlineLevel="0" max="6381" min="6381" style="70" width="8"/>
    <col collapsed="false" customWidth="false" hidden="false" outlineLevel="0" max="6382" min="6382" style="70" width="42.57"/>
    <col collapsed="false" customWidth="true" hidden="false" outlineLevel="0" max="6383" min="6383" style="70" width="3.29"/>
    <col collapsed="false" customWidth="true" hidden="false" outlineLevel="0" max="6384" min="6384" style="70" width="8"/>
    <col collapsed="false" customWidth="false" hidden="false" outlineLevel="0" max="6385" min="6385" style="70" width="42.57"/>
    <col collapsed="false" customWidth="true" hidden="false" outlineLevel="0" max="6386" min="6386" style="70" width="3.29"/>
    <col collapsed="false" customWidth="true" hidden="false" outlineLevel="0" max="6387" min="6387" style="70" width="8"/>
    <col collapsed="false" customWidth="false" hidden="false" outlineLevel="0" max="6388" min="6388" style="70" width="42.57"/>
    <col collapsed="false" customWidth="true" hidden="false" outlineLevel="0" max="6389" min="6389" style="70" width="3.29"/>
    <col collapsed="false" customWidth="true" hidden="false" outlineLevel="0" max="6390" min="6390" style="70" width="8"/>
    <col collapsed="false" customWidth="false" hidden="false" outlineLevel="0" max="6391" min="6391" style="70" width="42.57"/>
    <col collapsed="false" customWidth="true" hidden="false" outlineLevel="0" max="6392" min="6392" style="70" width="3.29"/>
    <col collapsed="false" customWidth="true" hidden="false" outlineLevel="0" max="6393" min="6393" style="70" width="8"/>
    <col collapsed="false" customWidth="false" hidden="false" outlineLevel="0" max="6394" min="6394" style="70" width="42.57"/>
    <col collapsed="false" customWidth="true" hidden="false" outlineLevel="0" max="6395" min="6395" style="70" width="3.29"/>
    <col collapsed="false" customWidth="true" hidden="false" outlineLevel="0" max="6396" min="6396" style="70" width="8"/>
    <col collapsed="false" customWidth="false" hidden="false" outlineLevel="0" max="6397" min="6397" style="70" width="42.57"/>
    <col collapsed="false" customWidth="true" hidden="false" outlineLevel="0" max="6398" min="6398" style="70" width="3.29"/>
    <col collapsed="false" customWidth="true" hidden="false" outlineLevel="0" max="6399" min="6399" style="70" width="8"/>
    <col collapsed="false" customWidth="false" hidden="false" outlineLevel="0" max="6400" min="6400" style="70" width="42.57"/>
    <col collapsed="false" customWidth="true" hidden="false" outlineLevel="0" max="6401" min="6401" style="70" width="3.29"/>
    <col collapsed="false" customWidth="true" hidden="false" outlineLevel="0" max="6402" min="6402" style="70" width="8"/>
    <col collapsed="false" customWidth="false" hidden="false" outlineLevel="0" max="6403" min="6403" style="70" width="42.57"/>
    <col collapsed="false" customWidth="true" hidden="false" outlineLevel="0" max="6404" min="6404" style="70" width="3.29"/>
    <col collapsed="false" customWidth="true" hidden="false" outlineLevel="0" max="6405" min="6405" style="70" width="8"/>
    <col collapsed="false" customWidth="false" hidden="false" outlineLevel="0" max="6406" min="6406" style="70" width="42.57"/>
    <col collapsed="false" customWidth="true" hidden="false" outlineLevel="0" max="6407" min="6407" style="70" width="3.29"/>
    <col collapsed="false" customWidth="true" hidden="false" outlineLevel="0" max="6408" min="6408" style="70" width="8"/>
    <col collapsed="false" customWidth="false" hidden="false" outlineLevel="0" max="6409" min="6409" style="70" width="42.57"/>
    <col collapsed="false" customWidth="true" hidden="false" outlineLevel="0" max="6410" min="6410" style="70" width="3.29"/>
    <col collapsed="false" customWidth="true" hidden="false" outlineLevel="0" max="6411" min="6411" style="70" width="8"/>
    <col collapsed="false" customWidth="false" hidden="false" outlineLevel="0" max="6412" min="6412" style="70" width="42.57"/>
    <col collapsed="false" customWidth="true" hidden="false" outlineLevel="0" max="6413" min="6413" style="70" width="3.29"/>
    <col collapsed="false" customWidth="true" hidden="false" outlineLevel="0" max="6414" min="6414" style="70" width="8"/>
    <col collapsed="false" customWidth="false" hidden="false" outlineLevel="0" max="6415" min="6415" style="70" width="42.57"/>
    <col collapsed="false" customWidth="true" hidden="false" outlineLevel="0" max="6416" min="6416" style="70" width="3.29"/>
    <col collapsed="false" customWidth="true" hidden="false" outlineLevel="0" max="6417" min="6417" style="70" width="8"/>
    <col collapsed="false" customWidth="false" hidden="false" outlineLevel="0" max="6418" min="6418" style="70" width="42.57"/>
    <col collapsed="false" customWidth="true" hidden="false" outlineLevel="0" max="6419" min="6419" style="70" width="3.29"/>
    <col collapsed="false" customWidth="true" hidden="false" outlineLevel="0" max="6420" min="6420" style="70" width="8"/>
    <col collapsed="false" customWidth="false" hidden="false" outlineLevel="0" max="6421" min="6421" style="70" width="42.57"/>
    <col collapsed="false" customWidth="true" hidden="false" outlineLevel="0" max="6422" min="6422" style="70" width="3.29"/>
    <col collapsed="false" customWidth="true" hidden="false" outlineLevel="0" max="6423" min="6423" style="70" width="8"/>
    <col collapsed="false" customWidth="false" hidden="false" outlineLevel="0" max="6424" min="6424" style="70" width="42.57"/>
    <col collapsed="false" customWidth="true" hidden="false" outlineLevel="0" max="6425" min="6425" style="70" width="3.29"/>
    <col collapsed="false" customWidth="true" hidden="false" outlineLevel="0" max="6426" min="6426" style="70" width="8"/>
    <col collapsed="false" customWidth="false" hidden="false" outlineLevel="0" max="6427" min="6427" style="70" width="42.57"/>
    <col collapsed="false" customWidth="true" hidden="false" outlineLevel="0" max="6428" min="6428" style="70" width="3.29"/>
    <col collapsed="false" customWidth="true" hidden="false" outlineLevel="0" max="6429" min="6429" style="70" width="8"/>
    <col collapsed="false" customWidth="false" hidden="false" outlineLevel="0" max="6430" min="6430" style="70" width="42.57"/>
    <col collapsed="false" customWidth="true" hidden="false" outlineLevel="0" max="6431" min="6431" style="70" width="3.29"/>
    <col collapsed="false" customWidth="true" hidden="false" outlineLevel="0" max="6432" min="6432" style="70" width="8"/>
    <col collapsed="false" customWidth="false" hidden="false" outlineLevel="0" max="6433" min="6433" style="70" width="42.57"/>
    <col collapsed="false" customWidth="true" hidden="false" outlineLevel="0" max="6434" min="6434" style="70" width="3.29"/>
    <col collapsed="false" customWidth="true" hidden="false" outlineLevel="0" max="6435" min="6435" style="70" width="8"/>
    <col collapsed="false" customWidth="false" hidden="false" outlineLevel="0" max="6436" min="6436" style="70" width="42.57"/>
    <col collapsed="false" customWidth="true" hidden="false" outlineLevel="0" max="6437" min="6437" style="70" width="3.29"/>
    <col collapsed="false" customWidth="true" hidden="false" outlineLevel="0" max="6438" min="6438" style="70" width="8"/>
    <col collapsed="false" customWidth="false" hidden="false" outlineLevel="0" max="6439" min="6439" style="70" width="42.57"/>
    <col collapsed="false" customWidth="true" hidden="false" outlineLevel="0" max="6440" min="6440" style="70" width="3.29"/>
    <col collapsed="false" customWidth="true" hidden="false" outlineLevel="0" max="6441" min="6441" style="70" width="8"/>
    <col collapsed="false" customWidth="false" hidden="false" outlineLevel="0" max="6442" min="6442" style="70" width="42.57"/>
    <col collapsed="false" customWidth="true" hidden="false" outlineLevel="0" max="6443" min="6443" style="70" width="3.29"/>
    <col collapsed="false" customWidth="true" hidden="false" outlineLevel="0" max="6444" min="6444" style="70" width="8"/>
    <col collapsed="false" customWidth="false" hidden="false" outlineLevel="0" max="6445" min="6445" style="70" width="42.57"/>
    <col collapsed="false" customWidth="true" hidden="false" outlineLevel="0" max="6446" min="6446" style="70" width="3.29"/>
    <col collapsed="false" customWidth="true" hidden="false" outlineLevel="0" max="6447" min="6447" style="70" width="8"/>
    <col collapsed="false" customWidth="false" hidden="false" outlineLevel="0" max="6448" min="6448" style="70" width="42.57"/>
    <col collapsed="false" customWidth="true" hidden="false" outlineLevel="0" max="6449" min="6449" style="70" width="3.29"/>
    <col collapsed="false" customWidth="true" hidden="false" outlineLevel="0" max="6450" min="6450" style="70" width="8"/>
    <col collapsed="false" customWidth="false" hidden="false" outlineLevel="0" max="6451" min="6451" style="70" width="42.57"/>
    <col collapsed="false" customWidth="true" hidden="false" outlineLevel="0" max="6452" min="6452" style="70" width="3.29"/>
    <col collapsed="false" customWidth="true" hidden="false" outlineLevel="0" max="6453" min="6453" style="70" width="8"/>
    <col collapsed="false" customWidth="false" hidden="false" outlineLevel="0" max="6454" min="6454" style="70" width="42.57"/>
    <col collapsed="false" customWidth="true" hidden="false" outlineLevel="0" max="6455" min="6455" style="70" width="3.29"/>
    <col collapsed="false" customWidth="true" hidden="false" outlineLevel="0" max="6456" min="6456" style="70" width="8"/>
    <col collapsed="false" customWidth="false" hidden="false" outlineLevel="0" max="6457" min="6457" style="70" width="42.57"/>
    <col collapsed="false" customWidth="true" hidden="false" outlineLevel="0" max="6458" min="6458" style="70" width="3.29"/>
    <col collapsed="false" customWidth="true" hidden="false" outlineLevel="0" max="6459" min="6459" style="70" width="8"/>
    <col collapsed="false" customWidth="false" hidden="false" outlineLevel="0" max="6460" min="6460" style="70" width="42.57"/>
    <col collapsed="false" customWidth="true" hidden="false" outlineLevel="0" max="6461" min="6461" style="70" width="3.29"/>
    <col collapsed="false" customWidth="true" hidden="false" outlineLevel="0" max="6462" min="6462" style="70" width="8"/>
    <col collapsed="false" customWidth="false" hidden="false" outlineLevel="0" max="6463" min="6463" style="70" width="42.57"/>
    <col collapsed="false" customWidth="true" hidden="false" outlineLevel="0" max="6464" min="6464" style="70" width="3.29"/>
    <col collapsed="false" customWidth="true" hidden="false" outlineLevel="0" max="6465" min="6465" style="70" width="8"/>
    <col collapsed="false" customWidth="false" hidden="false" outlineLevel="0" max="6466" min="6466" style="70" width="42.57"/>
    <col collapsed="false" customWidth="true" hidden="false" outlineLevel="0" max="6467" min="6467" style="70" width="3.29"/>
    <col collapsed="false" customWidth="true" hidden="false" outlineLevel="0" max="6468" min="6468" style="70" width="8"/>
    <col collapsed="false" customWidth="false" hidden="false" outlineLevel="0" max="6469" min="6469" style="70" width="42.57"/>
    <col collapsed="false" customWidth="true" hidden="false" outlineLevel="0" max="6470" min="6470" style="70" width="3.29"/>
    <col collapsed="false" customWidth="true" hidden="false" outlineLevel="0" max="6471" min="6471" style="70" width="8"/>
    <col collapsed="false" customWidth="false" hidden="false" outlineLevel="0" max="6472" min="6472" style="70" width="42.57"/>
    <col collapsed="false" customWidth="true" hidden="false" outlineLevel="0" max="6473" min="6473" style="70" width="3.29"/>
    <col collapsed="false" customWidth="true" hidden="false" outlineLevel="0" max="6474" min="6474" style="70" width="8"/>
    <col collapsed="false" customWidth="false" hidden="false" outlineLevel="0" max="6475" min="6475" style="70" width="42.57"/>
    <col collapsed="false" customWidth="true" hidden="false" outlineLevel="0" max="6476" min="6476" style="70" width="3.29"/>
    <col collapsed="false" customWidth="true" hidden="false" outlineLevel="0" max="6477" min="6477" style="70" width="8"/>
    <col collapsed="false" customWidth="false" hidden="false" outlineLevel="0" max="6478" min="6478" style="70" width="42.57"/>
    <col collapsed="false" customWidth="true" hidden="false" outlineLevel="0" max="6479" min="6479" style="70" width="3.29"/>
    <col collapsed="false" customWidth="true" hidden="false" outlineLevel="0" max="6480" min="6480" style="70" width="8"/>
    <col collapsed="false" customWidth="false" hidden="false" outlineLevel="0" max="6481" min="6481" style="70" width="42.57"/>
    <col collapsed="false" customWidth="true" hidden="false" outlineLevel="0" max="6482" min="6482" style="70" width="3.29"/>
    <col collapsed="false" customWidth="true" hidden="false" outlineLevel="0" max="6483" min="6483" style="70" width="8"/>
    <col collapsed="false" customWidth="false" hidden="false" outlineLevel="0" max="6484" min="6484" style="70" width="42.57"/>
    <col collapsed="false" customWidth="true" hidden="false" outlineLevel="0" max="6485" min="6485" style="70" width="3.29"/>
    <col collapsed="false" customWidth="true" hidden="false" outlineLevel="0" max="6486" min="6486" style="70" width="8"/>
    <col collapsed="false" customWidth="false" hidden="false" outlineLevel="0" max="6487" min="6487" style="70" width="42.57"/>
    <col collapsed="false" customWidth="true" hidden="false" outlineLevel="0" max="6488" min="6488" style="70" width="3.29"/>
    <col collapsed="false" customWidth="true" hidden="false" outlineLevel="0" max="6489" min="6489" style="70" width="8"/>
    <col collapsed="false" customWidth="false" hidden="false" outlineLevel="0" max="6490" min="6490" style="70" width="42.57"/>
    <col collapsed="false" customWidth="true" hidden="false" outlineLevel="0" max="6491" min="6491" style="70" width="3.29"/>
    <col collapsed="false" customWidth="true" hidden="false" outlineLevel="0" max="6492" min="6492" style="70" width="8"/>
    <col collapsed="false" customWidth="false" hidden="false" outlineLevel="0" max="6493" min="6493" style="70" width="42.57"/>
    <col collapsed="false" customWidth="true" hidden="false" outlineLevel="0" max="6494" min="6494" style="70" width="3.29"/>
    <col collapsed="false" customWidth="true" hidden="false" outlineLevel="0" max="6495" min="6495" style="70" width="8"/>
    <col collapsed="false" customWidth="false" hidden="false" outlineLevel="0" max="6496" min="6496" style="70" width="42.57"/>
    <col collapsed="false" customWidth="true" hidden="false" outlineLevel="0" max="6497" min="6497" style="70" width="3.29"/>
    <col collapsed="false" customWidth="true" hidden="false" outlineLevel="0" max="6498" min="6498" style="70" width="8"/>
    <col collapsed="false" customWidth="false" hidden="false" outlineLevel="0" max="6499" min="6499" style="70" width="42.57"/>
    <col collapsed="false" customWidth="true" hidden="false" outlineLevel="0" max="6500" min="6500" style="70" width="3.29"/>
    <col collapsed="false" customWidth="true" hidden="false" outlineLevel="0" max="6501" min="6501" style="70" width="8"/>
    <col collapsed="false" customWidth="false" hidden="false" outlineLevel="0" max="6502" min="6502" style="70" width="42.57"/>
    <col collapsed="false" customWidth="true" hidden="false" outlineLevel="0" max="6503" min="6503" style="70" width="3.29"/>
    <col collapsed="false" customWidth="true" hidden="false" outlineLevel="0" max="6504" min="6504" style="70" width="8"/>
    <col collapsed="false" customWidth="false" hidden="false" outlineLevel="0" max="6505" min="6505" style="70" width="42.57"/>
    <col collapsed="false" customWidth="true" hidden="false" outlineLevel="0" max="6506" min="6506" style="70" width="3.29"/>
    <col collapsed="false" customWidth="true" hidden="false" outlineLevel="0" max="6507" min="6507" style="70" width="8"/>
    <col collapsed="false" customWidth="false" hidden="false" outlineLevel="0" max="6508" min="6508" style="70" width="42.57"/>
    <col collapsed="false" customWidth="true" hidden="false" outlineLevel="0" max="6509" min="6509" style="70" width="3.29"/>
    <col collapsed="false" customWidth="true" hidden="false" outlineLevel="0" max="6510" min="6510" style="70" width="8"/>
    <col collapsed="false" customWidth="false" hidden="false" outlineLevel="0" max="6511" min="6511" style="70" width="42.57"/>
    <col collapsed="false" customWidth="true" hidden="false" outlineLevel="0" max="6512" min="6512" style="70" width="3.29"/>
    <col collapsed="false" customWidth="true" hidden="false" outlineLevel="0" max="6513" min="6513" style="70" width="8"/>
    <col collapsed="false" customWidth="false" hidden="false" outlineLevel="0" max="6514" min="6514" style="70" width="42.57"/>
    <col collapsed="false" customWidth="true" hidden="false" outlineLevel="0" max="6515" min="6515" style="70" width="3.29"/>
    <col collapsed="false" customWidth="true" hidden="false" outlineLevel="0" max="6516" min="6516" style="70" width="8"/>
    <col collapsed="false" customWidth="false" hidden="false" outlineLevel="0" max="6517" min="6517" style="70" width="42.57"/>
    <col collapsed="false" customWidth="true" hidden="false" outlineLevel="0" max="6518" min="6518" style="70" width="3.29"/>
    <col collapsed="false" customWidth="true" hidden="false" outlineLevel="0" max="6519" min="6519" style="70" width="8"/>
    <col collapsed="false" customWidth="false" hidden="false" outlineLevel="0" max="6520" min="6520" style="70" width="42.57"/>
    <col collapsed="false" customWidth="true" hidden="false" outlineLevel="0" max="6521" min="6521" style="70" width="3.29"/>
    <col collapsed="false" customWidth="true" hidden="false" outlineLevel="0" max="6522" min="6522" style="70" width="8"/>
    <col collapsed="false" customWidth="false" hidden="false" outlineLevel="0" max="6523" min="6523" style="70" width="42.57"/>
    <col collapsed="false" customWidth="true" hidden="false" outlineLevel="0" max="6524" min="6524" style="70" width="3.29"/>
    <col collapsed="false" customWidth="true" hidden="false" outlineLevel="0" max="6525" min="6525" style="70" width="8"/>
    <col collapsed="false" customWidth="false" hidden="false" outlineLevel="0" max="6526" min="6526" style="70" width="42.57"/>
    <col collapsed="false" customWidth="true" hidden="false" outlineLevel="0" max="6527" min="6527" style="70" width="3.29"/>
    <col collapsed="false" customWidth="true" hidden="false" outlineLevel="0" max="6528" min="6528" style="70" width="8"/>
    <col collapsed="false" customWidth="false" hidden="false" outlineLevel="0" max="6529" min="6529" style="70" width="42.57"/>
    <col collapsed="false" customWidth="true" hidden="false" outlineLevel="0" max="6530" min="6530" style="70" width="3.29"/>
    <col collapsed="false" customWidth="true" hidden="false" outlineLevel="0" max="6531" min="6531" style="70" width="8"/>
    <col collapsed="false" customWidth="false" hidden="false" outlineLevel="0" max="6532" min="6532" style="70" width="42.57"/>
    <col collapsed="false" customWidth="true" hidden="false" outlineLevel="0" max="6533" min="6533" style="70" width="3.29"/>
    <col collapsed="false" customWidth="true" hidden="false" outlineLevel="0" max="6534" min="6534" style="70" width="8"/>
    <col collapsed="false" customWidth="false" hidden="false" outlineLevel="0" max="6535" min="6535" style="70" width="42.57"/>
    <col collapsed="false" customWidth="true" hidden="false" outlineLevel="0" max="6536" min="6536" style="70" width="3.29"/>
    <col collapsed="false" customWidth="true" hidden="false" outlineLevel="0" max="6537" min="6537" style="70" width="8"/>
    <col collapsed="false" customWidth="false" hidden="false" outlineLevel="0" max="6538" min="6538" style="70" width="42.57"/>
    <col collapsed="false" customWidth="true" hidden="false" outlineLevel="0" max="6539" min="6539" style="70" width="3.29"/>
    <col collapsed="false" customWidth="true" hidden="false" outlineLevel="0" max="6540" min="6540" style="70" width="8"/>
    <col collapsed="false" customWidth="false" hidden="false" outlineLevel="0" max="6541" min="6541" style="70" width="42.57"/>
    <col collapsed="false" customWidth="true" hidden="false" outlineLevel="0" max="6542" min="6542" style="70" width="3.29"/>
    <col collapsed="false" customWidth="true" hidden="false" outlineLevel="0" max="6543" min="6543" style="70" width="8"/>
    <col collapsed="false" customWidth="false" hidden="false" outlineLevel="0" max="6544" min="6544" style="70" width="42.57"/>
    <col collapsed="false" customWidth="true" hidden="false" outlineLevel="0" max="6545" min="6545" style="70" width="3.29"/>
    <col collapsed="false" customWidth="true" hidden="false" outlineLevel="0" max="6546" min="6546" style="70" width="8"/>
    <col collapsed="false" customWidth="false" hidden="false" outlineLevel="0" max="6547" min="6547" style="70" width="42.57"/>
    <col collapsed="false" customWidth="true" hidden="false" outlineLevel="0" max="6548" min="6548" style="70" width="3.29"/>
    <col collapsed="false" customWidth="true" hidden="false" outlineLevel="0" max="6549" min="6549" style="70" width="8"/>
    <col collapsed="false" customWidth="false" hidden="false" outlineLevel="0" max="6550" min="6550" style="70" width="42.57"/>
    <col collapsed="false" customWidth="true" hidden="false" outlineLevel="0" max="6551" min="6551" style="70" width="3.29"/>
    <col collapsed="false" customWidth="true" hidden="false" outlineLevel="0" max="6552" min="6552" style="70" width="8"/>
    <col collapsed="false" customWidth="false" hidden="false" outlineLevel="0" max="6553" min="6553" style="70" width="42.57"/>
    <col collapsed="false" customWidth="true" hidden="false" outlineLevel="0" max="6554" min="6554" style="70" width="3.29"/>
    <col collapsed="false" customWidth="true" hidden="false" outlineLevel="0" max="6555" min="6555" style="70" width="8"/>
    <col collapsed="false" customWidth="false" hidden="false" outlineLevel="0" max="6556" min="6556" style="70" width="42.57"/>
    <col collapsed="false" customWidth="true" hidden="false" outlineLevel="0" max="6557" min="6557" style="70" width="3.29"/>
    <col collapsed="false" customWidth="true" hidden="false" outlineLevel="0" max="6558" min="6558" style="70" width="8"/>
    <col collapsed="false" customWidth="false" hidden="false" outlineLevel="0" max="6559" min="6559" style="70" width="42.57"/>
    <col collapsed="false" customWidth="true" hidden="false" outlineLevel="0" max="6560" min="6560" style="70" width="3.29"/>
    <col collapsed="false" customWidth="true" hidden="false" outlineLevel="0" max="6561" min="6561" style="70" width="8"/>
    <col collapsed="false" customWidth="false" hidden="false" outlineLevel="0" max="6562" min="6562" style="70" width="42.57"/>
    <col collapsed="false" customWidth="true" hidden="false" outlineLevel="0" max="6563" min="6563" style="70" width="3.29"/>
    <col collapsed="false" customWidth="true" hidden="false" outlineLevel="0" max="6564" min="6564" style="70" width="8"/>
    <col collapsed="false" customWidth="false" hidden="false" outlineLevel="0" max="6565" min="6565" style="70" width="42.57"/>
    <col collapsed="false" customWidth="true" hidden="false" outlineLevel="0" max="6566" min="6566" style="70" width="3.29"/>
    <col collapsed="false" customWidth="true" hidden="false" outlineLevel="0" max="6567" min="6567" style="70" width="8"/>
    <col collapsed="false" customWidth="false" hidden="false" outlineLevel="0" max="6568" min="6568" style="70" width="42.57"/>
    <col collapsed="false" customWidth="true" hidden="false" outlineLevel="0" max="6569" min="6569" style="70" width="3.29"/>
    <col collapsed="false" customWidth="true" hidden="false" outlineLevel="0" max="6570" min="6570" style="70" width="8"/>
    <col collapsed="false" customWidth="false" hidden="false" outlineLevel="0" max="6571" min="6571" style="70" width="42.57"/>
    <col collapsed="false" customWidth="true" hidden="false" outlineLevel="0" max="6572" min="6572" style="70" width="3.29"/>
    <col collapsed="false" customWidth="true" hidden="false" outlineLevel="0" max="6573" min="6573" style="70" width="8"/>
    <col collapsed="false" customWidth="false" hidden="false" outlineLevel="0" max="6574" min="6574" style="70" width="42.57"/>
    <col collapsed="false" customWidth="true" hidden="false" outlineLevel="0" max="6575" min="6575" style="70" width="3.29"/>
    <col collapsed="false" customWidth="true" hidden="false" outlineLevel="0" max="6576" min="6576" style="70" width="8"/>
    <col collapsed="false" customWidth="false" hidden="false" outlineLevel="0" max="6577" min="6577" style="70" width="42.57"/>
    <col collapsed="false" customWidth="true" hidden="false" outlineLevel="0" max="6578" min="6578" style="70" width="3.29"/>
    <col collapsed="false" customWidth="true" hidden="false" outlineLevel="0" max="6579" min="6579" style="70" width="8"/>
    <col collapsed="false" customWidth="false" hidden="false" outlineLevel="0" max="6580" min="6580" style="70" width="42.57"/>
    <col collapsed="false" customWidth="true" hidden="false" outlineLevel="0" max="6581" min="6581" style="70" width="3.29"/>
    <col collapsed="false" customWidth="true" hidden="false" outlineLevel="0" max="6582" min="6582" style="70" width="8"/>
    <col collapsed="false" customWidth="false" hidden="false" outlineLevel="0" max="6583" min="6583" style="70" width="42.57"/>
    <col collapsed="false" customWidth="true" hidden="false" outlineLevel="0" max="6584" min="6584" style="70" width="3.29"/>
    <col collapsed="false" customWidth="true" hidden="false" outlineLevel="0" max="6585" min="6585" style="70" width="8"/>
    <col collapsed="false" customWidth="false" hidden="false" outlineLevel="0" max="6586" min="6586" style="70" width="42.57"/>
    <col collapsed="false" customWidth="true" hidden="false" outlineLevel="0" max="6587" min="6587" style="70" width="3.29"/>
    <col collapsed="false" customWidth="true" hidden="false" outlineLevel="0" max="6588" min="6588" style="70" width="8"/>
    <col collapsed="false" customWidth="false" hidden="false" outlineLevel="0" max="6589" min="6589" style="70" width="42.57"/>
    <col collapsed="false" customWidth="true" hidden="false" outlineLevel="0" max="6590" min="6590" style="70" width="3.29"/>
    <col collapsed="false" customWidth="true" hidden="false" outlineLevel="0" max="6591" min="6591" style="70" width="8"/>
    <col collapsed="false" customWidth="false" hidden="false" outlineLevel="0" max="6592" min="6592" style="70" width="42.57"/>
    <col collapsed="false" customWidth="true" hidden="false" outlineLevel="0" max="6593" min="6593" style="70" width="3.29"/>
    <col collapsed="false" customWidth="true" hidden="false" outlineLevel="0" max="6594" min="6594" style="70" width="8"/>
    <col collapsed="false" customWidth="false" hidden="false" outlineLevel="0" max="6595" min="6595" style="70" width="42.57"/>
    <col collapsed="false" customWidth="true" hidden="false" outlineLevel="0" max="6596" min="6596" style="70" width="3.29"/>
    <col collapsed="false" customWidth="true" hidden="false" outlineLevel="0" max="6597" min="6597" style="70" width="8"/>
    <col collapsed="false" customWidth="false" hidden="false" outlineLevel="0" max="6598" min="6598" style="70" width="42.57"/>
    <col collapsed="false" customWidth="true" hidden="false" outlineLevel="0" max="6599" min="6599" style="70" width="3.29"/>
    <col collapsed="false" customWidth="true" hidden="false" outlineLevel="0" max="6600" min="6600" style="70" width="8"/>
    <col collapsed="false" customWidth="false" hidden="false" outlineLevel="0" max="6601" min="6601" style="70" width="42.57"/>
    <col collapsed="false" customWidth="true" hidden="false" outlineLevel="0" max="6602" min="6602" style="70" width="3.29"/>
    <col collapsed="false" customWidth="true" hidden="false" outlineLevel="0" max="6603" min="6603" style="70" width="8"/>
    <col collapsed="false" customWidth="false" hidden="false" outlineLevel="0" max="6604" min="6604" style="70" width="42.57"/>
    <col collapsed="false" customWidth="true" hidden="false" outlineLevel="0" max="6605" min="6605" style="70" width="3.29"/>
    <col collapsed="false" customWidth="true" hidden="false" outlineLevel="0" max="6606" min="6606" style="70" width="8"/>
    <col collapsed="false" customWidth="false" hidden="false" outlineLevel="0" max="6607" min="6607" style="70" width="42.57"/>
    <col collapsed="false" customWidth="true" hidden="false" outlineLevel="0" max="6608" min="6608" style="70" width="3.29"/>
    <col collapsed="false" customWidth="true" hidden="false" outlineLevel="0" max="6609" min="6609" style="70" width="8"/>
    <col collapsed="false" customWidth="false" hidden="false" outlineLevel="0" max="6610" min="6610" style="70" width="42.57"/>
    <col collapsed="false" customWidth="true" hidden="false" outlineLevel="0" max="6611" min="6611" style="70" width="3.29"/>
    <col collapsed="false" customWidth="true" hidden="false" outlineLevel="0" max="6612" min="6612" style="70" width="8"/>
    <col collapsed="false" customWidth="false" hidden="false" outlineLevel="0" max="6613" min="6613" style="70" width="42.57"/>
    <col collapsed="false" customWidth="true" hidden="false" outlineLevel="0" max="6614" min="6614" style="70" width="3.29"/>
    <col collapsed="false" customWidth="true" hidden="false" outlineLevel="0" max="6615" min="6615" style="70" width="8"/>
    <col collapsed="false" customWidth="false" hidden="false" outlineLevel="0" max="6616" min="6616" style="70" width="42.57"/>
    <col collapsed="false" customWidth="true" hidden="false" outlineLevel="0" max="6617" min="6617" style="70" width="3.29"/>
    <col collapsed="false" customWidth="true" hidden="false" outlineLevel="0" max="6618" min="6618" style="70" width="8"/>
    <col collapsed="false" customWidth="false" hidden="false" outlineLevel="0" max="6619" min="6619" style="70" width="42.57"/>
    <col collapsed="false" customWidth="true" hidden="false" outlineLevel="0" max="6620" min="6620" style="70" width="3.29"/>
    <col collapsed="false" customWidth="true" hidden="false" outlineLevel="0" max="6621" min="6621" style="70" width="8"/>
    <col collapsed="false" customWidth="false" hidden="false" outlineLevel="0" max="6622" min="6622" style="70" width="42.57"/>
    <col collapsed="false" customWidth="true" hidden="false" outlineLevel="0" max="6623" min="6623" style="70" width="3.29"/>
    <col collapsed="false" customWidth="true" hidden="false" outlineLevel="0" max="6624" min="6624" style="70" width="8"/>
    <col collapsed="false" customWidth="false" hidden="false" outlineLevel="0" max="6625" min="6625" style="70" width="42.57"/>
    <col collapsed="false" customWidth="true" hidden="false" outlineLevel="0" max="6626" min="6626" style="70" width="3.29"/>
    <col collapsed="false" customWidth="true" hidden="false" outlineLevel="0" max="6627" min="6627" style="70" width="8"/>
    <col collapsed="false" customWidth="false" hidden="false" outlineLevel="0" max="6628" min="6628" style="70" width="42.57"/>
    <col collapsed="false" customWidth="true" hidden="false" outlineLevel="0" max="6629" min="6629" style="70" width="3.29"/>
    <col collapsed="false" customWidth="true" hidden="false" outlineLevel="0" max="6630" min="6630" style="70" width="8"/>
    <col collapsed="false" customWidth="false" hidden="false" outlineLevel="0" max="6631" min="6631" style="70" width="42.57"/>
    <col collapsed="false" customWidth="true" hidden="false" outlineLevel="0" max="6632" min="6632" style="70" width="3.29"/>
    <col collapsed="false" customWidth="true" hidden="false" outlineLevel="0" max="6633" min="6633" style="70" width="8"/>
    <col collapsed="false" customWidth="false" hidden="false" outlineLevel="0" max="6634" min="6634" style="70" width="42.57"/>
    <col collapsed="false" customWidth="true" hidden="false" outlineLevel="0" max="6635" min="6635" style="70" width="3.29"/>
    <col collapsed="false" customWidth="true" hidden="false" outlineLevel="0" max="6636" min="6636" style="70" width="8"/>
    <col collapsed="false" customWidth="false" hidden="false" outlineLevel="0" max="6637" min="6637" style="70" width="42.57"/>
    <col collapsed="false" customWidth="true" hidden="false" outlineLevel="0" max="6638" min="6638" style="70" width="3.29"/>
    <col collapsed="false" customWidth="true" hidden="false" outlineLevel="0" max="6639" min="6639" style="70" width="8"/>
    <col collapsed="false" customWidth="false" hidden="false" outlineLevel="0" max="6640" min="6640" style="70" width="42.57"/>
    <col collapsed="false" customWidth="true" hidden="false" outlineLevel="0" max="6641" min="6641" style="70" width="3.29"/>
    <col collapsed="false" customWidth="true" hidden="false" outlineLevel="0" max="6642" min="6642" style="70" width="8"/>
    <col collapsed="false" customWidth="false" hidden="false" outlineLevel="0" max="6643" min="6643" style="70" width="42.57"/>
    <col collapsed="false" customWidth="true" hidden="false" outlineLevel="0" max="6644" min="6644" style="70" width="3.29"/>
    <col collapsed="false" customWidth="true" hidden="false" outlineLevel="0" max="6645" min="6645" style="70" width="8"/>
    <col collapsed="false" customWidth="false" hidden="false" outlineLevel="0" max="6646" min="6646" style="70" width="42.57"/>
    <col collapsed="false" customWidth="true" hidden="false" outlineLevel="0" max="6647" min="6647" style="70" width="3.29"/>
    <col collapsed="false" customWidth="true" hidden="false" outlineLevel="0" max="6648" min="6648" style="70" width="8"/>
    <col collapsed="false" customWidth="false" hidden="false" outlineLevel="0" max="6649" min="6649" style="70" width="42.57"/>
    <col collapsed="false" customWidth="true" hidden="false" outlineLevel="0" max="6650" min="6650" style="70" width="3.29"/>
    <col collapsed="false" customWidth="true" hidden="false" outlineLevel="0" max="6651" min="6651" style="70" width="8"/>
    <col collapsed="false" customWidth="false" hidden="false" outlineLevel="0" max="6652" min="6652" style="70" width="42.57"/>
    <col collapsed="false" customWidth="true" hidden="false" outlineLevel="0" max="6653" min="6653" style="70" width="3.29"/>
    <col collapsed="false" customWidth="true" hidden="false" outlineLevel="0" max="6654" min="6654" style="70" width="8"/>
    <col collapsed="false" customWidth="false" hidden="false" outlineLevel="0" max="6655" min="6655" style="70" width="42.57"/>
    <col collapsed="false" customWidth="true" hidden="false" outlineLevel="0" max="6656" min="6656" style="70" width="3.29"/>
    <col collapsed="false" customWidth="true" hidden="false" outlineLevel="0" max="6657" min="6657" style="70" width="8"/>
    <col collapsed="false" customWidth="false" hidden="false" outlineLevel="0" max="6658" min="6658" style="70" width="42.57"/>
    <col collapsed="false" customWidth="true" hidden="false" outlineLevel="0" max="6659" min="6659" style="70" width="3.29"/>
    <col collapsed="false" customWidth="true" hidden="false" outlineLevel="0" max="6660" min="6660" style="70" width="8"/>
    <col collapsed="false" customWidth="false" hidden="false" outlineLevel="0" max="6661" min="6661" style="70" width="42.57"/>
    <col collapsed="false" customWidth="true" hidden="false" outlineLevel="0" max="6662" min="6662" style="70" width="3.29"/>
    <col collapsed="false" customWidth="true" hidden="false" outlineLevel="0" max="6663" min="6663" style="70" width="8"/>
    <col collapsed="false" customWidth="false" hidden="false" outlineLevel="0" max="6664" min="6664" style="70" width="42.57"/>
    <col collapsed="false" customWidth="true" hidden="false" outlineLevel="0" max="6665" min="6665" style="70" width="3.29"/>
    <col collapsed="false" customWidth="true" hidden="false" outlineLevel="0" max="6666" min="6666" style="70" width="8"/>
    <col collapsed="false" customWidth="false" hidden="false" outlineLevel="0" max="6667" min="6667" style="70" width="42.57"/>
    <col collapsed="false" customWidth="true" hidden="false" outlineLevel="0" max="6668" min="6668" style="70" width="3.29"/>
    <col collapsed="false" customWidth="true" hidden="false" outlineLevel="0" max="6669" min="6669" style="70" width="8"/>
    <col collapsed="false" customWidth="false" hidden="false" outlineLevel="0" max="6670" min="6670" style="70" width="42.57"/>
    <col collapsed="false" customWidth="true" hidden="false" outlineLevel="0" max="6671" min="6671" style="70" width="3.29"/>
    <col collapsed="false" customWidth="true" hidden="false" outlineLevel="0" max="6672" min="6672" style="70" width="8"/>
    <col collapsed="false" customWidth="false" hidden="false" outlineLevel="0" max="6673" min="6673" style="70" width="42.57"/>
    <col collapsed="false" customWidth="true" hidden="false" outlineLevel="0" max="6674" min="6674" style="70" width="3.29"/>
    <col collapsed="false" customWidth="true" hidden="false" outlineLevel="0" max="6675" min="6675" style="70" width="8"/>
    <col collapsed="false" customWidth="false" hidden="false" outlineLevel="0" max="6676" min="6676" style="70" width="42.57"/>
    <col collapsed="false" customWidth="true" hidden="false" outlineLevel="0" max="6677" min="6677" style="70" width="3.29"/>
    <col collapsed="false" customWidth="true" hidden="false" outlineLevel="0" max="6678" min="6678" style="70" width="8"/>
    <col collapsed="false" customWidth="false" hidden="false" outlineLevel="0" max="6679" min="6679" style="70" width="42.57"/>
    <col collapsed="false" customWidth="true" hidden="false" outlineLevel="0" max="6680" min="6680" style="70" width="3.29"/>
    <col collapsed="false" customWidth="true" hidden="false" outlineLevel="0" max="6681" min="6681" style="70" width="8"/>
    <col collapsed="false" customWidth="false" hidden="false" outlineLevel="0" max="6682" min="6682" style="70" width="42.57"/>
    <col collapsed="false" customWidth="true" hidden="false" outlineLevel="0" max="6683" min="6683" style="70" width="3.29"/>
    <col collapsed="false" customWidth="true" hidden="false" outlineLevel="0" max="6684" min="6684" style="70" width="8"/>
    <col collapsed="false" customWidth="false" hidden="false" outlineLevel="0" max="6685" min="6685" style="70" width="42.57"/>
    <col collapsed="false" customWidth="true" hidden="false" outlineLevel="0" max="6686" min="6686" style="70" width="3.29"/>
    <col collapsed="false" customWidth="true" hidden="false" outlineLevel="0" max="6687" min="6687" style="70" width="8"/>
    <col collapsed="false" customWidth="false" hidden="false" outlineLevel="0" max="6688" min="6688" style="70" width="42.57"/>
    <col collapsed="false" customWidth="true" hidden="false" outlineLevel="0" max="6689" min="6689" style="70" width="3.29"/>
    <col collapsed="false" customWidth="true" hidden="false" outlineLevel="0" max="6690" min="6690" style="70" width="8"/>
    <col collapsed="false" customWidth="false" hidden="false" outlineLevel="0" max="6691" min="6691" style="70" width="42.57"/>
    <col collapsed="false" customWidth="true" hidden="false" outlineLevel="0" max="6692" min="6692" style="70" width="3.29"/>
    <col collapsed="false" customWidth="true" hidden="false" outlineLevel="0" max="6693" min="6693" style="70" width="8"/>
    <col collapsed="false" customWidth="false" hidden="false" outlineLevel="0" max="6694" min="6694" style="70" width="42.57"/>
    <col collapsed="false" customWidth="true" hidden="false" outlineLevel="0" max="6695" min="6695" style="70" width="3.29"/>
    <col collapsed="false" customWidth="true" hidden="false" outlineLevel="0" max="6696" min="6696" style="70" width="8"/>
    <col collapsed="false" customWidth="false" hidden="false" outlineLevel="0" max="6697" min="6697" style="70" width="42.57"/>
    <col collapsed="false" customWidth="true" hidden="false" outlineLevel="0" max="6698" min="6698" style="70" width="3.29"/>
    <col collapsed="false" customWidth="true" hidden="false" outlineLevel="0" max="6699" min="6699" style="70" width="8"/>
    <col collapsed="false" customWidth="false" hidden="false" outlineLevel="0" max="6700" min="6700" style="70" width="42.57"/>
    <col collapsed="false" customWidth="true" hidden="false" outlineLevel="0" max="6701" min="6701" style="70" width="3.29"/>
    <col collapsed="false" customWidth="true" hidden="false" outlineLevel="0" max="6702" min="6702" style="70" width="8"/>
    <col collapsed="false" customWidth="false" hidden="false" outlineLevel="0" max="6703" min="6703" style="70" width="42.57"/>
    <col collapsed="false" customWidth="true" hidden="false" outlineLevel="0" max="6704" min="6704" style="70" width="3.29"/>
    <col collapsed="false" customWidth="true" hidden="false" outlineLevel="0" max="6705" min="6705" style="70" width="8"/>
    <col collapsed="false" customWidth="false" hidden="false" outlineLevel="0" max="6706" min="6706" style="70" width="42.57"/>
    <col collapsed="false" customWidth="true" hidden="false" outlineLevel="0" max="6707" min="6707" style="70" width="3.29"/>
    <col collapsed="false" customWidth="true" hidden="false" outlineLevel="0" max="6708" min="6708" style="70" width="8"/>
    <col collapsed="false" customWidth="false" hidden="false" outlineLevel="0" max="6709" min="6709" style="70" width="42.57"/>
    <col collapsed="false" customWidth="true" hidden="false" outlineLevel="0" max="6710" min="6710" style="70" width="3.29"/>
    <col collapsed="false" customWidth="true" hidden="false" outlineLevel="0" max="6711" min="6711" style="70" width="8"/>
    <col collapsed="false" customWidth="false" hidden="false" outlineLevel="0" max="6712" min="6712" style="70" width="42.57"/>
    <col collapsed="false" customWidth="true" hidden="false" outlineLevel="0" max="6713" min="6713" style="70" width="3.29"/>
    <col collapsed="false" customWidth="true" hidden="false" outlineLevel="0" max="6714" min="6714" style="70" width="8"/>
    <col collapsed="false" customWidth="false" hidden="false" outlineLevel="0" max="6715" min="6715" style="70" width="42.57"/>
    <col collapsed="false" customWidth="true" hidden="false" outlineLevel="0" max="6716" min="6716" style="70" width="3.29"/>
    <col collapsed="false" customWidth="true" hidden="false" outlineLevel="0" max="6717" min="6717" style="70" width="8"/>
    <col collapsed="false" customWidth="false" hidden="false" outlineLevel="0" max="6718" min="6718" style="70" width="42.57"/>
    <col collapsed="false" customWidth="true" hidden="false" outlineLevel="0" max="6719" min="6719" style="70" width="3.29"/>
    <col collapsed="false" customWidth="true" hidden="false" outlineLevel="0" max="6720" min="6720" style="70" width="8"/>
    <col collapsed="false" customWidth="false" hidden="false" outlineLevel="0" max="6721" min="6721" style="70" width="42.57"/>
    <col collapsed="false" customWidth="true" hidden="false" outlineLevel="0" max="6722" min="6722" style="70" width="3.29"/>
    <col collapsed="false" customWidth="true" hidden="false" outlineLevel="0" max="6723" min="6723" style="70" width="8"/>
    <col collapsed="false" customWidth="false" hidden="false" outlineLevel="0" max="6724" min="6724" style="70" width="42.57"/>
    <col collapsed="false" customWidth="true" hidden="false" outlineLevel="0" max="6725" min="6725" style="70" width="3.29"/>
    <col collapsed="false" customWidth="true" hidden="false" outlineLevel="0" max="6726" min="6726" style="70" width="8"/>
    <col collapsed="false" customWidth="false" hidden="false" outlineLevel="0" max="6727" min="6727" style="70" width="42.57"/>
    <col collapsed="false" customWidth="true" hidden="false" outlineLevel="0" max="6728" min="6728" style="70" width="3.29"/>
    <col collapsed="false" customWidth="true" hidden="false" outlineLevel="0" max="6729" min="6729" style="70" width="8"/>
    <col collapsed="false" customWidth="false" hidden="false" outlineLevel="0" max="6730" min="6730" style="70" width="42.57"/>
    <col collapsed="false" customWidth="true" hidden="false" outlineLevel="0" max="6731" min="6731" style="70" width="3.29"/>
    <col collapsed="false" customWidth="true" hidden="false" outlineLevel="0" max="6732" min="6732" style="70" width="8"/>
    <col collapsed="false" customWidth="false" hidden="false" outlineLevel="0" max="6733" min="6733" style="70" width="42.57"/>
    <col collapsed="false" customWidth="true" hidden="false" outlineLevel="0" max="6734" min="6734" style="70" width="3.29"/>
    <col collapsed="false" customWidth="true" hidden="false" outlineLevel="0" max="6735" min="6735" style="70" width="8"/>
    <col collapsed="false" customWidth="false" hidden="false" outlineLevel="0" max="6736" min="6736" style="70" width="42.57"/>
    <col collapsed="false" customWidth="true" hidden="false" outlineLevel="0" max="6737" min="6737" style="70" width="3.29"/>
    <col collapsed="false" customWidth="true" hidden="false" outlineLevel="0" max="6738" min="6738" style="70" width="8"/>
    <col collapsed="false" customWidth="false" hidden="false" outlineLevel="0" max="6739" min="6739" style="70" width="42.57"/>
    <col collapsed="false" customWidth="true" hidden="false" outlineLevel="0" max="6740" min="6740" style="70" width="3.29"/>
    <col collapsed="false" customWidth="true" hidden="false" outlineLevel="0" max="6741" min="6741" style="70" width="8"/>
    <col collapsed="false" customWidth="false" hidden="false" outlineLevel="0" max="6742" min="6742" style="70" width="42.57"/>
    <col collapsed="false" customWidth="true" hidden="false" outlineLevel="0" max="6743" min="6743" style="70" width="3.29"/>
    <col collapsed="false" customWidth="true" hidden="false" outlineLevel="0" max="6744" min="6744" style="70" width="8"/>
    <col collapsed="false" customWidth="false" hidden="false" outlineLevel="0" max="6745" min="6745" style="70" width="42.57"/>
    <col collapsed="false" customWidth="true" hidden="false" outlineLevel="0" max="6746" min="6746" style="70" width="3.29"/>
    <col collapsed="false" customWidth="true" hidden="false" outlineLevel="0" max="6747" min="6747" style="70" width="8"/>
    <col collapsed="false" customWidth="false" hidden="false" outlineLevel="0" max="6748" min="6748" style="70" width="42.57"/>
    <col collapsed="false" customWidth="true" hidden="false" outlineLevel="0" max="6749" min="6749" style="70" width="3.29"/>
    <col collapsed="false" customWidth="true" hidden="false" outlineLevel="0" max="6750" min="6750" style="70" width="8"/>
    <col collapsed="false" customWidth="false" hidden="false" outlineLevel="0" max="6751" min="6751" style="70" width="42.57"/>
    <col collapsed="false" customWidth="true" hidden="false" outlineLevel="0" max="6752" min="6752" style="70" width="3.29"/>
    <col collapsed="false" customWidth="true" hidden="false" outlineLevel="0" max="6753" min="6753" style="70" width="8"/>
    <col collapsed="false" customWidth="false" hidden="false" outlineLevel="0" max="6754" min="6754" style="70" width="42.57"/>
    <col collapsed="false" customWidth="true" hidden="false" outlineLevel="0" max="6755" min="6755" style="70" width="3.29"/>
    <col collapsed="false" customWidth="true" hidden="false" outlineLevel="0" max="6756" min="6756" style="70" width="8"/>
    <col collapsed="false" customWidth="false" hidden="false" outlineLevel="0" max="6757" min="6757" style="70" width="42.57"/>
    <col collapsed="false" customWidth="true" hidden="false" outlineLevel="0" max="6758" min="6758" style="70" width="3.29"/>
    <col collapsed="false" customWidth="true" hidden="false" outlineLevel="0" max="6759" min="6759" style="70" width="8"/>
    <col collapsed="false" customWidth="false" hidden="false" outlineLevel="0" max="6760" min="6760" style="70" width="42.57"/>
    <col collapsed="false" customWidth="true" hidden="false" outlineLevel="0" max="6761" min="6761" style="70" width="3.29"/>
    <col collapsed="false" customWidth="true" hidden="false" outlineLevel="0" max="6762" min="6762" style="70" width="8"/>
    <col collapsed="false" customWidth="false" hidden="false" outlineLevel="0" max="6763" min="6763" style="70" width="42.57"/>
    <col collapsed="false" customWidth="true" hidden="false" outlineLevel="0" max="6764" min="6764" style="70" width="3.29"/>
    <col collapsed="false" customWidth="true" hidden="false" outlineLevel="0" max="6765" min="6765" style="70" width="8"/>
    <col collapsed="false" customWidth="false" hidden="false" outlineLevel="0" max="6766" min="6766" style="70" width="42.57"/>
    <col collapsed="false" customWidth="true" hidden="false" outlineLevel="0" max="6767" min="6767" style="70" width="3.29"/>
    <col collapsed="false" customWidth="true" hidden="false" outlineLevel="0" max="6768" min="6768" style="70" width="8"/>
    <col collapsed="false" customWidth="false" hidden="false" outlineLevel="0" max="6769" min="6769" style="70" width="42.57"/>
    <col collapsed="false" customWidth="true" hidden="false" outlineLevel="0" max="6770" min="6770" style="70" width="3.29"/>
    <col collapsed="false" customWidth="true" hidden="false" outlineLevel="0" max="6771" min="6771" style="70" width="8"/>
    <col collapsed="false" customWidth="false" hidden="false" outlineLevel="0" max="6772" min="6772" style="70" width="42.57"/>
    <col collapsed="false" customWidth="true" hidden="false" outlineLevel="0" max="6773" min="6773" style="70" width="3.29"/>
    <col collapsed="false" customWidth="true" hidden="false" outlineLevel="0" max="6774" min="6774" style="70" width="8"/>
    <col collapsed="false" customWidth="false" hidden="false" outlineLevel="0" max="6775" min="6775" style="70" width="42.57"/>
    <col collapsed="false" customWidth="true" hidden="false" outlineLevel="0" max="6776" min="6776" style="70" width="3.29"/>
    <col collapsed="false" customWidth="true" hidden="false" outlineLevel="0" max="6777" min="6777" style="70" width="8"/>
    <col collapsed="false" customWidth="false" hidden="false" outlineLevel="0" max="6778" min="6778" style="70" width="42.57"/>
    <col collapsed="false" customWidth="true" hidden="false" outlineLevel="0" max="6779" min="6779" style="70" width="3.29"/>
    <col collapsed="false" customWidth="true" hidden="false" outlineLevel="0" max="6780" min="6780" style="70" width="8"/>
    <col collapsed="false" customWidth="false" hidden="false" outlineLevel="0" max="6781" min="6781" style="70" width="42.57"/>
    <col collapsed="false" customWidth="true" hidden="false" outlineLevel="0" max="6782" min="6782" style="70" width="3.29"/>
    <col collapsed="false" customWidth="true" hidden="false" outlineLevel="0" max="6783" min="6783" style="70" width="8"/>
    <col collapsed="false" customWidth="false" hidden="false" outlineLevel="0" max="6784" min="6784" style="70" width="42.57"/>
    <col collapsed="false" customWidth="true" hidden="false" outlineLevel="0" max="6785" min="6785" style="70" width="3.29"/>
    <col collapsed="false" customWidth="true" hidden="false" outlineLevel="0" max="6786" min="6786" style="70" width="8"/>
    <col collapsed="false" customWidth="false" hidden="false" outlineLevel="0" max="6787" min="6787" style="70" width="42.57"/>
    <col collapsed="false" customWidth="true" hidden="false" outlineLevel="0" max="6788" min="6788" style="70" width="3.29"/>
    <col collapsed="false" customWidth="true" hidden="false" outlineLevel="0" max="6789" min="6789" style="70" width="8"/>
    <col collapsed="false" customWidth="false" hidden="false" outlineLevel="0" max="6790" min="6790" style="70" width="42.57"/>
    <col collapsed="false" customWidth="true" hidden="false" outlineLevel="0" max="6791" min="6791" style="70" width="3.29"/>
    <col collapsed="false" customWidth="true" hidden="false" outlineLevel="0" max="6792" min="6792" style="70" width="8"/>
    <col collapsed="false" customWidth="false" hidden="false" outlineLevel="0" max="6793" min="6793" style="70" width="42.57"/>
    <col collapsed="false" customWidth="true" hidden="false" outlineLevel="0" max="6794" min="6794" style="70" width="3.29"/>
    <col collapsed="false" customWidth="true" hidden="false" outlineLevel="0" max="6795" min="6795" style="70" width="8"/>
    <col collapsed="false" customWidth="false" hidden="false" outlineLevel="0" max="6796" min="6796" style="70" width="42.57"/>
    <col collapsed="false" customWidth="true" hidden="false" outlineLevel="0" max="6797" min="6797" style="70" width="3.29"/>
    <col collapsed="false" customWidth="true" hidden="false" outlineLevel="0" max="6798" min="6798" style="70" width="8"/>
    <col collapsed="false" customWidth="false" hidden="false" outlineLevel="0" max="6799" min="6799" style="70" width="42.57"/>
    <col collapsed="false" customWidth="true" hidden="false" outlineLevel="0" max="6800" min="6800" style="70" width="3.29"/>
    <col collapsed="false" customWidth="true" hidden="false" outlineLevel="0" max="6801" min="6801" style="70" width="8"/>
    <col collapsed="false" customWidth="false" hidden="false" outlineLevel="0" max="6802" min="6802" style="70" width="42.57"/>
    <col collapsed="false" customWidth="true" hidden="false" outlineLevel="0" max="6803" min="6803" style="70" width="3.29"/>
    <col collapsed="false" customWidth="true" hidden="false" outlineLevel="0" max="6804" min="6804" style="70" width="8"/>
    <col collapsed="false" customWidth="false" hidden="false" outlineLevel="0" max="6805" min="6805" style="70" width="42.57"/>
    <col collapsed="false" customWidth="true" hidden="false" outlineLevel="0" max="6806" min="6806" style="70" width="3.29"/>
    <col collapsed="false" customWidth="true" hidden="false" outlineLevel="0" max="6807" min="6807" style="70" width="8"/>
    <col collapsed="false" customWidth="false" hidden="false" outlineLevel="0" max="6808" min="6808" style="70" width="42.57"/>
    <col collapsed="false" customWidth="true" hidden="false" outlineLevel="0" max="6809" min="6809" style="70" width="3.29"/>
    <col collapsed="false" customWidth="true" hidden="false" outlineLevel="0" max="6810" min="6810" style="70" width="8"/>
    <col collapsed="false" customWidth="false" hidden="false" outlineLevel="0" max="6811" min="6811" style="70" width="42.57"/>
    <col collapsed="false" customWidth="true" hidden="false" outlineLevel="0" max="6812" min="6812" style="70" width="3.29"/>
    <col collapsed="false" customWidth="true" hidden="false" outlineLevel="0" max="6813" min="6813" style="70" width="8"/>
    <col collapsed="false" customWidth="false" hidden="false" outlineLevel="0" max="6814" min="6814" style="70" width="42.57"/>
    <col collapsed="false" customWidth="true" hidden="false" outlineLevel="0" max="6815" min="6815" style="70" width="3.29"/>
    <col collapsed="false" customWidth="true" hidden="false" outlineLevel="0" max="6816" min="6816" style="70" width="8"/>
    <col collapsed="false" customWidth="false" hidden="false" outlineLevel="0" max="6817" min="6817" style="70" width="42.57"/>
    <col collapsed="false" customWidth="true" hidden="false" outlineLevel="0" max="6818" min="6818" style="70" width="3.29"/>
    <col collapsed="false" customWidth="true" hidden="false" outlineLevel="0" max="6819" min="6819" style="70" width="8"/>
    <col collapsed="false" customWidth="false" hidden="false" outlineLevel="0" max="6820" min="6820" style="70" width="42.57"/>
    <col collapsed="false" customWidth="true" hidden="false" outlineLevel="0" max="6821" min="6821" style="70" width="3.29"/>
    <col collapsed="false" customWidth="true" hidden="false" outlineLevel="0" max="6822" min="6822" style="70" width="8"/>
    <col collapsed="false" customWidth="false" hidden="false" outlineLevel="0" max="6823" min="6823" style="70" width="42.57"/>
    <col collapsed="false" customWidth="true" hidden="false" outlineLevel="0" max="6824" min="6824" style="70" width="3.29"/>
    <col collapsed="false" customWidth="true" hidden="false" outlineLevel="0" max="6825" min="6825" style="70" width="8"/>
    <col collapsed="false" customWidth="false" hidden="false" outlineLevel="0" max="6826" min="6826" style="70" width="42.57"/>
    <col collapsed="false" customWidth="true" hidden="false" outlineLevel="0" max="6827" min="6827" style="70" width="3.29"/>
    <col collapsed="false" customWidth="true" hidden="false" outlineLevel="0" max="6828" min="6828" style="70" width="8"/>
    <col collapsed="false" customWidth="false" hidden="false" outlineLevel="0" max="6829" min="6829" style="70" width="42.57"/>
    <col collapsed="false" customWidth="true" hidden="false" outlineLevel="0" max="6830" min="6830" style="70" width="3.29"/>
    <col collapsed="false" customWidth="true" hidden="false" outlineLevel="0" max="6831" min="6831" style="70" width="8"/>
    <col collapsed="false" customWidth="false" hidden="false" outlineLevel="0" max="6832" min="6832" style="70" width="42.57"/>
    <col collapsed="false" customWidth="true" hidden="false" outlineLevel="0" max="6833" min="6833" style="70" width="3.29"/>
    <col collapsed="false" customWidth="true" hidden="false" outlineLevel="0" max="6834" min="6834" style="70" width="8"/>
    <col collapsed="false" customWidth="false" hidden="false" outlineLevel="0" max="6835" min="6835" style="70" width="42.57"/>
    <col collapsed="false" customWidth="true" hidden="false" outlineLevel="0" max="6836" min="6836" style="70" width="3.29"/>
    <col collapsed="false" customWidth="true" hidden="false" outlineLevel="0" max="6837" min="6837" style="70" width="8"/>
    <col collapsed="false" customWidth="false" hidden="false" outlineLevel="0" max="6838" min="6838" style="70" width="42.57"/>
    <col collapsed="false" customWidth="true" hidden="false" outlineLevel="0" max="6839" min="6839" style="70" width="3.29"/>
    <col collapsed="false" customWidth="true" hidden="false" outlineLevel="0" max="6840" min="6840" style="70" width="8"/>
    <col collapsed="false" customWidth="false" hidden="false" outlineLevel="0" max="6841" min="6841" style="70" width="42.57"/>
    <col collapsed="false" customWidth="true" hidden="false" outlineLevel="0" max="6842" min="6842" style="70" width="3.29"/>
    <col collapsed="false" customWidth="true" hidden="false" outlineLevel="0" max="6843" min="6843" style="70" width="8"/>
    <col collapsed="false" customWidth="false" hidden="false" outlineLevel="0" max="6844" min="6844" style="70" width="42.57"/>
    <col collapsed="false" customWidth="true" hidden="false" outlineLevel="0" max="6845" min="6845" style="70" width="3.29"/>
    <col collapsed="false" customWidth="true" hidden="false" outlineLevel="0" max="6846" min="6846" style="70" width="8"/>
    <col collapsed="false" customWidth="false" hidden="false" outlineLevel="0" max="6847" min="6847" style="70" width="42.57"/>
    <col collapsed="false" customWidth="true" hidden="false" outlineLevel="0" max="6848" min="6848" style="70" width="3.29"/>
    <col collapsed="false" customWidth="true" hidden="false" outlineLevel="0" max="6849" min="6849" style="70" width="8"/>
    <col collapsed="false" customWidth="false" hidden="false" outlineLevel="0" max="6850" min="6850" style="70" width="42.57"/>
    <col collapsed="false" customWidth="true" hidden="false" outlineLevel="0" max="6851" min="6851" style="70" width="3.29"/>
    <col collapsed="false" customWidth="true" hidden="false" outlineLevel="0" max="6852" min="6852" style="70" width="8"/>
    <col collapsed="false" customWidth="false" hidden="false" outlineLevel="0" max="6853" min="6853" style="70" width="42.57"/>
    <col collapsed="false" customWidth="true" hidden="false" outlineLevel="0" max="6854" min="6854" style="70" width="3.29"/>
    <col collapsed="false" customWidth="true" hidden="false" outlineLevel="0" max="6855" min="6855" style="70" width="8"/>
    <col collapsed="false" customWidth="false" hidden="false" outlineLevel="0" max="6856" min="6856" style="70" width="42.57"/>
    <col collapsed="false" customWidth="true" hidden="false" outlineLevel="0" max="6857" min="6857" style="70" width="3.29"/>
    <col collapsed="false" customWidth="true" hidden="false" outlineLevel="0" max="6858" min="6858" style="70" width="8"/>
    <col collapsed="false" customWidth="false" hidden="false" outlineLevel="0" max="6859" min="6859" style="70" width="42.57"/>
    <col collapsed="false" customWidth="true" hidden="false" outlineLevel="0" max="6860" min="6860" style="70" width="3.29"/>
    <col collapsed="false" customWidth="true" hidden="false" outlineLevel="0" max="6861" min="6861" style="70" width="8"/>
    <col collapsed="false" customWidth="false" hidden="false" outlineLevel="0" max="6862" min="6862" style="70" width="42.57"/>
    <col collapsed="false" customWidth="true" hidden="false" outlineLevel="0" max="6863" min="6863" style="70" width="3.29"/>
    <col collapsed="false" customWidth="true" hidden="false" outlineLevel="0" max="6864" min="6864" style="70" width="8"/>
    <col collapsed="false" customWidth="false" hidden="false" outlineLevel="0" max="6865" min="6865" style="70" width="42.57"/>
    <col collapsed="false" customWidth="true" hidden="false" outlineLevel="0" max="6866" min="6866" style="70" width="3.29"/>
    <col collapsed="false" customWidth="true" hidden="false" outlineLevel="0" max="6867" min="6867" style="70" width="8"/>
    <col collapsed="false" customWidth="false" hidden="false" outlineLevel="0" max="6868" min="6868" style="70" width="42.57"/>
    <col collapsed="false" customWidth="true" hidden="false" outlineLevel="0" max="6869" min="6869" style="70" width="3.29"/>
    <col collapsed="false" customWidth="true" hidden="false" outlineLevel="0" max="6870" min="6870" style="70" width="8"/>
    <col collapsed="false" customWidth="false" hidden="false" outlineLevel="0" max="6871" min="6871" style="70" width="42.57"/>
    <col collapsed="false" customWidth="true" hidden="false" outlineLevel="0" max="6872" min="6872" style="70" width="3.29"/>
    <col collapsed="false" customWidth="true" hidden="false" outlineLevel="0" max="6873" min="6873" style="70" width="8"/>
    <col collapsed="false" customWidth="false" hidden="false" outlineLevel="0" max="6874" min="6874" style="70" width="42.57"/>
    <col collapsed="false" customWidth="true" hidden="false" outlineLevel="0" max="6875" min="6875" style="70" width="3.29"/>
    <col collapsed="false" customWidth="true" hidden="false" outlineLevel="0" max="6876" min="6876" style="70" width="8"/>
    <col collapsed="false" customWidth="false" hidden="false" outlineLevel="0" max="6877" min="6877" style="70" width="42.57"/>
    <col collapsed="false" customWidth="true" hidden="false" outlineLevel="0" max="6878" min="6878" style="70" width="3.29"/>
    <col collapsed="false" customWidth="true" hidden="false" outlineLevel="0" max="6879" min="6879" style="70" width="8"/>
    <col collapsed="false" customWidth="false" hidden="false" outlineLevel="0" max="6880" min="6880" style="70" width="42.57"/>
    <col collapsed="false" customWidth="true" hidden="false" outlineLevel="0" max="6881" min="6881" style="70" width="3.29"/>
    <col collapsed="false" customWidth="true" hidden="false" outlineLevel="0" max="6882" min="6882" style="70" width="8"/>
    <col collapsed="false" customWidth="false" hidden="false" outlineLevel="0" max="6883" min="6883" style="70" width="42.57"/>
    <col collapsed="false" customWidth="true" hidden="false" outlineLevel="0" max="6884" min="6884" style="70" width="3.29"/>
    <col collapsed="false" customWidth="true" hidden="false" outlineLevel="0" max="6885" min="6885" style="70" width="8"/>
    <col collapsed="false" customWidth="false" hidden="false" outlineLevel="0" max="6886" min="6886" style="70" width="42.57"/>
    <col collapsed="false" customWidth="true" hidden="false" outlineLevel="0" max="6887" min="6887" style="70" width="3.29"/>
    <col collapsed="false" customWidth="true" hidden="false" outlineLevel="0" max="6888" min="6888" style="70" width="8"/>
    <col collapsed="false" customWidth="false" hidden="false" outlineLevel="0" max="6889" min="6889" style="70" width="42.57"/>
    <col collapsed="false" customWidth="true" hidden="false" outlineLevel="0" max="6890" min="6890" style="70" width="3.29"/>
    <col collapsed="false" customWidth="true" hidden="false" outlineLevel="0" max="6891" min="6891" style="70" width="8"/>
    <col collapsed="false" customWidth="false" hidden="false" outlineLevel="0" max="6892" min="6892" style="70" width="42.57"/>
    <col collapsed="false" customWidth="true" hidden="false" outlineLevel="0" max="6893" min="6893" style="70" width="3.29"/>
    <col collapsed="false" customWidth="true" hidden="false" outlineLevel="0" max="6894" min="6894" style="70" width="8"/>
    <col collapsed="false" customWidth="false" hidden="false" outlineLevel="0" max="6895" min="6895" style="70" width="42.57"/>
    <col collapsed="false" customWidth="true" hidden="false" outlineLevel="0" max="6896" min="6896" style="70" width="3.29"/>
    <col collapsed="false" customWidth="true" hidden="false" outlineLevel="0" max="6897" min="6897" style="70" width="8"/>
    <col collapsed="false" customWidth="false" hidden="false" outlineLevel="0" max="6898" min="6898" style="70" width="42.57"/>
    <col collapsed="false" customWidth="true" hidden="false" outlineLevel="0" max="6899" min="6899" style="70" width="3.29"/>
    <col collapsed="false" customWidth="true" hidden="false" outlineLevel="0" max="6900" min="6900" style="70" width="8"/>
    <col collapsed="false" customWidth="false" hidden="false" outlineLevel="0" max="6901" min="6901" style="70" width="42.57"/>
    <col collapsed="false" customWidth="true" hidden="false" outlineLevel="0" max="6902" min="6902" style="70" width="3.29"/>
    <col collapsed="false" customWidth="true" hidden="false" outlineLevel="0" max="6903" min="6903" style="70" width="8"/>
    <col collapsed="false" customWidth="false" hidden="false" outlineLevel="0" max="6904" min="6904" style="70" width="42.57"/>
    <col collapsed="false" customWidth="true" hidden="false" outlineLevel="0" max="6905" min="6905" style="70" width="3.29"/>
    <col collapsed="false" customWidth="true" hidden="false" outlineLevel="0" max="6906" min="6906" style="70" width="8"/>
    <col collapsed="false" customWidth="false" hidden="false" outlineLevel="0" max="6907" min="6907" style="70" width="42.57"/>
    <col collapsed="false" customWidth="true" hidden="false" outlineLevel="0" max="6908" min="6908" style="70" width="3.29"/>
    <col collapsed="false" customWidth="true" hidden="false" outlineLevel="0" max="6909" min="6909" style="70" width="8"/>
    <col collapsed="false" customWidth="false" hidden="false" outlineLevel="0" max="6910" min="6910" style="70" width="42.57"/>
    <col collapsed="false" customWidth="true" hidden="false" outlineLevel="0" max="6911" min="6911" style="70" width="3.29"/>
    <col collapsed="false" customWidth="true" hidden="false" outlineLevel="0" max="6912" min="6912" style="70" width="8"/>
    <col collapsed="false" customWidth="false" hidden="false" outlineLevel="0" max="6913" min="6913" style="70" width="42.57"/>
    <col collapsed="false" customWidth="true" hidden="false" outlineLevel="0" max="6914" min="6914" style="70" width="3.29"/>
    <col collapsed="false" customWidth="true" hidden="false" outlineLevel="0" max="6915" min="6915" style="70" width="8"/>
    <col collapsed="false" customWidth="false" hidden="false" outlineLevel="0" max="6916" min="6916" style="70" width="42.57"/>
    <col collapsed="false" customWidth="true" hidden="false" outlineLevel="0" max="6917" min="6917" style="70" width="3.29"/>
    <col collapsed="false" customWidth="true" hidden="false" outlineLevel="0" max="6918" min="6918" style="70" width="8"/>
    <col collapsed="false" customWidth="false" hidden="false" outlineLevel="0" max="6919" min="6919" style="70" width="42.57"/>
    <col collapsed="false" customWidth="true" hidden="false" outlineLevel="0" max="6920" min="6920" style="70" width="3.29"/>
    <col collapsed="false" customWidth="true" hidden="false" outlineLevel="0" max="6921" min="6921" style="70" width="8"/>
    <col collapsed="false" customWidth="false" hidden="false" outlineLevel="0" max="6922" min="6922" style="70" width="42.57"/>
    <col collapsed="false" customWidth="true" hidden="false" outlineLevel="0" max="6923" min="6923" style="70" width="3.29"/>
    <col collapsed="false" customWidth="true" hidden="false" outlineLevel="0" max="6924" min="6924" style="70" width="8"/>
    <col collapsed="false" customWidth="false" hidden="false" outlineLevel="0" max="6925" min="6925" style="70" width="42.57"/>
    <col collapsed="false" customWidth="true" hidden="false" outlineLevel="0" max="6926" min="6926" style="70" width="3.29"/>
    <col collapsed="false" customWidth="true" hidden="false" outlineLevel="0" max="6927" min="6927" style="70" width="8"/>
    <col collapsed="false" customWidth="false" hidden="false" outlineLevel="0" max="6928" min="6928" style="70" width="42.57"/>
    <col collapsed="false" customWidth="true" hidden="false" outlineLevel="0" max="6929" min="6929" style="70" width="3.29"/>
    <col collapsed="false" customWidth="true" hidden="false" outlineLevel="0" max="6930" min="6930" style="70" width="8"/>
    <col collapsed="false" customWidth="false" hidden="false" outlineLevel="0" max="6931" min="6931" style="70" width="42.57"/>
    <col collapsed="false" customWidth="true" hidden="false" outlineLevel="0" max="6932" min="6932" style="70" width="3.29"/>
    <col collapsed="false" customWidth="true" hidden="false" outlineLevel="0" max="6933" min="6933" style="70" width="8"/>
    <col collapsed="false" customWidth="false" hidden="false" outlineLevel="0" max="6934" min="6934" style="70" width="42.57"/>
    <col collapsed="false" customWidth="true" hidden="false" outlineLevel="0" max="6935" min="6935" style="70" width="3.29"/>
    <col collapsed="false" customWidth="true" hidden="false" outlineLevel="0" max="6936" min="6936" style="70" width="8"/>
    <col collapsed="false" customWidth="false" hidden="false" outlineLevel="0" max="6937" min="6937" style="70" width="42.57"/>
    <col collapsed="false" customWidth="true" hidden="false" outlineLevel="0" max="6938" min="6938" style="70" width="3.29"/>
    <col collapsed="false" customWidth="true" hidden="false" outlineLevel="0" max="6939" min="6939" style="70" width="8"/>
    <col collapsed="false" customWidth="false" hidden="false" outlineLevel="0" max="6940" min="6940" style="70" width="42.57"/>
    <col collapsed="false" customWidth="true" hidden="false" outlineLevel="0" max="6941" min="6941" style="70" width="3.29"/>
    <col collapsed="false" customWidth="true" hidden="false" outlineLevel="0" max="6942" min="6942" style="70" width="8"/>
    <col collapsed="false" customWidth="false" hidden="false" outlineLevel="0" max="6943" min="6943" style="70" width="42.57"/>
    <col collapsed="false" customWidth="true" hidden="false" outlineLevel="0" max="6944" min="6944" style="70" width="3.29"/>
    <col collapsed="false" customWidth="true" hidden="false" outlineLevel="0" max="6945" min="6945" style="70" width="8"/>
    <col collapsed="false" customWidth="false" hidden="false" outlineLevel="0" max="6946" min="6946" style="70" width="42.57"/>
    <col collapsed="false" customWidth="true" hidden="false" outlineLevel="0" max="6947" min="6947" style="70" width="3.29"/>
    <col collapsed="false" customWidth="true" hidden="false" outlineLevel="0" max="6948" min="6948" style="70" width="8"/>
    <col collapsed="false" customWidth="false" hidden="false" outlineLevel="0" max="6949" min="6949" style="70" width="42.57"/>
    <col collapsed="false" customWidth="true" hidden="false" outlineLevel="0" max="6950" min="6950" style="70" width="3.29"/>
    <col collapsed="false" customWidth="true" hidden="false" outlineLevel="0" max="6951" min="6951" style="70" width="8"/>
    <col collapsed="false" customWidth="false" hidden="false" outlineLevel="0" max="6952" min="6952" style="70" width="42.57"/>
    <col collapsed="false" customWidth="true" hidden="false" outlineLevel="0" max="6953" min="6953" style="70" width="3.29"/>
    <col collapsed="false" customWidth="true" hidden="false" outlineLevel="0" max="6954" min="6954" style="70" width="8"/>
    <col collapsed="false" customWidth="false" hidden="false" outlineLevel="0" max="6955" min="6955" style="70" width="42.57"/>
    <col collapsed="false" customWidth="true" hidden="false" outlineLevel="0" max="6956" min="6956" style="70" width="3.29"/>
    <col collapsed="false" customWidth="true" hidden="false" outlineLevel="0" max="6957" min="6957" style="70" width="8"/>
    <col collapsed="false" customWidth="false" hidden="false" outlineLevel="0" max="6958" min="6958" style="70" width="42.57"/>
    <col collapsed="false" customWidth="true" hidden="false" outlineLevel="0" max="6959" min="6959" style="70" width="3.29"/>
    <col collapsed="false" customWidth="true" hidden="false" outlineLevel="0" max="6960" min="6960" style="70" width="8"/>
    <col collapsed="false" customWidth="false" hidden="false" outlineLevel="0" max="6961" min="6961" style="70" width="42.57"/>
    <col collapsed="false" customWidth="true" hidden="false" outlineLevel="0" max="6962" min="6962" style="70" width="3.29"/>
    <col collapsed="false" customWidth="true" hidden="false" outlineLevel="0" max="6963" min="6963" style="70" width="8"/>
    <col collapsed="false" customWidth="false" hidden="false" outlineLevel="0" max="6964" min="6964" style="70" width="42.57"/>
    <col collapsed="false" customWidth="true" hidden="false" outlineLevel="0" max="6965" min="6965" style="70" width="3.29"/>
    <col collapsed="false" customWidth="true" hidden="false" outlineLevel="0" max="6966" min="6966" style="70" width="8"/>
    <col collapsed="false" customWidth="false" hidden="false" outlineLevel="0" max="6967" min="6967" style="70" width="42.57"/>
    <col collapsed="false" customWidth="true" hidden="false" outlineLevel="0" max="6968" min="6968" style="70" width="3.29"/>
    <col collapsed="false" customWidth="true" hidden="false" outlineLevel="0" max="6969" min="6969" style="70" width="8"/>
    <col collapsed="false" customWidth="false" hidden="false" outlineLevel="0" max="6970" min="6970" style="70" width="42.57"/>
    <col collapsed="false" customWidth="true" hidden="false" outlineLevel="0" max="6971" min="6971" style="70" width="3.29"/>
    <col collapsed="false" customWidth="true" hidden="false" outlineLevel="0" max="6972" min="6972" style="70" width="8"/>
    <col collapsed="false" customWidth="false" hidden="false" outlineLevel="0" max="6973" min="6973" style="70" width="42.57"/>
    <col collapsed="false" customWidth="true" hidden="false" outlineLevel="0" max="6974" min="6974" style="70" width="3.29"/>
    <col collapsed="false" customWidth="true" hidden="false" outlineLevel="0" max="6975" min="6975" style="70" width="8"/>
    <col collapsed="false" customWidth="false" hidden="false" outlineLevel="0" max="6976" min="6976" style="70" width="42.57"/>
    <col collapsed="false" customWidth="true" hidden="false" outlineLevel="0" max="6977" min="6977" style="70" width="3.29"/>
    <col collapsed="false" customWidth="true" hidden="false" outlineLevel="0" max="6978" min="6978" style="70" width="8"/>
    <col collapsed="false" customWidth="false" hidden="false" outlineLevel="0" max="6979" min="6979" style="70" width="42.57"/>
    <col collapsed="false" customWidth="true" hidden="false" outlineLevel="0" max="6980" min="6980" style="70" width="3.29"/>
    <col collapsed="false" customWidth="true" hidden="false" outlineLevel="0" max="6981" min="6981" style="70" width="8"/>
    <col collapsed="false" customWidth="false" hidden="false" outlineLevel="0" max="6982" min="6982" style="70" width="42.57"/>
    <col collapsed="false" customWidth="true" hidden="false" outlineLevel="0" max="6983" min="6983" style="70" width="3.29"/>
    <col collapsed="false" customWidth="true" hidden="false" outlineLevel="0" max="6984" min="6984" style="70" width="8"/>
    <col collapsed="false" customWidth="false" hidden="false" outlineLevel="0" max="6985" min="6985" style="70" width="42.57"/>
    <col collapsed="false" customWidth="true" hidden="false" outlineLevel="0" max="6986" min="6986" style="70" width="3.29"/>
    <col collapsed="false" customWidth="true" hidden="false" outlineLevel="0" max="6987" min="6987" style="70" width="8"/>
    <col collapsed="false" customWidth="false" hidden="false" outlineLevel="0" max="6988" min="6988" style="70" width="42.57"/>
    <col collapsed="false" customWidth="true" hidden="false" outlineLevel="0" max="6989" min="6989" style="70" width="3.29"/>
    <col collapsed="false" customWidth="true" hidden="false" outlineLevel="0" max="6990" min="6990" style="70" width="8"/>
    <col collapsed="false" customWidth="false" hidden="false" outlineLevel="0" max="6991" min="6991" style="70" width="42.57"/>
    <col collapsed="false" customWidth="true" hidden="false" outlineLevel="0" max="6992" min="6992" style="70" width="3.29"/>
    <col collapsed="false" customWidth="true" hidden="false" outlineLevel="0" max="6993" min="6993" style="70" width="8"/>
    <col collapsed="false" customWidth="false" hidden="false" outlineLevel="0" max="6994" min="6994" style="70" width="42.57"/>
    <col collapsed="false" customWidth="true" hidden="false" outlineLevel="0" max="6995" min="6995" style="70" width="3.29"/>
    <col collapsed="false" customWidth="true" hidden="false" outlineLevel="0" max="6996" min="6996" style="70" width="8"/>
    <col collapsed="false" customWidth="false" hidden="false" outlineLevel="0" max="6997" min="6997" style="70" width="42.57"/>
    <col collapsed="false" customWidth="true" hidden="false" outlineLevel="0" max="6998" min="6998" style="70" width="3.29"/>
    <col collapsed="false" customWidth="true" hidden="false" outlineLevel="0" max="6999" min="6999" style="70" width="8"/>
    <col collapsed="false" customWidth="false" hidden="false" outlineLevel="0" max="7000" min="7000" style="70" width="42.57"/>
    <col collapsed="false" customWidth="true" hidden="false" outlineLevel="0" max="7001" min="7001" style="70" width="3.29"/>
    <col collapsed="false" customWidth="true" hidden="false" outlineLevel="0" max="7002" min="7002" style="70" width="8"/>
    <col collapsed="false" customWidth="false" hidden="false" outlineLevel="0" max="7003" min="7003" style="70" width="42.57"/>
    <col collapsed="false" customWidth="true" hidden="false" outlineLevel="0" max="7004" min="7004" style="70" width="3.29"/>
    <col collapsed="false" customWidth="true" hidden="false" outlineLevel="0" max="7005" min="7005" style="70" width="8"/>
    <col collapsed="false" customWidth="false" hidden="false" outlineLevel="0" max="7006" min="7006" style="70" width="42.57"/>
    <col collapsed="false" customWidth="true" hidden="false" outlineLevel="0" max="7007" min="7007" style="70" width="3.29"/>
    <col collapsed="false" customWidth="true" hidden="false" outlineLevel="0" max="7008" min="7008" style="70" width="8"/>
    <col collapsed="false" customWidth="false" hidden="false" outlineLevel="0" max="7009" min="7009" style="70" width="42.57"/>
    <col collapsed="false" customWidth="true" hidden="false" outlineLevel="0" max="7010" min="7010" style="70" width="3.29"/>
    <col collapsed="false" customWidth="true" hidden="false" outlineLevel="0" max="7011" min="7011" style="70" width="8"/>
    <col collapsed="false" customWidth="false" hidden="false" outlineLevel="0" max="7012" min="7012" style="70" width="42.57"/>
    <col collapsed="false" customWidth="true" hidden="false" outlineLevel="0" max="7013" min="7013" style="70" width="3.29"/>
    <col collapsed="false" customWidth="true" hidden="false" outlineLevel="0" max="7014" min="7014" style="70" width="8"/>
    <col collapsed="false" customWidth="false" hidden="false" outlineLevel="0" max="7015" min="7015" style="70" width="42.57"/>
    <col collapsed="false" customWidth="true" hidden="false" outlineLevel="0" max="7016" min="7016" style="70" width="3.29"/>
    <col collapsed="false" customWidth="true" hidden="false" outlineLevel="0" max="7017" min="7017" style="70" width="8"/>
    <col collapsed="false" customWidth="false" hidden="false" outlineLevel="0" max="7018" min="7018" style="70" width="42.57"/>
    <col collapsed="false" customWidth="true" hidden="false" outlineLevel="0" max="7019" min="7019" style="70" width="3.29"/>
    <col collapsed="false" customWidth="true" hidden="false" outlineLevel="0" max="7020" min="7020" style="70" width="8"/>
    <col collapsed="false" customWidth="false" hidden="false" outlineLevel="0" max="7021" min="7021" style="70" width="42.57"/>
    <col collapsed="false" customWidth="true" hidden="false" outlineLevel="0" max="7022" min="7022" style="70" width="3.29"/>
    <col collapsed="false" customWidth="true" hidden="false" outlineLevel="0" max="7023" min="7023" style="70" width="8"/>
    <col collapsed="false" customWidth="false" hidden="false" outlineLevel="0" max="7024" min="7024" style="70" width="42.57"/>
    <col collapsed="false" customWidth="true" hidden="false" outlineLevel="0" max="7025" min="7025" style="70" width="3.29"/>
    <col collapsed="false" customWidth="true" hidden="false" outlineLevel="0" max="7026" min="7026" style="70" width="8"/>
    <col collapsed="false" customWidth="false" hidden="false" outlineLevel="0" max="7027" min="7027" style="70" width="42.57"/>
    <col collapsed="false" customWidth="true" hidden="false" outlineLevel="0" max="7028" min="7028" style="70" width="3.29"/>
    <col collapsed="false" customWidth="true" hidden="false" outlineLevel="0" max="7029" min="7029" style="70" width="8"/>
    <col collapsed="false" customWidth="false" hidden="false" outlineLevel="0" max="7030" min="7030" style="70" width="42.57"/>
    <col collapsed="false" customWidth="true" hidden="false" outlineLevel="0" max="7031" min="7031" style="70" width="3.29"/>
    <col collapsed="false" customWidth="true" hidden="false" outlineLevel="0" max="7032" min="7032" style="70" width="8"/>
    <col collapsed="false" customWidth="false" hidden="false" outlineLevel="0" max="7033" min="7033" style="70" width="42.57"/>
    <col collapsed="false" customWidth="true" hidden="false" outlineLevel="0" max="7034" min="7034" style="70" width="3.29"/>
    <col collapsed="false" customWidth="true" hidden="false" outlineLevel="0" max="7035" min="7035" style="70" width="8"/>
    <col collapsed="false" customWidth="false" hidden="false" outlineLevel="0" max="7036" min="7036" style="70" width="42.57"/>
    <col collapsed="false" customWidth="true" hidden="false" outlineLevel="0" max="7037" min="7037" style="70" width="3.29"/>
    <col collapsed="false" customWidth="true" hidden="false" outlineLevel="0" max="7038" min="7038" style="70" width="8"/>
    <col collapsed="false" customWidth="false" hidden="false" outlineLevel="0" max="7039" min="7039" style="70" width="42.57"/>
    <col collapsed="false" customWidth="true" hidden="false" outlineLevel="0" max="7040" min="7040" style="70" width="3.29"/>
    <col collapsed="false" customWidth="true" hidden="false" outlineLevel="0" max="7041" min="7041" style="70" width="8"/>
    <col collapsed="false" customWidth="false" hidden="false" outlineLevel="0" max="7042" min="7042" style="70" width="42.57"/>
    <col collapsed="false" customWidth="true" hidden="false" outlineLevel="0" max="7043" min="7043" style="70" width="3.29"/>
    <col collapsed="false" customWidth="true" hidden="false" outlineLevel="0" max="7044" min="7044" style="70" width="8"/>
    <col collapsed="false" customWidth="false" hidden="false" outlineLevel="0" max="7045" min="7045" style="70" width="42.57"/>
    <col collapsed="false" customWidth="true" hidden="false" outlineLevel="0" max="7046" min="7046" style="70" width="3.29"/>
    <col collapsed="false" customWidth="true" hidden="false" outlineLevel="0" max="7047" min="7047" style="70" width="8"/>
    <col collapsed="false" customWidth="false" hidden="false" outlineLevel="0" max="7048" min="7048" style="70" width="42.57"/>
    <col collapsed="false" customWidth="true" hidden="false" outlineLevel="0" max="7049" min="7049" style="70" width="3.29"/>
    <col collapsed="false" customWidth="true" hidden="false" outlineLevel="0" max="7050" min="7050" style="70" width="8"/>
    <col collapsed="false" customWidth="false" hidden="false" outlineLevel="0" max="7051" min="7051" style="70" width="42.57"/>
    <col collapsed="false" customWidth="true" hidden="false" outlineLevel="0" max="7052" min="7052" style="70" width="3.29"/>
    <col collapsed="false" customWidth="true" hidden="false" outlineLevel="0" max="7053" min="7053" style="70" width="8"/>
    <col collapsed="false" customWidth="false" hidden="false" outlineLevel="0" max="7054" min="7054" style="70" width="42.57"/>
    <col collapsed="false" customWidth="true" hidden="false" outlineLevel="0" max="7055" min="7055" style="70" width="3.29"/>
    <col collapsed="false" customWidth="true" hidden="false" outlineLevel="0" max="7056" min="7056" style="70" width="8"/>
    <col collapsed="false" customWidth="false" hidden="false" outlineLevel="0" max="7057" min="7057" style="70" width="42.57"/>
    <col collapsed="false" customWidth="true" hidden="false" outlineLevel="0" max="7058" min="7058" style="70" width="3.29"/>
    <col collapsed="false" customWidth="true" hidden="false" outlineLevel="0" max="7059" min="7059" style="70" width="8"/>
    <col collapsed="false" customWidth="false" hidden="false" outlineLevel="0" max="7060" min="7060" style="70" width="42.57"/>
    <col collapsed="false" customWidth="true" hidden="false" outlineLevel="0" max="7061" min="7061" style="70" width="3.29"/>
    <col collapsed="false" customWidth="true" hidden="false" outlineLevel="0" max="7062" min="7062" style="70" width="8"/>
    <col collapsed="false" customWidth="false" hidden="false" outlineLevel="0" max="7063" min="7063" style="70" width="42.57"/>
    <col collapsed="false" customWidth="true" hidden="false" outlineLevel="0" max="7064" min="7064" style="70" width="3.29"/>
    <col collapsed="false" customWidth="true" hidden="false" outlineLevel="0" max="7065" min="7065" style="70" width="8"/>
    <col collapsed="false" customWidth="false" hidden="false" outlineLevel="0" max="7066" min="7066" style="70" width="42.57"/>
    <col collapsed="false" customWidth="true" hidden="false" outlineLevel="0" max="7067" min="7067" style="70" width="3.29"/>
    <col collapsed="false" customWidth="true" hidden="false" outlineLevel="0" max="7068" min="7068" style="70" width="8"/>
    <col collapsed="false" customWidth="false" hidden="false" outlineLevel="0" max="7069" min="7069" style="70" width="42.57"/>
    <col collapsed="false" customWidth="true" hidden="false" outlineLevel="0" max="7070" min="7070" style="70" width="3.29"/>
    <col collapsed="false" customWidth="true" hidden="false" outlineLevel="0" max="7071" min="7071" style="70" width="8"/>
    <col collapsed="false" customWidth="false" hidden="false" outlineLevel="0" max="7072" min="7072" style="70" width="42.57"/>
    <col collapsed="false" customWidth="true" hidden="false" outlineLevel="0" max="7073" min="7073" style="70" width="3.29"/>
    <col collapsed="false" customWidth="true" hidden="false" outlineLevel="0" max="7074" min="7074" style="70" width="8"/>
    <col collapsed="false" customWidth="false" hidden="false" outlineLevel="0" max="7075" min="7075" style="70" width="42.57"/>
    <col collapsed="false" customWidth="true" hidden="false" outlineLevel="0" max="7076" min="7076" style="70" width="3.29"/>
    <col collapsed="false" customWidth="true" hidden="false" outlineLevel="0" max="7077" min="7077" style="70" width="8"/>
    <col collapsed="false" customWidth="false" hidden="false" outlineLevel="0" max="7078" min="7078" style="70" width="42.57"/>
    <col collapsed="false" customWidth="true" hidden="false" outlineLevel="0" max="7079" min="7079" style="70" width="3.29"/>
    <col collapsed="false" customWidth="true" hidden="false" outlineLevel="0" max="7080" min="7080" style="70" width="8"/>
    <col collapsed="false" customWidth="false" hidden="false" outlineLevel="0" max="7081" min="7081" style="70" width="42.57"/>
    <col collapsed="false" customWidth="true" hidden="false" outlineLevel="0" max="7082" min="7082" style="70" width="3.29"/>
    <col collapsed="false" customWidth="true" hidden="false" outlineLevel="0" max="7083" min="7083" style="70" width="8"/>
    <col collapsed="false" customWidth="false" hidden="false" outlineLevel="0" max="7084" min="7084" style="70" width="42.57"/>
    <col collapsed="false" customWidth="true" hidden="false" outlineLevel="0" max="7085" min="7085" style="70" width="3.29"/>
    <col collapsed="false" customWidth="true" hidden="false" outlineLevel="0" max="7086" min="7086" style="70" width="8"/>
    <col collapsed="false" customWidth="false" hidden="false" outlineLevel="0" max="7087" min="7087" style="70" width="42.57"/>
    <col collapsed="false" customWidth="true" hidden="false" outlineLevel="0" max="7088" min="7088" style="70" width="3.29"/>
    <col collapsed="false" customWidth="true" hidden="false" outlineLevel="0" max="7089" min="7089" style="70" width="8"/>
    <col collapsed="false" customWidth="false" hidden="false" outlineLevel="0" max="7090" min="7090" style="70" width="42.57"/>
    <col collapsed="false" customWidth="true" hidden="false" outlineLevel="0" max="7091" min="7091" style="70" width="3.29"/>
    <col collapsed="false" customWidth="true" hidden="false" outlineLevel="0" max="7092" min="7092" style="70" width="8"/>
    <col collapsed="false" customWidth="false" hidden="false" outlineLevel="0" max="7093" min="7093" style="70" width="42.57"/>
    <col collapsed="false" customWidth="true" hidden="false" outlineLevel="0" max="7094" min="7094" style="70" width="3.29"/>
    <col collapsed="false" customWidth="true" hidden="false" outlineLevel="0" max="7095" min="7095" style="70" width="8"/>
    <col collapsed="false" customWidth="false" hidden="false" outlineLevel="0" max="7096" min="7096" style="70" width="42.57"/>
    <col collapsed="false" customWidth="true" hidden="false" outlineLevel="0" max="7097" min="7097" style="70" width="3.29"/>
    <col collapsed="false" customWidth="true" hidden="false" outlineLevel="0" max="7098" min="7098" style="70" width="8"/>
    <col collapsed="false" customWidth="false" hidden="false" outlineLevel="0" max="7099" min="7099" style="70" width="42.57"/>
    <col collapsed="false" customWidth="true" hidden="false" outlineLevel="0" max="7100" min="7100" style="70" width="3.29"/>
    <col collapsed="false" customWidth="true" hidden="false" outlineLevel="0" max="7101" min="7101" style="70" width="8"/>
    <col collapsed="false" customWidth="false" hidden="false" outlineLevel="0" max="7102" min="7102" style="70" width="42.57"/>
    <col collapsed="false" customWidth="true" hidden="false" outlineLevel="0" max="7103" min="7103" style="70" width="3.29"/>
    <col collapsed="false" customWidth="true" hidden="false" outlineLevel="0" max="7104" min="7104" style="70" width="8"/>
    <col collapsed="false" customWidth="false" hidden="false" outlineLevel="0" max="7105" min="7105" style="70" width="42.57"/>
    <col collapsed="false" customWidth="true" hidden="false" outlineLevel="0" max="7106" min="7106" style="70" width="3.29"/>
    <col collapsed="false" customWidth="true" hidden="false" outlineLevel="0" max="7107" min="7107" style="70" width="8"/>
    <col collapsed="false" customWidth="false" hidden="false" outlineLevel="0" max="7108" min="7108" style="70" width="42.57"/>
    <col collapsed="false" customWidth="true" hidden="false" outlineLevel="0" max="7109" min="7109" style="70" width="3.29"/>
    <col collapsed="false" customWidth="true" hidden="false" outlineLevel="0" max="7110" min="7110" style="70" width="8"/>
    <col collapsed="false" customWidth="false" hidden="false" outlineLevel="0" max="7111" min="7111" style="70" width="42.57"/>
    <col collapsed="false" customWidth="true" hidden="false" outlineLevel="0" max="7112" min="7112" style="70" width="3.29"/>
    <col collapsed="false" customWidth="true" hidden="false" outlineLevel="0" max="7113" min="7113" style="70" width="8"/>
    <col collapsed="false" customWidth="false" hidden="false" outlineLevel="0" max="7114" min="7114" style="70" width="42.57"/>
    <col collapsed="false" customWidth="true" hidden="false" outlineLevel="0" max="7115" min="7115" style="70" width="3.29"/>
    <col collapsed="false" customWidth="true" hidden="false" outlineLevel="0" max="7116" min="7116" style="70" width="8"/>
    <col collapsed="false" customWidth="false" hidden="false" outlineLevel="0" max="7117" min="7117" style="70" width="42.57"/>
    <col collapsed="false" customWidth="true" hidden="false" outlineLevel="0" max="7118" min="7118" style="70" width="3.29"/>
    <col collapsed="false" customWidth="true" hidden="false" outlineLevel="0" max="7119" min="7119" style="70" width="8"/>
    <col collapsed="false" customWidth="false" hidden="false" outlineLevel="0" max="7120" min="7120" style="70" width="42.57"/>
    <col collapsed="false" customWidth="true" hidden="false" outlineLevel="0" max="7121" min="7121" style="70" width="3.29"/>
    <col collapsed="false" customWidth="true" hidden="false" outlineLevel="0" max="7122" min="7122" style="70" width="8"/>
    <col collapsed="false" customWidth="false" hidden="false" outlineLevel="0" max="7123" min="7123" style="70" width="42.57"/>
    <col collapsed="false" customWidth="true" hidden="false" outlineLevel="0" max="7124" min="7124" style="70" width="3.29"/>
    <col collapsed="false" customWidth="true" hidden="false" outlineLevel="0" max="7125" min="7125" style="70" width="8"/>
    <col collapsed="false" customWidth="false" hidden="false" outlineLevel="0" max="7126" min="7126" style="70" width="42.57"/>
    <col collapsed="false" customWidth="true" hidden="false" outlineLevel="0" max="7127" min="7127" style="70" width="3.29"/>
    <col collapsed="false" customWidth="true" hidden="false" outlineLevel="0" max="7128" min="7128" style="70" width="8"/>
    <col collapsed="false" customWidth="false" hidden="false" outlineLevel="0" max="7129" min="7129" style="70" width="42.57"/>
    <col collapsed="false" customWidth="true" hidden="false" outlineLevel="0" max="7130" min="7130" style="70" width="3.29"/>
    <col collapsed="false" customWidth="true" hidden="false" outlineLevel="0" max="7131" min="7131" style="70" width="8"/>
    <col collapsed="false" customWidth="false" hidden="false" outlineLevel="0" max="7132" min="7132" style="70" width="42.57"/>
    <col collapsed="false" customWidth="true" hidden="false" outlineLevel="0" max="7133" min="7133" style="70" width="3.29"/>
    <col collapsed="false" customWidth="true" hidden="false" outlineLevel="0" max="7134" min="7134" style="70" width="8"/>
    <col collapsed="false" customWidth="false" hidden="false" outlineLevel="0" max="7135" min="7135" style="70" width="42.57"/>
    <col collapsed="false" customWidth="true" hidden="false" outlineLevel="0" max="7136" min="7136" style="70" width="3.29"/>
    <col collapsed="false" customWidth="true" hidden="false" outlineLevel="0" max="7137" min="7137" style="70" width="8"/>
    <col collapsed="false" customWidth="false" hidden="false" outlineLevel="0" max="7138" min="7138" style="70" width="42.57"/>
    <col collapsed="false" customWidth="true" hidden="false" outlineLevel="0" max="7139" min="7139" style="70" width="3.29"/>
    <col collapsed="false" customWidth="true" hidden="false" outlineLevel="0" max="7140" min="7140" style="70" width="8"/>
    <col collapsed="false" customWidth="false" hidden="false" outlineLevel="0" max="7141" min="7141" style="70" width="42.57"/>
    <col collapsed="false" customWidth="true" hidden="false" outlineLevel="0" max="7142" min="7142" style="70" width="3.29"/>
    <col collapsed="false" customWidth="true" hidden="false" outlineLevel="0" max="7143" min="7143" style="70" width="8"/>
    <col collapsed="false" customWidth="false" hidden="false" outlineLevel="0" max="7144" min="7144" style="70" width="42.57"/>
    <col collapsed="false" customWidth="true" hidden="false" outlineLevel="0" max="7145" min="7145" style="70" width="3.29"/>
    <col collapsed="false" customWidth="true" hidden="false" outlineLevel="0" max="7146" min="7146" style="70" width="8"/>
    <col collapsed="false" customWidth="false" hidden="false" outlineLevel="0" max="7147" min="7147" style="70" width="42.57"/>
    <col collapsed="false" customWidth="true" hidden="false" outlineLevel="0" max="7148" min="7148" style="70" width="3.29"/>
    <col collapsed="false" customWidth="true" hidden="false" outlineLevel="0" max="7149" min="7149" style="70" width="8"/>
    <col collapsed="false" customWidth="false" hidden="false" outlineLevel="0" max="7150" min="7150" style="70" width="42.57"/>
    <col collapsed="false" customWidth="true" hidden="false" outlineLevel="0" max="7151" min="7151" style="70" width="3.29"/>
    <col collapsed="false" customWidth="true" hidden="false" outlineLevel="0" max="7152" min="7152" style="70" width="8"/>
    <col collapsed="false" customWidth="false" hidden="false" outlineLevel="0" max="7153" min="7153" style="70" width="42.57"/>
    <col collapsed="false" customWidth="true" hidden="false" outlineLevel="0" max="7154" min="7154" style="70" width="3.29"/>
    <col collapsed="false" customWidth="true" hidden="false" outlineLevel="0" max="7155" min="7155" style="70" width="8"/>
    <col collapsed="false" customWidth="false" hidden="false" outlineLevel="0" max="7156" min="7156" style="70" width="42.57"/>
    <col collapsed="false" customWidth="true" hidden="false" outlineLevel="0" max="7157" min="7157" style="70" width="3.29"/>
    <col collapsed="false" customWidth="true" hidden="false" outlineLevel="0" max="7158" min="7158" style="70" width="8"/>
    <col collapsed="false" customWidth="false" hidden="false" outlineLevel="0" max="7159" min="7159" style="70" width="42.57"/>
    <col collapsed="false" customWidth="true" hidden="false" outlineLevel="0" max="7160" min="7160" style="70" width="3.29"/>
    <col collapsed="false" customWidth="true" hidden="false" outlineLevel="0" max="7161" min="7161" style="70" width="8"/>
    <col collapsed="false" customWidth="false" hidden="false" outlineLevel="0" max="7162" min="7162" style="70" width="42.57"/>
    <col collapsed="false" customWidth="true" hidden="false" outlineLevel="0" max="7163" min="7163" style="70" width="3.29"/>
    <col collapsed="false" customWidth="true" hidden="false" outlineLevel="0" max="7164" min="7164" style="70" width="8"/>
    <col collapsed="false" customWidth="false" hidden="false" outlineLevel="0" max="7165" min="7165" style="70" width="42.57"/>
    <col collapsed="false" customWidth="true" hidden="false" outlineLevel="0" max="7166" min="7166" style="70" width="3.29"/>
    <col collapsed="false" customWidth="true" hidden="false" outlineLevel="0" max="7167" min="7167" style="70" width="8"/>
    <col collapsed="false" customWidth="false" hidden="false" outlineLevel="0" max="7168" min="7168" style="70" width="42.57"/>
    <col collapsed="false" customWidth="true" hidden="false" outlineLevel="0" max="7169" min="7169" style="70" width="3.29"/>
    <col collapsed="false" customWidth="true" hidden="false" outlineLevel="0" max="7170" min="7170" style="70" width="8"/>
    <col collapsed="false" customWidth="false" hidden="false" outlineLevel="0" max="7171" min="7171" style="70" width="42.57"/>
    <col collapsed="false" customWidth="true" hidden="false" outlineLevel="0" max="7172" min="7172" style="70" width="3.29"/>
    <col collapsed="false" customWidth="true" hidden="false" outlineLevel="0" max="7173" min="7173" style="70" width="8"/>
    <col collapsed="false" customWidth="false" hidden="false" outlineLevel="0" max="7174" min="7174" style="70" width="42.57"/>
    <col collapsed="false" customWidth="true" hidden="false" outlineLevel="0" max="7175" min="7175" style="70" width="3.29"/>
    <col collapsed="false" customWidth="true" hidden="false" outlineLevel="0" max="7176" min="7176" style="70" width="8"/>
    <col collapsed="false" customWidth="false" hidden="false" outlineLevel="0" max="7177" min="7177" style="70" width="42.57"/>
    <col collapsed="false" customWidth="true" hidden="false" outlineLevel="0" max="7178" min="7178" style="70" width="3.29"/>
    <col collapsed="false" customWidth="true" hidden="false" outlineLevel="0" max="7179" min="7179" style="70" width="8"/>
    <col collapsed="false" customWidth="false" hidden="false" outlineLevel="0" max="7180" min="7180" style="70" width="42.57"/>
    <col collapsed="false" customWidth="true" hidden="false" outlineLevel="0" max="7181" min="7181" style="70" width="3.29"/>
    <col collapsed="false" customWidth="true" hidden="false" outlineLevel="0" max="7182" min="7182" style="70" width="8"/>
    <col collapsed="false" customWidth="false" hidden="false" outlineLevel="0" max="7183" min="7183" style="70" width="42.57"/>
    <col collapsed="false" customWidth="true" hidden="false" outlineLevel="0" max="7184" min="7184" style="70" width="3.29"/>
    <col collapsed="false" customWidth="true" hidden="false" outlineLevel="0" max="7185" min="7185" style="70" width="8"/>
    <col collapsed="false" customWidth="false" hidden="false" outlineLevel="0" max="7186" min="7186" style="70" width="42.57"/>
    <col collapsed="false" customWidth="true" hidden="false" outlineLevel="0" max="7187" min="7187" style="70" width="3.29"/>
    <col collapsed="false" customWidth="true" hidden="false" outlineLevel="0" max="7188" min="7188" style="70" width="8"/>
    <col collapsed="false" customWidth="false" hidden="false" outlineLevel="0" max="7189" min="7189" style="70" width="42.57"/>
    <col collapsed="false" customWidth="true" hidden="false" outlineLevel="0" max="7190" min="7190" style="70" width="3.29"/>
    <col collapsed="false" customWidth="true" hidden="false" outlineLevel="0" max="7191" min="7191" style="70" width="8"/>
    <col collapsed="false" customWidth="false" hidden="false" outlineLevel="0" max="7192" min="7192" style="70" width="42.57"/>
    <col collapsed="false" customWidth="true" hidden="false" outlineLevel="0" max="7193" min="7193" style="70" width="3.29"/>
    <col collapsed="false" customWidth="true" hidden="false" outlineLevel="0" max="7194" min="7194" style="70" width="8"/>
    <col collapsed="false" customWidth="false" hidden="false" outlineLevel="0" max="7195" min="7195" style="70" width="42.57"/>
    <col collapsed="false" customWidth="true" hidden="false" outlineLevel="0" max="7196" min="7196" style="70" width="3.29"/>
    <col collapsed="false" customWidth="true" hidden="false" outlineLevel="0" max="7197" min="7197" style="70" width="8"/>
    <col collapsed="false" customWidth="false" hidden="false" outlineLevel="0" max="7198" min="7198" style="70" width="42.57"/>
    <col collapsed="false" customWidth="true" hidden="false" outlineLevel="0" max="7199" min="7199" style="70" width="3.29"/>
    <col collapsed="false" customWidth="true" hidden="false" outlineLevel="0" max="7200" min="7200" style="70" width="8"/>
    <col collapsed="false" customWidth="false" hidden="false" outlineLevel="0" max="7201" min="7201" style="70" width="42.57"/>
    <col collapsed="false" customWidth="true" hidden="false" outlineLevel="0" max="7202" min="7202" style="70" width="3.29"/>
    <col collapsed="false" customWidth="true" hidden="false" outlineLevel="0" max="7203" min="7203" style="70" width="8"/>
    <col collapsed="false" customWidth="false" hidden="false" outlineLevel="0" max="7204" min="7204" style="70" width="42.57"/>
    <col collapsed="false" customWidth="true" hidden="false" outlineLevel="0" max="7205" min="7205" style="70" width="3.29"/>
    <col collapsed="false" customWidth="true" hidden="false" outlineLevel="0" max="7206" min="7206" style="70" width="8"/>
    <col collapsed="false" customWidth="false" hidden="false" outlineLevel="0" max="7207" min="7207" style="70" width="42.57"/>
    <col collapsed="false" customWidth="true" hidden="false" outlineLevel="0" max="7208" min="7208" style="70" width="3.29"/>
    <col collapsed="false" customWidth="true" hidden="false" outlineLevel="0" max="7209" min="7209" style="70" width="8"/>
    <col collapsed="false" customWidth="false" hidden="false" outlineLevel="0" max="7210" min="7210" style="70" width="42.57"/>
    <col collapsed="false" customWidth="true" hidden="false" outlineLevel="0" max="7211" min="7211" style="70" width="3.29"/>
    <col collapsed="false" customWidth="true" hidden="false" outlineLevel="0" max="7212" min="7212" style="70" width="8"/>
    <col collapsed="false" customWidth="false" hidden="false" outlineLevel="0" max="7213" min="7213" style="70" width="42.57"/>
    <col collapsed="false" customWidth="true" hidden="false" outlineLevel="0" max="7214" min="7214" style="70" width="3.29"/>
    <col collapsed="false" customWidth="true" hidden="false" outlineLevel="0" max="7215" min="7215" style="70" width="8"/>
    <col collapsed="false" customWidth="false" hidden="false" outlineLevel="0" max="7216" min="7216" style="70" width="42.57"/>
    <col collapsed="false" customWidth="true" hidden="false" outlineLevel="0" max="7217" min="7217" style="70" width="3.29"/>
    <col collapsed="false" customWidth="true" hidden="false" outlineLevel="0" max="7218" min="7218" style="70" width="8"/>
    <col collapsed="false" customWidth="false" hidden="false" outlineLevel="0" max="7219" min="7219" style="70" width="42.57"/>
    <col collapsed="false" customWidth="true" hidden="false" outlineLevel="0" max="7220" min="7220" style="70" width="3.29"/>
    <col collapsed="false" customWidth="true" hidden="false" outlineLevel="0" max="7221" min="7221" style="70" width="8"/>
    <col collapsed="false" customWidth="false" hidden="false" outlineLevel="0" max="7222" min="7222" style="70" width="42.57"/>
    <col collapsed="false" customWidth="true" hidden="false" outlineLevel="0" max="7223" min="7223" style="70" width="3.29"/>
    <col collapsed="false" customWidth="true" hidden="false" outlineLevel="0" max="7224" min="7224" style="70" width="8"/>
    <col collapsed="false" customWidth="false" hidden="false" outlineLevel="0" max="7225" min="7225" style="70" width="42.57"/>
    <col collapsed="false" customWidth="true" hidden="false" outlineLevel="0" max="7226" min="7226" style="70" width="3.29"/>
    <col collapsed="false" customWidth="true" hidden="false" outlineLevel="0" max="7227" min="7227" style="70" width="8"/>
    <col collapsed="false" customWidth="false" hidden="false" outlineLevel="0" max="7228" min="7228" style="70" width="42.57"/>
    <col collapsed="false" customWidth="true" hidden="false" outlineLevel="0" max="7229" min="7229" style="70" width="3.29"/>
    <col collapsed="false" customWidth="true" hidden="false" outlineLevel="0" max="7230" min="7230" style="70" width="8"/>
    <col collapsed="false" customWidth="false" hidden="false" outlineLevel="0" max="7231" min="7231" style="70" width="42.57"/>
    <col collapsed="false" customWidth="true" hidden="false" outlineLevel="0" max="7232" min="7232" style="70" width="3.29"/>
    <col collapsed="false" customWidth="true" hidden="false" outlineLevel="0" max="7233" min="7233" style="70" width="8"/>
    <col collapsed="false" customWidth="false" hidden="false" outlineLevel="0" max="7234" min="7234" style="70" width="42.57"/>
    <col collapsed="false" customWidth="true" hidden="false" outlineLevel="0" max="7235" min="7235" style="70" width="3.29"/>
    <col collapsed="false" customWidth="true" hidden="false" outlineLevel="0" max="7236" min="7236" style="70" width="8"/>
    <col collapsed="false" customWidth="false" hidden="false" outlineLevel="0" max="7237" min="7237" style="70" width="42.57"/>
    <col collapsed="false" customWidth="true" hidden="false" outlineLevel="0" max="7238" min="7238" style="70" width="3.29"/>
    <col collapsed="false" customWidth="true" hidden="false" outlineLevel="0" max="7239" min="7239" style="70" width="8"/>
    <col collapsed="false" customWidth="false" hidden="false" outlineLevel="0" max="7240" min="7240" style="70" width="42.57"/>
    <col collapsed="false" customWidth="true" hidden="false" outlineLevel="0" max="7241" min="7241" style="70" width="3.29"/>
    <col collapsed="false" customWidth="true" hidden="false" outlineLevel="0" max="7242" min="7242" style="70" width="8"/>
    <col collapsed="false" customWidth="false" hidden="false" outlineLevel="0" max="7243" min="7243" style="70" width="42.57"/>
    <col collapsed="false" customWidth="true" hidden="false" outlineLevel="0" max="7244" min="7244" style="70" width="3.29"/>
    <col collapsed="false" customWidth="true" hidden="false" outlineLevel="0" max="7245" min="7245" style="70" width="8"/>
    <col collapsed="false" customWidth="false" hidden="false" outlineLevel="0" max="7246" min="7246" style="70" width="42.57"/>
    <col collapsed="false" customWidth="true" hidden="false" outlineLevel="0" max="7247" min="7247" style="70" width="3.29"/>
    <col collapsed="false" customWidth="true" hidden="false" outlineLevel="0" max="7248" min="7248" style="70" width="8"/>
    <col collapsed="false" customWidth="false" hidden="false" outlineLevel="0" max="7249" min="7249" style="70" width="42.57"/>
    <col collapsed="false" customWidth="true" hidden="false" outlineLevel="0" max="7250" min="7250" style="70" width="3.29"/>
    <col collapsed="false" customWidth="true" hidden="false" outlineLevel="0" max="7251" min="7251" style="70" width="8"/>
    <col collapsed="false" customWidth="false" hidden="false" outlineLevel="0" max="7252" min="7252" style="70" width="42.57"/>
    <col collapsed="false" customWidth="true" hidden="false" outlineLevel="0" max="7253" min="7253" style="70" width="3.29"/>
    <col collapsed="false" customWidth="true" hidden="false" outlineLevel="0" max="7254" min="7254" style="70" width="8"/>
    <col collapsed="false" customWidth="false" hidden="false" outlineLevel="0" max="7255" min="7255" style="70" width="42.57"/>
    <col collapsed="false" customWidth="true" hidden="false" outlineLevel="0" max="7256" min="7256" style="70" width="3.29"/>
    <col collapsed="false" customWidth="true" hidden="false" outlineLevel="0" max="7257" min="7257" style="70" width="8"/>
    <col collapsed="false" customWidth="false" hidden="false" outlineLevel="0" max="7258" min="7258" style="70" width="42.57"/>
    <col collapsed="false" customWidth="true" hidden="false" outlineLevel="0" max="7259" min="7259" style="70" width="3.29"/>
    <col collapsed="false" customWidth="true" hidden="false" outlineLevel="0" max="7260" min="7260" style="70" width="8"/>
    <col collapsed="false" customWidth="false" hidden="false" outlineLevel="0" max="7261" min="7261" style="70" width="42.57"/>
    <col collapsed="false" customWidth="true" hidden="false" outlineLevel="0" max="7262" min="7262" style="70" width="3.29"/>
    <col collapsed="false" customWidth="true" hidden="false" outlineLevel="0" max="7263" min="7263" style="70" width="8"/>
    <col collapsed="false" customWidth="false" hidden="false" outlineLevel="0" max="7264" min="7264" style="70" width="42.57"/>
    <col collapsed="false" customWidth="true" hidden="false" outlineLevel="0" max="7265" min="7265" style="70" width="3.29"/>
    <col collapsed="false" customWidth="true" hidden="false" outlineLevel="0" max="7266" min="7266" style="70" width="8"/>
    <col collapsed="false" customWidth="false" hidden="false" outlineLevel="0" max="7267" min="7267" style="70" width="42.57"/>
    <col collapsed="false" customWidth="true" hidden="false" outlineLevel="0" max="7268" min="7268" style="70" width="3.29"/>
    <col collapsed="false" customWidth="true" hidden="false" outlineLevel="0" max="7269" min="7269" style="70" width="8"/>
    <col collapsed="false" customWidth="false" hidden="false" outlineLevel="0" max="7270" min="7270" style="70" width="42.57"/>
    <col collapsed="false" customWidth="true" hidden="false" outlineLevel="0" max="7271" min="7271" style="70" width="3.29"/>
    <col collapsed="false" customWidth="true" hidden="false" outlineLevel="0" max="7272" min="7272" style="70" width="8"/>
    <col collapsed="false" customWidth="false" hidden="false" outlineLevel="0" max="7273" min="7273" style="70" width="42.57"/>
    <col collapsed="false" customWidth="true" hidden="false" outlineLevel="0" max="7274" min="7274" style="70" width="3.29"/>
    <col collapsed="false" customWidth="true" hidden="false" outlineLevel="0" max="7275" min="7275" style="70" width="8"/>
    <col collapsed="false" customWidth="false" hidden="false" outlineLevel="0" max="7276" min="7276" style="70" width="42.57"/>
    <col collapsed="false" customWidth="true" hidden="false" outlineLevel="0" max="7277" min="7277" style="70" width="3.29"/>
    <col collapsed="false" customWidth="true" hidden="false" outlineLevel="0" max="7278" min="7278" style="70" width="8"/>
    <col collapsed="false" customWidth="false" hidden="false" outlineLevel="0" max="7279" min="7279" style="70" width="42.57"/>
    <col collapsed="false" customWidth="true" hidden="false" outlineLevel="0" max="7280" min="7280" style="70" width="3.29"/>
    <col collapsed="false" customWidth="true" hidden="false" outlineLevel="0" max="7281" min="7281" style="70" width="8"/>
    <col collapsed="false" customWidth="false" hidden="false" outlineLevel="0" max="7282" min="7282" style="70" width="42.57"/>
    <col collapsed="false" customWidth="true" hidden="false" outlineLevel="0" max="7283" min="7283" style="70" width="3.29"/>
    <col collapsed="false" customWidth="true" hidden="false" outlineLevel="0" max="7284" min="7284" style="70" width="8"/>
    <col collapsed="false" customWidth="false" hidden="false" outlineLevel="0" max="7285" min="7285" style="70" width="42.57"/>
    <col collapsed="false" customWidth="true" hidden="false" outlineLevel="0" max="7286" min="7286" style="70" width="3.29"/>
    <col collapsed="false" customWidth="true" hidden="false" outlineLevel="0" max="7287" min="7287" style="70" width="8"/>
    <col collapsed="false" customWidth="false" hidden="false" outlineLevel="0" max="7288" min="7288" style="70" width="42.57"/>
    <col collapsed="false" customWidth="true" hidden="false" outlineLevel="0" max="7289" min="7289" style="70" width="3.29"/>
    <col collapsed="false" customWidth="true" hidden="false" outlineLevel="0" max="7290" min="7290" style="70" width="8"/>
    <col collapsed="false" customWidth="false" hidden="false" outlineLevel="0" max="7291" min="7291" style="70" width="42.57"/>
    <col collapsed="false" customWidth="true" hidden="false" outlineLevel="0" max="7292" min="7292" style="70" width="3.29"/>
    <col collapsed="false" customWidth="true" hidden="false" outlineLevel="0" max="7293" min="7293" style="70" width="8"/>
    <col collapsed="false" customWidth="false" hidden="false" outlineLevel="0" max="7294" min="7294" style="70" width="42.57"/>
    <col collapsed="false" customWidth="true" hidden="false" outlineLevel="0" max="7295" min="7295" style="70" width="3.29"/>
    <col collapsed="false" customWidth="true" hidden="false" outlineLevel="0" max="7296" min="7296" style="70" width="8"/>
    <col collapsed="false" customWidth="false" hidden="false" outlineLevel="0" max="7297" min="7297" style="70" width="42.57"/>
    <col collapsed="false" customWidth="true" hidden="false" outlineLevel="0" max="7298" min="7298" style="70" width="3.29"/>
    <col collapsed="false" customWidth="true" hidden="false" outlineLevel="0" max="7299" min="7299" style="70" width="8"/>
    <col collapsed="false" customWidth="false" hidden="false" outlineLevel="0" max="7300" min="7300" style="70" width="42.57"/>
    <col collapsed="false" customWidth="true" hidden="false" outlineLevel="0" max="7301" min="7301" style="70" width="3.29"/>
    <col collapsed="false" customWidth="true" hidden="false" outlineLevel="0" max="7302" min="7302" style="70" width="8"/>
    <col collapsed="false" customWidth="false" hidden="false" outlineLevel="0" max="7303" min="7303" style="70" width="42.57"/>
    <col collapsed="false" customWidth="true" hidden="false" outlineLevel="0" max="7304" min="7304" style="70" width="3.29"/>
    <col collapsed="false" customWidth="true" hidden="false" outlineLevel="0" max="7305" min="7305" style="70" width="8"/>
    <col collapsed="false" customWidth="false" hidden="false" outlineLevel="0" max="7306" min="7306" style="70" width="42.57"/>
    <col collapsed="false" customWidth="true" hidden="false" outlineLevel="0" max="7307" min="7307" style="70" width="3.29"/>
    <col collapsed="false" customWidth="true" hidden="false" outlineLevel="0" max="7308" min="7308" style="70" width="8"/>
    <col collapsed="false" customWidth="false" hidden="false" outlineLevel="0" max="7309" min="7309" style="70" width="42.57"/>
    <col collapsed="false" customWidth="true" hidden="false" outlineLevel="0" max="7310" min="7310" style="70" width="3.29"/>
    <col collapsed="false" customWidth="true" hidden="false" outlineLevel="0" max="7311" min="7311" style="70" width="8"/>
    <col collapsed="false" customWidth="false" hidden="false" outlineLevel="0" max="7312" min="7312" style="70" width="42.57"/>
    <col collapsed="false" customWidth="true" hidden="false" outlineLevel="0" max="7313" min="7313" style="70" width="3.29"/>
    <col collapsed="false" customWidth="true" hidden="false" outlineLevel="0" max="7314" min="7314" style="70" width="8"/>
    <col collapsed="false" customWidth="false" hidden="false" outlineLevel="0" max="7315" min="7315" style="70" width="42.57"/>
    <col collapsed="false" customWidth="true" hidden="false" outlineLevel="0" max="7316" min="7316" style="70" width="3.29"/>
    <col collapsed="false" customWidth="true" hidden="false" outlineLevel="0" max="7317" min="7317" style="70" width="8"/>
    <col collapsed="false" customWidth="false" hidden="false" outlineLevel="0" max="7318" min="7318" style="70" width="42.57"/>
    <col collapsed="false" customWidth="true" hidden="false" outlineLevel="0" max="7319" min="7319" style="70" width="3.29"/>
    <col collapsed="false" customWidth="true" hidden="false" outlineLevel="0" max="7320" min="7320" style="70" width="8"/>
    <col collapsed="false" customWidth="false" hidden="false" outlineLevel="0" max="7321" min="7321" style="70" width="42.57"/>
    <col collapsed="false" customWidth="true" hidden="false" outlineLevel="0" max="7322" min="7322" style="70" width="3.29"/>
    <col collapsed="false" customWidth="true" hidden="false" outlineLevel="0" max="7323" min="7323" style="70" width="8"/>
    <col collapsed="false" customWidth="false" hidden="false" outlineLevel="0" max="7324" min="7324" style="70" width="42.57"/>
    <col collapsed="false" customWidth="true" hidden="false" outlineLevel="0" max="7325" min="7325" style="70" width="3.29"/>
    <col collapsed="false" customWidth="true" hidden="false" outlineLevel="0" max="7326" min="7326" style="70" width="8"/>
    <col collapsed="false" customWidth="false" hidden="false" outlineLevel="0" max="7327" min="7327" style="70" width="42.57"/>
    <col collapsed="false" customWidth="true" hidden="false" outlineLevel="0" max="7328" min="7328" style="70" width="3.29"/>
    <col collapsed="false" customWidth="true" hidden="false" outlineLevel="0" max="7329" min="7329" style="70" width="8"/>
    <col collapsed="false" customWidth="false" hidden="false" outlineLevel="0" max="7330" min="7330" style="70" width="42.57"/>
    <col collapsed="false" customWidth="true" hidden="false" outlineLevel="0" max="7331" min="7331" style="70" width="3.29"/>
    <col collapsed="false" customWidth="true" hidden="false" outlineLevel="0" max="7332" min="7332" style="70" width="8"/>
    <col collapsed="false" customWidth="false" hidden="false" outlineLevel="0" max="7333" min="7333" style="70" width="42.57"/>
    <col collapsed="false" customWidth="true" hidden="false" outlineLevel="0" max="7334" min="7334" style="70" width="3.29"/>
    <col collapsed="false" customWidth="true" hidden="false" outlineLevel="0" max="7335" min="7335" style="70" width="8"/>
    <col collapsed="false" customWidth="false" hidden="false" outlineLevel="0" max="7336" min="7336" style="70" width="42.57"/>
    <col collapsed="false" customWidth="true" hidden="false" outlineLevel="0" max="7337" min="7337" style="70" width="3.29"/>
    <col collapsed="false" customWidth="true" hidden="false" outlineLevel="0" max="7338" min="7338" style="70" width="8"/>
    <col collapsed="false" customWidth="false" hidden="false" outlineLevel="0" max="7339" min="7339" style="70" width="42.57"/>
    <col collapsed="false" customWidth="true" hidden="false" outlineLevel="0" max="7340" min="7340" style="70" width="3.29"/>
    <col collapsed="false" customWidth="true" hidden="false" outlineLevel="0" max="7341" min="7341" style="70" width="8"/>
    <col collapsed="false" customWidth="false" hidden="false" outlineLevel="0" max="7342" min="7342" style="70" width="42.57"/>
    <col collapsed="false" customWidth="true" hidden="false" outlineLevel="0" max="7343" min="7343" style="70" width="3.29"/>
    <col collapsed="false" customWidth="true" hidden="false" outlineLevel="0" max="7344" min="7344" style="70" width="8"/>
    <col collapsed="false" customWidth="false" hidden="false" outlineLevel="0" max="7345" min="7345" style="70" width="42.57"/>
    <col collapsed="false" customWidth="true" hidden="false" outlineLevel="0" max="7346" min="7346" style="70" width="3.29"/>
    <col collapsed="false" customWidth="true" hidden="false" outlineLevel="0" max="7347" min="7347" style="70" width="8"/>
    <col collapsed="false" customWidth="false" hidden="false" outlineLevel="0" max="7348" min="7348" style="70" width="42.57"/>
    <col collapsed="false" customWidth="true" hidden="false" outlineLevel="0" max="7349" min="7349" style="70" width="3.29"/>
    <col collapsed="false" customWidth="true" hidden="false" outlineLevel="0" max="7350" min="7350" style="70" width="8"/>
    <col collapsed="false" customWidth="false" hidden="false" outlineLevel="0" max="7351" min="7351" style="70" width="42.57"/>
    <col collapsed="false" customWidth="true" hidden="false" outlineLevel="0" max="7352" min="7352" style="70" width="3.29"/>
    <col collapsed="false" customWidth="true" hidden="false" outlineLevel="0" max="7353" min="7353" style="70" width="8"/>
    <col collapsed="false" customWidth="false" hidden="false" outlineLevel="0" max="7354" min="7354" style="70" width="42.57"/>
    <col collapsed="false" customWidth="true" hidden="false" outlineLevel="0" max="7355" min="7355" style="70" width="3.29"/>
    <col collapsed="false" customWidth="true" hidden="false" outlineLevel="0" max="7356" min="7356" style="70" width="8"/>
    <col collapsed="false" customWidth="false" hidden="false" outlineLevel="0" max="7357" min="7357" style="70" width="42.57"/>
    <col collapsed="false" customWidth="true" hidden="false" outlineLevel="0" max="7358" min="7358" style="70" width="3.29"/>
    <col collapsed="false" customWidth="true" hidden="false" outlineLevel="0" max="7359" min="7359" style="70" width="8"/>
    <col collapsed="false" customWidth="false" hidden="false" outlineLevel="0" max="7360" min="7360" style="70" width="42.57"/>
    <col collapsed="false" customWidth="true" hidden="false" outlineLevel="0" max="7361" min="7361" style="70" width="3.29"/>
    <col collapsed="false" customWidth="true" hidden="false" outlineLevel="0" max="7362" min="7362" style="70" width="8"/>
    <col collapsed="false" customWidth="false" hidden="false" outlineLevel="0" max="7363" min="7363" style="70" width="42.57"/>
    <col collapsed="false" customWidth="true" hidden="false" outlineLevel="0" max="7364" min="7364" style="70" width="3.29"/>
    <col collapsed="false" customWidth="true" hidden="false" outlineLevel="0" max="7365" min="7365" style="70" width="8"/>
    <col collapsed="false" customWidth="false" hidden="false" outlineLevel="0" max="7366" min="7366" style="70" width="42.57"/>
    <col collapsed="false" customWidth="true" hidden="false" outlineLevel="0" max="7367" min="7367" style="70" width="3.29"/>
    <col collapsed="false" customWidth="true" hidden="false" outlineLevel="0" max="7368" min="7368" style="70" width="8"/>
    <col collapsed="false" customWidth="false" hidden="false" outlineLevel="0" max="7369" min="7369" style="70" width="42.57"/>
    <col collapsed="false" customWidth="true" hidden="false" outlineLevel="0" max="7370" min="7370" style="70" width="3.29"/>
    <col collapsed="false" customWidth="true" hidden="false" outlineLevel="0" max="7371" min="7371" style="70" width="8"/>
    <col collapsed="false" customWidth="false" hidden="false" outlineLevel="0" max="7372" min="7372" style="70" width="42.57"/>
    <col collapsed="false" customWidth="true" hidden="false" outlineLevel="0" max="7373" min="7373" style="70" width="3.29"/>
    <col collapsed="false" customWidth="true" hidden="false" outlineLevel="0" max="7374" min="7374" style="70" width="8"/>
    <col collapsed="false" customWidth="false" hidden="false" outlineLevel="0" max="7375" min="7375" style="70" width="42.57"/>
    <col collapsed="false" customWidth="true" hidden="false" outlineLevel="0" max="7376" min="7376" style="70" width="3.29"/>
    <col collapsed="false" customWidth="true" hidden="false" outlineLevel="0" max="7377" min="7377" style="70" width="8"/>
    <col collapsed="false" customWidth="false" hidden="false" outlineLevel="0" max="7378" min="7378" style="70" width="42.57"/>
    <col collapsed="false" customWidth="true" hidden="false" outlineLevel="0" max="7379" min="7379" style="70" width="3.29"/>
    <col collapsed="false" customWidth="true" hidden="false" outlineLevel="0" max="7380" min="7380" style="70" width="8"/>
    <col collapsed="false" customWidth="false" hidden="false" outlineLevel="0" max="7381" min="7381" style="70" width="42.57"/>
    <col collapsed="false" customWidth="true" hidden="false" outlineLevel="0" max="7382" min="7382" style="70" width="3.29"/>
    <col collapsed="false" customWidth="true" hidden="false" outlineLevel="0" max="7383" min="7383" style="70" width="8"/>
    <col collapsed="false" customWidth="false" hidden="false" outlineLevel="0" max="7384" min="7384" style="70" width="42.57"/>
    <col collapsed="false" customWidth="true" hidden="false" outlineLevel="0" max="7385" min="7385" style="70" width="3.29"/>
    <col collapsed="false" customWidth="true" hidden="false" outlineLevel="0" max="7386" min="7386" style="70" width="8"/>
    <col collapsed="false" customWidth="false" hidden="false" outlineLevel="0" max="7387" min="7387" style="70" width="42.57"/>
    <col collapsed="false" customWidth="true" hidden="false" outlineLevel="0" max="7388" min="7388" style="70" width="3.29"/>
    <col collapsed="false" customWidth="true" hidden="false" outlineLevel="0" max="7389" min="7389" style="70" width="8"/>
    <col collapsed="false" customWidth="false" hidden="false" outlineLevel="0" max="7390" min="7390" style="70" width="42.57"/>
    <col collapsed="false" customWidth="true" hidden="false" outlineLevel="0" max="7391" min="7391" style="70" width="3.29"/>
    <col collapsed="false" customWidth="true" hidden="false" outlineLevel="0" max="7392" min="7392" style="70" width="8"/>
    <col collapsed="false" customWidth="false" hidden="false" outlineLevel="0" max="7393" min="7393" style="70" width="42.57"/>
    <col collapsed="false" customWidth="true" hidden="false" outlineLevel="0" max="7394" min="7394" style="70" width="3.29"/>
    <col collapsed="false" customWidth="true" hidden="false" outlineLevel="0" max="7395" min="7395" style="70" width="8"/>
    <col collapsed="false" customWidth="false" hidden="false" outlineLevel="0" max="7396" min="7396" style="70" width="42.57"/>
    <col collapsed="false" customWidth="true" hidden="false" outlineLevel="0" max="7397" min="7397" style="70" width="3.29"/>
    <col collapsed="false" customWidth="true" hidden="false" outlineLevel="0" max="7398" min="7398" style="70" width="8"/>
    <col collapsed="false" customWidth="false" hidden="false" outlineLevel="0" max="7399" min="7399" style="70" width="42.57"/>
    <col collapsed="false" customWidth="true" hidden="false" outlineLevel="0" max="7400" min="7400" style="70" width="3.29"/>
    <col collapsed="false" customWidth="true" hidden="false" outlineLevel="0" max="7401" min="7401" style="70" width="8"/>
    <col collapsed="false" customWidth="false" hidden="false" outlineLevel="0" max="7402" min="7402" style="70" width="42.57"/>
    <col collapsed="false" customWidth="true" hidden="false" outlineLevel="0" max="7403" min="7403" style="70" width="3.29"/>
    <col collapsed="false" customWidth="true" hidden="false" outlineLevel="0" max="7404" min="7404" style="70" width="8"/>
    <col collapsed="false" customWidth="false" hidden="false" outlineLevel="0" max="7405" min="7405" style="70" width="42.57"/>
    <col collapsed="false" customWidth="true" hidden="false" outlineLevel="0" max="7406" min="7406" style="70" width="3.29"/>
    <col collapsed="false" customWidth="true" hidden="false" outlineLevel="0" max="7407" min="7407" style="70" width="8"/>
    <col collapsed="false" customWidth="false" hidden="false" outlineLevel="0" max="7408" min="7408" style="70" width="42.57"/>
    <col collapsed="false" customWidth="true" hidden="false" outlineLevel="0" max="7409" min="7409" style="70" width="3.29"/>
    <col collapsed="false" customWidth="true" hidden="false" outlineLevel="0" max="7410" min="7410" style="70" width="8"/>
    <col collapsed="false" customWidth="false" hidden="false" outlineLevel="0" max="7411" min="7411" style="70" width="42.57"/>
    <col collapsed="false" customWidth="true" hidden="false" outlineLevel="0" max="7412" min="7412" style="70" width="3.29"/>
    <col collapsed="false" customWidth="true" hidden="false" outlineLevel="0" max="7413" min="7413" style="70" width="8"/>
    <col collapsed="false" customWidth="false" hidden="false" outlineLevel="0" max="7414" min="7414" style="70" width="42.57"/>
    <col collapsed="false" customWidth="true" hidden="false" outlineLevel="0" max="7415" min="7415" style="70" width="3.29"/>
    <col collapsed="false" customWidth="true" hidden="false" outlineLevel="0" max="7416" min="7416" style="70" width="8"/>
    <col collapsed="false" customWidth="false" hidden="false" outlineLevel="0" max="7417" min="7417" style="70" width="42.57"/>
    <col collapsed="false" customWidth="true" hidden="false" outlineLevel="0" max="7418" min="7418" style="70" width="3.29"/>
    <col collapsed="false" customWidth="true" hidden="false" outlineLevel="0" max="7419" min="7419" style="70" width="8"/>
    <col collapsed="false" customWidth="false" hidden="false" outlineLevel="0" max="7420" min="7420" style="70" width="42.57"/>
    <col collapsed="false" customWidth="true" hidden="false" outlineLevel="0" max="7421" min="7421" style="70" width="3.29"/>
    <col collapsed="false" customWidth="true" hidden="false" outlineLevel="0" max="7422" min="7422" style="70" width="8"/>
    <col collapsed="false" customWidth="false" hidden="false" outlineLevel="0" max="7423" min="7423" style="70" width="42.57"/>
    <col collapsed="false" customWidth="true" hidden="false" outlineLevel="0" max="7424" min="7424" style="70" width="3.29"/>
    <col collapsed="false" customWidth="true" hidden="false" outlineLevel="0" max="7425" min="7425" style="70" width="8"/>
    <col collapsed="false" customWidth="false" hidden="false" outlineLevel="0" max="7426" min="7426" style="70" width="42.57"/>
    <col collapsed="false" customWidth="true" hidden="false" outlineLevel="0" max="7427" min="7427" style="70" width="3.29"/>
    <col collapsed="false" customWidth="true" hidden="false" outlineLevel="0" max="7428" min="7428" style="70" width="8"/>
    <col collapsed="false" customWidth="false" hidden="false" outlineLevel="0" max="7429" min="7429" style="70" width="42.57"/>
    <col collapsed="false" customWidth="true" hidden="false" outlineLevel="0" max="7430" min="7430" style="70" width="3.29"/>
    <col collapsed="false" customWidth="true" hidden="false" outlineLevel="0" max="7431" min="7431" style="70" width="8"/>
    <col collapsed="false" customWidth="false" hidden="false" outlineLevel="0" max="7432" min="7432" style="70" width="42.57"/>
    <col collapsed="false" customWidth="true" hidden="false" outlineLevel="0" max="7433" min="7433" style="70" width="3.29"/>
    <col collapsed="false" customWidth="true" hidden="false" outlineLevel="0" max="7434" min="7434" style="70" width="8"/>
    <col collapsed="false" customWidth="false" hidden="false" outlineLevel="0" max="7435" min="7435" style="70" width="42.57"/>
    <col collapsed="false" customWidth="true" hidden="false" outlineLevel="0" max="7436" min="7436" style="70" width="3.29"/>
    <col collapsed="false" customWidth="true" hidden="false" outlineLevel="0" max="7437" min="7437" style="70" width="8"/>
    <col collapsed="false" customWidth="false" hidden="false" outlineLevel="0" max="7438" min="7438" style="70" width="42.57"/>
    <col collapsed="false" customWidth="true" hidden="false" outlineLevel="0" max="7439" min="7439" style="70" width="3.29"/>
    <col collapsed="false" customWidth="true" hidden="false" outlineLevel="0" max="7440" min="7440" style="70" width="8"/>
    <col collapsed="false" customWidth="false" hidden="false" outlineLevel="0" max="7441" min="7441" style="70" width="42.57"/>
    <col collapsed="false" customWidth="true" hidden="false" outlineLevel="0" max="7442" min="7442" style="70" width="3.29"/>
    <col collapsed="false" customWidth="true" hidden="false" outlineLevel="0" max="7443" min="7443" style="70" width="8"/>
    <col collapsed="false" customWidth="false" hidden="false" outlineLevel="0" max="7444" min="7444" style="70" width="42.57"/>
    <col collapsed="false" customWidth="true" hidden="false" outlineLevel="0" max="7445" min="7445" style="70" width="3.29"/>
    <col collapsed="false" customWidth="true" hidden="false" outlineLevel="0" max="7446" min="7446" style="70" width="8"/>
    <col collapsed="false" customWidth="false" hidden="false" outlineLevel="0" max="7447" min="7447" style="70" width="42.57"/>
    <col collapsed="false" customWidth="true" hidden="false" outlineLevel="0" max="7448" min="7448" style="70" width="3.29"/>
    <col collapsed="false" customWidth="true" hidden="false" outlineLevel="0" max="7449" min="7449" style="70" width="8"/>
    <col collapsed="false" customWidth="false" hidden="false" outlineLevel="0" max="7450" min="7450" style="70" width="42.57"/>
    <col collapsed="false" customWidth="true" hidden="false" outlineLevel="0" max="7451" min="7451" style="70" width="3.29"/>
    <col collapsed="false" customWidth="true" hidden="false" outlineLevel="0" max="7452" min="7452" style="70" width="8"/>
    <col collapsed="false" customWidth="false" hidden="false" outlineLevel="0" max="7453" min="7453" style="70" width="42.57"/>
    <col collapsed="false" customWidth="true" hidden="false" outlineLevel="0" max="7454" min="7454" style="70" width="3.29"/>
    <col collapsed="false" customWidth="true" hidden="false" outlineLevel="0" max="7455" min="7455" style="70" width="8"/>
    <col collapsed="false" customWidth="false" hidden="false" outlineLevel="0" max="7456" min="7456" style="70" width="42.57"/>
    <col collapsed="false" customWidth="true" hidden="false" outlineLevel="0" max="7457" min="7457" style="70" width="3.29"/>
    <col collapsed="false" customWidth="true" hidden="false" outlineLevel="0" max="7458" min="7458" style="70" width="8"/>
    <col collapsed="false" customWidth="false" hidden="false" outlineLevel="0" max="7459" min="7459" style="70" width="42.57"/>
    <col collapsed="false" customWidth="true" hidden="false" outlineLevel="0" max="7460" min="7460" style="70" width="3.29"/>
    <col collapsed="false" customWidth="true" hidden="false" outlineLevel="0" max="7461" min="7461" style="70" width="8"/>
    <col collapsed="false" customWidth="false" hidden="false" outlineLevel="0" max="7462" min="7462" style="70" width="42.57"/>
    <col collapsed="false" customWidth="true" hidden="false" outlineLevel="0" max="7463" min="7463" style="70" width="3.29"/>
    <col collapsed="false" customWidth="true" hidden="false" outlineLevel="0" max="7464" min="7464" style="70" width="8"/>
    <col collapsed="false" customWidth="false" hidden="false" outlineLevel="0" max="7465" min="7465" style="70" width="42.57"/>
    <col collapsed="false" customWidth="true" hidden="false" outlineLevel="0" max="7466" min="7466" style="70" width="3.29"/>
    <col collapsed="false" customWidth="true" hidden="false" outlineLevel="0" max="7467" min="7467" style="70" width="8"/>
    <col collapsed="false" customWidth="false" hidden="false" outlineLevel="0" max="7468" min="7468" style="70" width="42.57"/>
    <col collapsed="false" customWidth="true" hidden="false" outlineLevel="0" max="7469" min="7469" style="70" width="3.29"/>
    <col collapsed="false" customWidth="true" hidden="false" outlineLevel="0" max="7470" min="7470" style="70" width="8"/>
    <col collapsed="false" customWidth="false" hidden="false" outlineLevel="0" max="7471" min="7471" style="70" width="42.57"/>
    <col collapsed="false" customWidth="true" hidden="false" outlineLevel="0" max="7472" min="7472" style="70" width="3.29"/>
    <col collapsed="false" customWidth="true" hidden="false" outlineLevel="0" max="7473" min="7473" style="70" width="8"/>
    <col collapsed="false" customWidth="false" hidden="false" outlineLevel="0" max="7474" min="7474" style="70" width="42.57"/>
    <col collapsed="false" customWidth="true" hidden="false" outlineLevel="0" max="7475" min="7475" style="70" width="3.29"/>
    <col collapsed="false" customWidth="true" hidden="false" outlineLevel="0" max="7476" min="7476" style="70" width="8"/>
    <col collapsed="false" customWidth="false" hidden="false" outlineLevel="0" max="7477" min="7477" style="70" width="42.57"/>
    <col collapsed="false" customWidth="true" hidden="false" outlineLevel="0" max="7478" min="7478" style="70" width="3.29"/>
    <col collapsed="false" customWidth="true" hidden="false" outlineLevel="0" max="7479" min="7479" style="70" width="8"/>
    <col collapsed="false" customWidth="false" hidden="false" outlineLevel="0" max="7480" min="7480" style="70" width="42.57"/>
    <col collapsed="false" customWidth="true" hidden="false" outlineLevel="0" max="7481" min="7481" style="70" width="3.29"/>
    <col collapsed="false" customWidth="true" hidden="false" outlineLevel="0" max="7482" min="7482" style="70" width="8"/>
    <col collapsed="false" customWidth="false" hidden="false" outlineLevel="0" max="7483" min="7483" style="70" width="42.57"/>
    <col collapsed="false" customWidth="true" hidden="false" outlineLevel="0" max="7484" min="7484" style="70" width="3.29"/>
    <col collapsed="false" customWidth="true" hidden="false" outlineLevel="0" max="7485" min="7485" style="70" width="8"/>
    <col collapsed="false" customWidth="false" hidden="false" outlineLevel="0" max="7486" min="7486" style="70" width="42.57"/>
    <col collapsed="false" customWidth="true" hidden="false" outlineLevel="0" max="7487" min="7487" style="70" width="3.29"/>
    <col collapsed="false" customWidth="true" hidden="false" outlineLevel="0" max="7488" min="7488" style="70" width="8"/>
    <col collapsed="false" customWidth="false" hidden="false" outlineLevel="0" max="7489" min="7489" style="70" width="42.57"/>
    <col collapsed="false" customWidth="true" hidden="false" outlineLevel="0" max="7490" min="7490" style="70" width="3.29"/>
    <col collapsed="false" customWidth="true" hidden="false" outlineLevel="0" max="7491" min="7491" style="70" width="8"/>
    <col collapsed="false" customWidth="false" hidden="false" outlineLevel="0" max="7492" min="7492" style="70" width="42.57"/>
    <col collapsed="false" customWidth="true" hidden="false" outlineLevel="0" max="7493" min="7493" style="70" width="3.29"/>
    <col collapsed="false" customWidth="true" hidden="false" outlineLevel="0" max="7494" min="7494" style="70" width="8"/>
    <col collapsed="false" customWidth="false" hidden="false" outlineLevel="0" max="7495" min="7495" style="70" width="42.57"/>
    <col collapsed="false" customWidth="true" hidden="false" outlineLevel="0" max="7496" min="7496" style="70" width="3.29"/>
    <col collapsed="false" customWidth="true" hidden="false" outlineLevel="0" max="7497" min="7497" style="70" width="8"/>
    <col collapsed="false" customWidth="false" hidden="false" outlineLevel="0" max="7498" min="7498" style="70" width="42.57"/>
    <col collapsed="false" customWidth="true" hidden="false" outlineLevel="0" max="7499" min="7499" style="70" width="3.29"/>
    <col collapsed="false" customWidth="true" hidden="false" outlineLevel="0" max="7500" min="7500" style="70" width="8"/>
    <col collapsed="false" customWidth="false" hidden="false" outlineLevel="0" max="7501" min="7501" style="70" width="42.57"/>
    <col collapsed="false" customWidth="true" hidden="false" outlineLevel="0" max="7502" min="7502" style="70" width="3.29"/>
    <col collapsed="false" customWidth="true" hidden="false" outlineLevel="0" max="7503" min="7503" style="70" width="8"/>
    <col collapsed="false" customWidth="false" hidden="false" outlineLevel="0" max="7504" min="7504" style="70" width="42.57"/>
    <col collapsed="false" customWidth="true" hidden="false" outlineLevel="0" max="7505" min="7505" style="70" width="3.29"/>
    <col collapsed="false" customWidth="true" hidden="false" outlineLevel="0" max="7506" min="7506" style="70" width="8"/>
    <col collapsed="false" customWidth="false" hidden="false" outlineLevel="0" max="7507" min="7507" style="70" width="42.57"/>
    <col collapsed="false" customWidth="true" hidden="false" outlineLevel="0" max="7508" min="7508" style="70" width="3.29"/>
    <col collapsed="false" customWidth="true" hidden="false" outlineLevel="0" max="7509" min="7509" style="70" width="8"/>
    <col collapsed="false" customWidth="false" hidden="false" outlineLevel="0" max="7510" min="7510" style="70" width="42.57"/>
    <col collapsed="false" customWidth="true" hidden="false" outlineLevel="0" max="7511" min="7511" style="70" width="3.29"/>
    <col collapsed="false" customWidth="true" hidden="false" outlineLevel="0" max="7512" min="7512" style="70" width="8"/>
    <col collapsed="false" customWidth="false" hidden="false" outlineLevel="0" max="7513" min="7513" style="70" width="42.57"/>
    <col collapsed="false" customWidth="true" hidden="false" outlineLevel="0" max="7514" min="7514" style="70" width="3.29"/>
    <col collapsed="false" customWidth="true" hidden="false" outlineLevel="0" max="7515" min="7515" style="70" width="8"/>
    <col collapsed="false" customWidth="false" hidden="false" outlineLevel="0" max="7516" min="7516" style="70" width="42.57"/>
    <col collapsed="false" customWidth="true" hidden="false" outlineLevel="0" max="7517" min="7517" style="70" width="3.29"/>
    <col collapsed="false" customWidth="true" hidden="false" outlineLevel="0" max="7518" min="7518" style="70" width="8"/>
    <col collapsed="false" customWidth="false" hidden="false" outlineLevel="0" max="7519" min="7519" style="70" width="42.57"/>
    <col collapsed="false" customWidth="true" hidden="false" outlineLevel="0" max="7520" min="7520" style="70" width="3.29"/>
    <col collapsed="false" customWidth="true" hidden="false" outlineLevel="0" max="7521" min="7521" style="70" width="8"/>
    <col collapsed="false" customWidth="false" hidden="false" outlineLevel="0" max="7522" min="7522" style="70" width="42.57"/>
    <col collapsed="false" customWidth="true" hidden="false" outlineLevel="0" max="7523" min="7523" style="70" width="3.29"/>
    <col collapsed="false" customWidth="true" hidden="false" outlineLevel="0" max="7524" min="7524" style="70" width="8"/>
    <col collapsed="false" customWidth="false" hidden="false" outlineLevel="0" max="7525" min="7525" style="70" width="42.57"/>
    <col collapsed="false" customWidth="true" hidden="false" outlineLevel="0" max="7526" min="7526" style="70" width="3.29"/>
    <col collapsed="false" customWidth="true" hidden="false" outlineLevel="0" max="7527" min="7527" style="70" width="8"/>
    <col collapsed="false" customWidth="false" hidden="false" outlineLevel="0" max="7528" min="7528" style="70" width="42.57"/>
    <col collapsed="false" customWidth="true" hidden="false" outlineLevel="0" max="7529" min="7529" style="70" width="3.29"/>
    <col collapsed="false" customWidth="true" hidden="false" outlineLevel="0" max="7530" min="7530" style="70" width="8"/>
    <col collapsed="false" customWidth="false" hidden="false" outlineLevel="0" max="7531" min="7531" style="70" width="42.57"/>
    <col collapsed="false" customWidth="true" hidden="false" outlineLevel="0" max="7532" min="7532" style="70" width="3.29"/>
    <col collapsed="false" customWidth="true" hidden="false" outlineLevel="0" max="7533" min="7533" style="70" width="8"/>
    <col collapsed="false" customWidth="false" hidden="false" outlineLevel="0" max="7534" min="7534" style="70" width="42.57"/>
    <col collapsed="false" customWidth="true" hidden="false" outlineLevel="0" max="7535" min="7535" style="70" width="3.29"/>
    <col collapsed="false" customWidth="true" hidden="false" outlineLevel="0" max="7536" min="7536" style="70" width="8"/>
    <col collapsed="false" customWidth="false" hidden="false" outlineLevel="0" max="7537" min="7537" style="70" width="42.57"/>
    <col collapsed="false" customWidth="true" hidden="false" outlineLevel="0" max="7538" min="7538" style="70" width="3.29"/>
    <col collapsed="false" customWidth="true" hidden="false" outlineLevel="0" max="7539" min="7539" style="70" width="8"/>
    <col collapsed="false" customWidth="false" hidden="false" outlineLevel="0" max="7540" min="7540" style="70" width="42.57"/>
    <col collapsed="false" customWidth="true" hidden="false" outlineLevel="0" max="7541" min="7541" style="70" width="3.29"/>
    <col collapsed="false" customWidth="true" hidden="false" outlineLevel="0" max="7542" min="7542" style="70" width="8"/>
    <col collapsed="false" customWidth="false" hidden="false" outlineLevel="0" max="7543" min="7543" style="70" width="42.57"/>
    <col collapsed="false" customWidth="true" hidden="false" outlineLevel="0" max="7544" min="7544" style="70" width="3.29"/>
    <col collapsed="false" customWidth="true" hidden="false" outlineLevel="0" max="7545" min="7545" style="70" width="8"/>
    <col collapsed="false" customWidth="false" hidden="false" outlineLevel="0" max="7546" min="7546" style="70" width="42.57"/>
    <col collapsed="false" customWidth="true" hidden="false" outlineLevel="0" max="7547" min="7547" style="70" width="3.29"/>
    <col collapsed="false" customWidth="true" hidden="false" outlineLevel="0" max="7548" min="7548" style="70" width="8"/>
    <col collapsed="false" customWidth="false" hidden="false" outlineLevel="0" max="7549" min="7549" style="70" width="42.57"/>
    <col collapsed="false" customWidth="true" hidden="false" outlineLevel="0" max="7550" min="7550" style="70" width="3.29"/>
    <col collapsed="false" customWidth="true" hidden="false" outlineLevel="0" max="7551" min="7551" style="70" width="8"/>
    <col collapsed="false" customWidth="false" hidden="false" outlineLevel="0" max="7552" min="7552" style="70" width="42.57"/>
    <col collapsed="false" customWidth="true" hidden="false" outlineLevel="0" max="7553" min="7553" style="70" width="3.29"/>
    <col collapsed="false" customWidth="true" hidden="false" outlineLevel="0" max="7554" min="7554" style="70" width="8"/>
    <col collapsed="false" customWidth="false" hidden="false" outlineLevel="0" max="7555" min="7555" style="70" width="42.57"/>
    <col collapsed="false" customWidth="true" hidden="false" outlineLevel="0" max="7556" min="7556" style="70" width="3.29"/>
    <col collapsed="false" customWidth="true" hidden="false" outlineLevel="0" max="7557" min="7557" style="70" width="8"/>
    <col collapsed="false" customWidth="false" hidden="false" outlineLevel="0" max="7558" min="7558" style="70" width="42.57"/>
    <col collapsed="false" customWidth="true" hidden="false" outlineLevel="0" max="7559" min="7559" style="70" width="3.29"/>
    <col collapsed="false" customWidth="true" hidden="false" outlineLevel="0" max="7560" min="7560" style="70" width="8"/>
    <col collapsed="false" customWidth="false" hidden="false" outlineLevel="0" max="7561" min="7561" style="70" width="42.57"/>
    <col collapsed="false" customWidth="true" hidden="false" outlineLevel="0" max="7562" min="7562" style="70" width="3.29"/>
    <col collapsed="false" customWidth="true" hidden="false" outlineLevel="0" max="7563" min="7563" style="70" width="8"/>
    <col collapsed="false" customWidth="false" hidden="false" outlineLevel="0" max="7564" min="7564" style="70" width="42.57"/>
    <col collapsed="false" customWidth="true" hidden="false" outlineLevel="0" max="7565" min="7565" style="70" width="3.29"/>
    <col collapsed="false" customWidth="true" hidden="false" outlineLevel="0" max="7566" min="7566" style="70" width="8"/>
    <col collapsed="false" customWidth="false" hidden="false" outlineLevel="0" max="7567" min="7567" style="70" width="42.57"/>
    <col collapsed="false" customWidth="true" hidden="false" outlineLevel="0" max="7568" min="7568" style="70" width="3.29"/>
    <col collapsed="false" customWidth="true" hidden="false" outlineLevel="0" max="7569" min="7569" style="70" width="8"/>
    <col collapsed="false" customWidth="false" hidden="false" outlineLevel="0" max="7570" min="7570" style="70" width="42.57"/>
    <col collapsed="false" customWidth="true" hidden="false" outlineLevel="0" max="7571" min="7571" style="70" width="3.29"/>
    <col collapsed="false" customWidth="true" hidden="false" outlineLevel="0" max="7572" min="7572" style="70" width="8"/>
    <col collapsed="false" customWidth="false" hidden="false" outlineLevel="0" max="7573" min="7573" style="70" width="42.57"/>
    <col collapsed="false" customWidth="true" hidden="false" outlineLevel="0" max="7574" min="7574" style="70" width="3.29"/>
    <col collapsed="false" customWidth="true" hidden="false" outlineLevel="0" max="7575" min="7575" style="70" width="8"/>
    <col collapsed="false" customWidth="false" hidden="false" outlineLevel="0" max="7576" min="7576" style="70" width="42.57"/>
    <col collapsed="false" customWidth="true" hidden="false" outlineLevel="0" max="7577" min="7577" style="70" width="3.29"/>
    <col collapsed="false" customWidth="true" hidden="false" outlineLevel="0" max="7578" min="7578" style="70" width="8"/>
    <col collapsed="false" customWidth="false" hidden="false" outlineLevel="0" max="7579" min="7579" style="70" width="42.57"/>
    <col collapsed="false" customWidth="true" hidden="false" outlineLevel="0" max="7580" min="7580" style="70" width="3.29"/>
    <col collapsed="false" customWidth="true" hidden="false" outlineLevel="0" max="7581" min="7581" style="70" width="8"/>
    <col collapsed="false" customWidth="false" hidden="false" outlineLevel="0" max="7582" min="7582" style="70" width="42.57"/>
    <col collapsed="false" customWidth="true" hidden="false" outlineLevel="0" max="7583" min="7583" style="70" width="3.29"/>
    <col collapsed="false" customWidth="true" hidden="false" outlineLevel="0" max="7584" min="7584" style="70" width="8"/>
    <col collapsed="false" customWidth="false" hidden="false" outlineLevel="0" max="7585" min="7585" style="70" width="42.57"/>
    <col collapsed="false" customWidth="true" hidden="false" outlineLevel="0" max="7586" min="7586" style="70" width="3.29"/>
    <col collapsed="false" customWidth="true" hidden="false" outlineLevel="0" max="7587" min="7587" style="70" width="8"/>
    <col collapsed="false" customWidth="false" hidden="false" outlineLevel="0" max="7588" min="7588" style="70" width="42.57"/>
    <col collapsed="false" customWidth="true" hidden="false" outlineLevel="0" max="7589" min="7589" style="70" width="3.29"/>
    <col collapsed="false" customWidth="true" hidden="false" outlineLevel="0" max="7590" min="7590" style="70" width="8"/>
    <col collapsed="false" customWidth="false" hidden="false" outlineLevel="0" max="7591" min="7591" style="70" width="42.57"/>
    <col collapsed="false" customWidth="true" hidden="false" outlineLevel="0" max="7592" min="7592" style="70" width="3.29"/>
    <col collapsed="false" customWidth="true" hidden="false" outlineLevel="0" max="7593" min="7593" style="70" width="8"/>
    <col collapsed="false" customWidth="false" hidden="false" outlineLevel="0" max="7594" min="7594" style="70" width="42.57"/>
    <col collapsed="false" customWidth="true" hidden="false" outlineLevel="0" max="7595" min="7595" style="70" width="3.29"/>
    <col collapsed="false" customWidth="true" hidden="false" outlineLevel="0" max="7596" min="7596" style="70" width="8"/>
    <col collapsed="false" customWidth="false" hidden="false" outlineLevel="0" max="7597" min="7597" style="70" width="42.57"/>
    <col collapsed="false" customWidth="true" hidden="false" outlineLevel="0" max="7598" min="7598" style="70" width="3.29"/>
    <col collapsed="false" customWidth="true" hidden="false" outlineLevel="0" max="7599" min="7599" style="70" width="8"/>
    <col collapsed="false" customWidth="false" hidden="false" outlineLevel="0" max="7600" min="7600" style="70" width="42.57"/>
    <col collapsed="false" customWidth="true" hidden="false" outlineLevel="0" max="7601" min="7601" style="70" width="3.29"/>
    <col collapsed="false" customWidth="true" hidden="false" outlineLevel="0" max="7602" min="7602" style="70" width="8"/>
    <col collapsed="false" customWidth="false" hidden="false" outlineLevel="0" max="7603" min="7603" style="70" width="42.57"/>
    <col collapsed="false" customWidth="true" hidden="false" outlineLevel="0" max="7604" min="7604" style="70" width="3.29"/>
    <col collapsed="false" customWidth="true" hidden="false" outlineLevel="0" max="7605" min="7605" style="70" width="8"/>
    <col collapsed="false" customWidth="false" hidden="false" outlineLevel="0" max="7606" min="7606" style="70" width="42.57"/>
    <col collapsed="false" customWidth="true" hidden="false" outlineLevel="0" max="7607" min="7607" style="70" width="3.29"/>
    <col collapsed="false" customWidth="true" hidden="false" outlineLevel="0" max="7608" min="7608" style="70" width="8"/>
    <col collapsed="false" customWidth="false" hidden="false" outlineLevel="0" max="7609" min="7609" style="70" width="42.57"/>
    <col collapsed="false" customWidth="true" hidden="false" outlineLevel="0" max="7610" min="7610" style="70" width="3.29"/>
    <col collapsed="false" customWidth="true" hidden="false" outlineLevel="0" max="7611" min="7611" style="70" width="8"/>
    <col collapsed="false" customWidth="false" hidden="false" outlineLevel="0" max="7612" min="7612" style="70" width="42.57"/>
    <col collapsed="false" customWidth="true" hidden="false" outlineLevel="0" max="7613" min="7613" style="70" width="3.29"/>
    <col collapsed="false" customWidth="true" hidden="false" outlineLevel="0" max="7614" min="7614" style="70" width="8"/>
    <col collapsed="false" customWidth="false" hidden="false" outlineLevel="0" max="7615" min="7615" style="70" width="42.57"/>
    <col collapsed="false" customWidth="true" hidden="false" outlineLevel="0" max="7616" min="7616" style="70" width="3.29"/>
    <col collapsed="false" customWidth="true" hidden="false" outlineLevel="0" max="7617" min="7617" style="70" width="8"/>
    <col collapsed="false" customWidth="false" hidden="false" outlineLevel="0" max="7618" min="7618" style="70" width="42.57"/>
    <col collapsed="false" customWidth="true" hidden="false" outlineLevel="0" max="7619" min="7619" style="70" width="3.29"/>
    <col collapsed="false" customWidth="true" hidden="false" outlineLevel="0" max="7620" min="7620" style="70" width="8"/>
    <col collapsed="false" customWidth="false" hidden="false" outlineLevel="0" max="7621" min="7621" style="70" width="42.57"/>
    <col collapsed="false" customWidth="true" hidden="false" outlineLevel="0" max="7622" min="7622" style="70" width="3.29"/>
    <col collapsed="false" customWidth="true" hidden="false" outlineLevel="0" max="7623" min="7623" style="70" width="8"/>
    <col collapsed="false" customWidth="false" hidden="false" outlineLevel="0" max="7624" min="7624" style="70" width="42.57"/>
    <col collapsed="false" customWidth="true" hidden="false" outlineLevel="0" max="7625" min="7625" style="70" width="3.29"/>
    <col collapsed="false" customWidth="true" hidden="false" outlineLevel="0" max="7626" min="7626" style="70" width="8"/>
    <col collapsed="false" customWidth="false" hidden="false" outlineLevel="0" max="7627" min="7627" style="70" width="42.57"/>
    <col collapsed="false" customWidth="true" hidden="false" outlineLevel="0" max="7628" min="7628" style="70" width="3.29"/>
    <col collapsed="false" customWidth="true" hidden="false" outlineLevel="0" max="7629" min="7629" style="70" width="8"/>
    <col collapsed="false" customWidth="false" hidden="false" outlineLevel="0" max="7630" min="7630" style="70" width="42.57"/>
    <col collapsed="false" customWidth="true" hidden="false" outlineLevel="0" max="7631" min="7631" style="70" width="3.29"/>
    <col collapsed="false" customWidth="true" hidden="false" outlineLevel="0" max="7632" min="7632" style="70" width="8"/>
    <col collapsed="false" customWidth="false" hidden="false" outlineLevel="0" max="7633" min="7633" style="70" width="42.57"/>
    <col collapsed="false" customWidth="true" hidden="false" outlineLevel="0" max="7634" min="7634" style="70" width="3.29"/>
    <col collapsed="false" customWidth="true" hidden="false" outlineLevel="0" max="7635" min="7635" style="70" width="8"/>
    <col collapsed="false" customWidth="false" hidden="false" outlineLevel="0" max="7636" min="7636" style="70" width="42.57"/>
    <col collapsed="false" customWidth="true" hidden="false" outlineLevel="0" max="7637" min="7637" style="70" width="3.29"/>
    <col collapsed="false" customWidth="true" hidden="false" outlineLevel="0" max="7638" min="7638" style="70" width="8"/>
    <col collapsed="false" customWidth="false" hidden="false" outlineLevel="0" max="7639" min="7639" style="70" width="42.57"/>
    <col collapsed="false" customWidth="true" hidden="false" outlineLevel="0" max="7640" min="7640" style="70" width="3.29"/>
    <col collapsed="false" customWidth="true" hidden="false" outlineLevel="0" max="7641" min="7641" style="70" width="8"/>
    <col collapsed="false" customWidth="false" hidden="false" outlineLevel="0" max="7642" min="7642" style="70" width="42.57"/>
    <col collapsed="false" customWidth="true" hidden="false" outlineLevel="0" max="7643" min="7643" style="70" width="3.29"/>
    <col collapsed="false" customWidth="true" hidden="false" outlineLevel="0" max="7644" min="7644" style="70" width="8"/>
    <col collapsed="false" customWidth="false" hidden="false" outlineLevel="0" max="7645" min="7645" style="70" width="42.57"/>
    <col collapsed="false" customWidth="true" hidden="false" outlineLevel="0" max="7646" min="7646" style="70" width="3.29"/>
    <col collapsed="false" customWidth="true" hidden="false" outlineLevel="0" max="7647" min="7647" style="70" width="8"/>
    <col collapsed="false" customWidth="false" hidden="false" outlineLevel="0" max="7648" min="7648" style="70" width="42.57"/>
    <col collapsed="false" customWidth="true" hidden="false" outlineLevel="0" max="7649" min="7649" style="70" width="3.29"/>
    <col collapsed="false" customWidth="true" hidden="false" outlineLevel="0" max="7650" min="7650" style="70" width="8"/>
    <col collapsed="false" customWidth="false" hidden="false" outlineLevel="0" max="7651" min="7651" style="70" width="42.57"/>
    <col collapsed="false" customWidth="true" hidden="false" outlineLevel="0" max="7652" min="7652" style="70" width="3.29"/>
    <col collapsed="false" customWidth="true" hidden="false" outlineLevel="0" max="7653" min="7653" style="70" width="8"/>
    <col collapsed="false" customWidth="false" hidden="false" outlineLevel="0" max="7654" min="7654" style="70" width="42.57"/>
    <col collapsed="false" customWidth="true" hidden="false" outlineLevel="0" max="7655" min="7655" style="70" width="3.29"/>
    <col collapsed="false" customWidth="true" hidden="false" outlineLevel="0" max="7656" min="7656" style="70" width="8"/>
    <col collapsed="false" customWidth="false" hidden="false" outlineLevel="0" max="7657" min="7657" style="70" width="42.57"/>
    <col collapsed="false" customWidth="true" hidden="false" outlineLevel="0" max="7658" min="7658" style="70" width="3.29"/>
    <col collapsed="false" customWidth="true" hidden="false" outlineLevel="0" max="7659" min="7659" style="70" width="8"/>
    <col collapsed="false" customWidth="false" hidden="false" outlineLevel="0" max="7660" min="7660" style="70" width="42.57"/>
    <col collapsed="false" customWidth="true" hidden="false" outlineLevel="0" max="7661" min="7661" style="70" width="3.29"/>
    <col collapsed="false" customWidth="true" hidden="false" outlineLevel="0" max="7662" min="7662" style="70" width="8"/>
    <col collapsed="false" customWidth="false" hidden="false" outlineLevel="0" max="7663" min="7663" style="70" width="42.57"/>
    <col collapsed="false" customWidth="true" hidden="false" outlineLevel="0" max="7664" min="7664" style="70" width="3.29"/>
    <col collapsed="false" customWidth="true" hidden="false" outlineLevel="0" max="7665" min="7665" style="70" width="8"/>
    <col collapsed="false" customWidth="false" hidden="false" outlineLevel="0" max="7666" min="7666" style="70" width="42.57"/>
    <col collapsed="false" customWidth="true" hidden="false" outlineLevel="0" max="7667" min="7667" style="70" width="3.29"/>
    <col collapsed="false" customWidth="true" hidden="false" outlineLevel="0" max="7668" min="7668" style="70" width="8"/>
    <col collapsed="false" customWidth="false" hidden="false" outlineLevel="0" max="7669" min="7669" style="70" width="42.57"/>
    <col collapsed="false" customWidth="true" hidden="false" outlineLevel="0" max="7670" min="7670" style="70" width="3.29"/>
    <col collapsed="false" customWidth="true" hidden="false" outlineLevel="0" max="7671" min="7671" style="70" width="8"/>
    <col collapsed="false" customWidth="false" hidden="false" outlineLevel="0" max="7672" min="7672" style="70" width="42.57"/>
    <col collapsed="false" customWidth="true" hidden="false" outlineLevel="0" max="7673" min="7673" style="70" width="3.29"/>
    <col collapsed="false" customWidth="true" hidden="false" outlineLevel="0" max="7674" min="7674" style="70" width="8"/>
    <col collapsed="false" customWidth="false" hidden="false" outlineLevel="0" max="7675" min="7675" style="70" width="42.57"/>
    <col collapsed="false" customWidth="true" hidden="false" outlineLevel="0" max="7676" min="7676" style="70" width="3.29"/>
    <col collapsed="false" customWidth="true" hidden="false" outlineLevel="0" max="7677" min="7677" style="70" width="8"/>
    <col collapsed="false" customWidth="false" hidden="false" outlineLevel="0" max="7678" min="7678" style="70" width="42.57"/>
    <col collapsed="false" customWidth="true" hidden="false" outlineLevel="0" max="7679" min="7679" style="70" width="3.29"/>
    <col collapsed="false" customWidth="true" hidden="false" outlineLevel="0" max="7680" min="7680" style="70" width="8"/>
    <col collapsed="false" customWidth="false" hidden="false" outlineLevel="0" max="7681" min="7681" style="70" width="42.57"/>
    <col collapsed="false" customWidth="true" hidden="false" outlineLevel="0" max="7682" min="7682" style="70" width="3.29"/>
    <col collapsed="false" customWidth="true" hidden="false" outlineLevel="0" max="7683" min="7683" style="70" width="8"/>
    <col collapsed="false" customWidth="false" hidden="false" outlineLevel="0" max="7684" min="7684" style="70" width="42.57"/>
    <col collapsed="false" customWidth="true" hidden="false" outlineLevel="0" max="7685" min="7685" style="70" width="3.29"/>
    <col collapsed="false" customWidth="true" hidden="false" outlineLevel="0" max="7686" min="7686" style="70" width="8"/>
    <col collapsed="false" customWidth="false" hidden="false" outlineLevel="0" max="7687" min="7687" style="70" width="42.57"/>
    <col collapsed="false" customWidth="true" hidden="false" outlineLevel="0" max="7688" min="7688" style="70" width="3.29"/>
    <col collapsed="false" customWidth="true" hidden="false" outlineLevel="0" max="7689" min="7689" style="70" width="8"/>
    <col collapsed="false" customWidth="false" hidden="false" outlineLevel="0" max="7690" min="7690" style="70" width="42.57"/>
    <col collapsed="false" customWidth="true" hidden="false" outlineLevel="0" max="7691" min="7691" style="70" width="3.29"/>
    <col collapsed="false" customWidth="true" hidden="false" outlineLevel="0" max="7692" min="7692" style="70" width="8"/>
    <col collapsed="false" customWidth="false" hidden="false" outlineLevel="0" max="7693" min="7693" style="70" width="42.57"/>
    <col collapsed="false" customWidth="true" hidden="false" outlineLevel="0" max="7694" min="7694" style="70" width="3.29"/>
    <col collapsed="false" customWidth="true" hidden="false" outlineLevel="0" max="7695" min="7695" style="70" width="8"/>
    <col collapsed="false" customWidth="false" hidden="false" outlineLevel="0" max="7696" min="7696" style="70" width="42.57"/>
    <col collapsed="false" customWidth="true" hidden="false" outlineLevel="0" max="7697" min="7697" style="70" width="3.29"/>
    <col collapsed="false" customWidth="true" hidden="false" outlineLevel="0" max="7698" min="7698" style="70" width="8"/>
    <col collapsed="false" customWidth="false" hidden="false" outlineLevel="0" max="7699" min="7699" style="70" width="42.57"/>
    <col collapsed="false" customWidth="true" hidden="false" outlineLevel="0" max="7700" min="7700" style="70" width="3.29"/>
    <col collapsed="false" customWidth="true" hidden="false" outlineLevel="0" max="7701" min="7701" style="70" width="8"/>
    <col collapsed="false" customWidth="false" hidden="false" outlineLevel="0" max="7702" min="7702" style="70" width="42.57"/>
    <col collapsed="false" customWidth="true" hidden="false" outlineLevel="0" max="7703" min="7703" style="70" width="3.29"/>
    <col collapsed="false" customWidth="true" hidden="false" outlineLevel="0" max="7704" min="7704" style="70" width="8"/>
    <col collapsed="false" customWidth="false" hidden="false" outlineLevel="0" max="7705" min="7705" style="70" width="42.57"/>
    <col collapsed="false" customWidth="true" hidden="false" outlineLevel="0" max="7706" min="7706" style="70" width="3.29"/>
    <col collapsed="false" customWidth="true" hidden="false" outlineLevel="0" max="7707" min="7707" style="70" width="8"/>
    <col collapsed="false" customWidth="false" hidden="false" outlineLevel="0" max="7708" min="7708" style="70" width="42.57"/>
    <col collapsed="false" customWidth="true" hidden="false" outlineLevel="0" max="7709" min="7709" style="70" width="3.29"/>
    <col collapsed="false" customWidth="true" hidden="false" outlineLevel="0" max="7710" min="7710" style="70" width="8"/>
    <col collapsed="false" customWidth="false" hidden="false" outlineLevel="0" max="7711" min="7711" style="70" width="42.57"/>
    <col collapsed="false" customWidth="true" hidden="false" outlineLevel="0" max="7712" min="7712" style="70" width="3.29"/>
    <col collapsed="false" customWidth="true" hidden="false" outlineLevel="0" max="7713" min="7713" style="70" width="8"/>
    <col collapsed="false" customWidth="false" hidden="false" outlineLevel="0" max="7714" min="7714" style="70" width="42.57"/>
    <col collapsed="false" customWidth="true" hidden="false" outlineLevel="0" max="7715" min="7715" style="70" width="3.29"/>
    <col collapsed="false" customWidth="true" hidden="false" outlineLevel="0" max="7716" min="7716" style="70" width="8"/>
    <col collapsed="false" customWidth="false" hidden="false" outlineLevel="0" max="7717" min="7717" style="70" width="42.57"/>
    <col collapsed="false" customWidth="true" hidden="false" outlineLevel="0" max="7718" min="7718" style="70" width="3.29"/>
    <col collapsed="false" customWidth="true" hidden="false" outlineLevel="0" max="7719" min="7719" style="70" width="8"/>
    <col collapsed="false" customWidth="false" hidden="false" outlineLevel="0" max="7720" min="7720" style="70" width="42.57"/>
    <col collapsed="false" customWidth="true" hidden="false" outlineLevel="0" max="7721" min="7721" style="70" width="3.29"/>
    <col collapsed="false" customWidth="true" hidden="false" outlineLevel="0" max="7722" min="7722" style="70" width="8"/>
    <col collapsed="false" customWidth="false" hidden="false" outlineLevel="0" max="7723" min="7723" style="70" width="42.57"/>
    <col collapsed="false" customWidth="true" hidden="false" outlineLevel="0" max="7724" min="7724" style="70" width="3.29"/>
    <col collapsed="false" customWidth="true" hidden="false" outlineLevel="0" max="7725" min="7725" style="70" width="8"/>
    <col collapsed="false" customWidth="false" hidden="false" outlineLevel="0" max="7726" min="7726" style="70" width="42.57"/>
    <col collapsed="false" customWidth="true" hidden="false" outlineLevel="0" max="7727" min="7727" style="70" width="3.29"/>
    <col collapsed="false" customWidth="true" hidden="false" outlineLevel="0" max="7728" min="7728" style="70" width="8"/>
    <col collapsed="false" customWidth="false" hidden="false" outlineLevel="0" max="7729" min="7729" style="70" width="42.57"/>
    <col collapsed="false" customWidth="true" hidden="false" outlineLevel="0" max="7730" min="7730" style="70" width="3.29"/>
    <col collapsed="false" customWidth="true" hidden="false" outlineLevel="0" max="7731" min="7731" style="70" width="8"/>
    <col collapsed="false" customWidth="false" hidden="false" outlineLevel="0" max="7732" min="7732" style="70" width="42.57"/>
    <col collapsed="false" customWidth="true" hidden="false" outlineLevel="0" max="7733" min="7733" style="70" width="3.29"/>
    <col collapsed="false" customWidth="true" hidden="false" outlineLevel="0" max="7734" min="7734" style="70" width="8"/>
    <col collapsed="false" customWidth="false" hidden="false" outlineLevel="0" max="7735" min="7735" style="70" width="42.57"/>
    <col collapsed="false" customWidth="true" hidden="false" outlineLevel="0" max="7736" min="7736" style="70" width="3.29"/>
    <col collapsed="false" customWidth="true" hidden="false" outlineLevel="0" max="7737" min="7737" style="70" width="8"/>
    <col collapsed="false" customWidth="false" hidden="false" outlineLevel="0" max="7738" min="7738" style="70" width="42.57"/>
    <col collapsed="false" customWidth="true" hidden="false" outlineLevel="0" max="7739" min="7739" style="70" width="3.29"/>
    <col collapsed="false" customWidth="true" hidden="false" outlineLevel="0" max="7740" min="7740" style="70" width="8"/>
    <col collapsed="false" customWidth="false" hidden="false" outlineLevel="0" max="7741" min="7741" style="70" width="42.57"/>
    <col collapsed="false" customWidth="true" hidden="false" outlineLevel="0" max="7742" min="7742" style="70" width="3.29"/>
    <col collapsed="false" customWidth="true" hidden="false" outlineLevel="0" max="7743" min="7743" style="70" width="8"/>
    <col collapsed="false" customWidth="false" hidden="false" outlineLevel="0" max="7744" min="7744" style="70" width="42.57"/>
    <col collapsed="false" customWidth="true" hidden="false" outlineLevel="0" max="7745" min="7745" style="70" width="3.29"/>
    <col collapsed="false" customWidth="true" hidden="false" outlineLevel="0" max="7746" min="7746" style="70" width="8"/>
    <col collapsed="false" customWidth="false" hidden="false" outlineLevel="0" max="7747" min="7747" style="70" width="42.57"/>
    <col collapsed="false" customWidth="true" hidden="false" outlineLevel="0" max="7748" min="7748" style="70" width="3.29"/>
    <col collapsed="false" customWidth="true" hidden="false" outlineLevel="0" max="7749" min="7749" style="70" width="8"/>
    <col collapsed="false" customWidth="false" hidden="false" outlineLevel="0" max="7750" min="7750" style="70" width="42.57"/>
    <col collapsed="false" customWidth="true" hidden="false" outlineLevel="0" max="7751" min="7751" style="70" width="3.29"/>
    <col collapsed="false" customWidth="true" hidden="false" outlineLevel="0" max="7752" min="7752" style="70" width="8"/>
    <col collapsed="false" customWidth="false" hidden="false" outlineLevel="0" max="7753" min="7753" style="70" width="42.57"/>
    <col collapsed="false" customWidth="true" hidden="false" outlineLevel="0" max="7754" min="7754" style="70" width="3.29"/>
    <col collapsed="false" customWidth="true" hidden="false" outlineLevel="0" max="7755" min="7755" style="70" width="8"/>
    <col collapsed="false" customWidth="false" hidden="false" outlineLevel="0" max="7756" min="7756" style="70" width="42.57"/>
    <col collapsed="false" customWidth="true" hidden="false" outlineLevel="0" max="7757" min="7757" style="70" width="3.29"/>
    <col collapsed="false" customWidth="true" hidden="false" outlineLevel="0" max="7758" min="7758" style="70" width="8"/>
    <col collapsed="false" customWidth="false" hidden="false" outlineLevel="0" max="7759" min="7759" style="70" width="42.57"/>
    <col collapsed="false" customWidth="true" hidden="false" outlineLevel="0" max="7760" min="7760" style="70" width="3.29"/>
    <col collapsed="false" customWidth="true" hidden="false" outlineLevel="0" max="7761" min="7761" style="70" width="8"/>
    <col collapsed="false" customWidth="false" hidden="false" outlineLevel="0" max="7762" min="7762" style="70" width="42.57"/>
    <col collapsed="false" customWidth="true" hidden="false" outlineLevel="0" max="7763" min="7763" style="70" width="3.29"/>
    <col collapsed="false" customWidth="true" hidden="false" outlineLevel="0" max="7764" min="7764" style="70" width="8"/>
    <col collapsed="false" customWidth="false" hidden="false" outlineLevel="0" max="7765" min="7765" style="70" width="42.57"/>
    <col collapsed="false" customWidth="true" hidden="false" outlineLevel="0" max="7766" min="7766" style="70" width="3.29"/>
    <col collapsed="false" customWidth="true" hidden="false" outlineLevel="0" max="7767" min="7767" style="70" width="8"/>
    <col collapsed="false" customWidth="false" hidden="false" outlineLevel="0" max="7768" min="7768" style="70" width="42.57"/>
    <col collapsed="false" customWidth="true" hidden="false" outlineLevel="0" max="7769" min="7769" style="70" width="3.29"/>
    <col collapsed="false" customWidth="true" hidden="false" outlineLevel="0" max="7770" min="7770" style="70" width="8"/>
    <col collapsed="false" customWidth="false" hidden="false" outlineLevel="0" max="7771" min="7771" style="70" width="42.57"/>
    <col collapsed="false" customWidth="true" hidden="false" outlineLevel="0" max="7772" min="7772" style="70" width="3.29"/>
    <col collapsed="false" customWidth="true" hidden="false" outlineLevel="0" max="7773" min="7773" style="70" width="8"/>
    <col collapsed="false" customWidth="false" hidden="false" outlineLevel="0" max="7774" min="7774" style="70" width="42.57"/>
    <col collapsed="false" customWidth="true" hidden="false" outlineLevel="0" max="7775" min="7775" style="70" width="3.29"/>
    <col collapsed="false" customWidth="true" hidden="false" outlineLevel="0" max="7776" min="7776" style="70" width="8"/>
    <col collapsed="false" customWidth="false" hidden="false" outlineLevel="0" max="7777" min="7777" style="70" width="42.57"/>
    <col collapsed="false" customWidth="true" hidden="false" outlineLevel="0" max="7778" min="7778" style="70" width="3.29"/>
    <col collapsed="false" customWidth="true" hidden="false" outlineLevel="0" max="7779" min="7779" style="70" width="8"/>
    <col collapsed="false" customWidth="false" hidden="false" outlineLevel="0" max="7780" min="7780" style="70" width="42.57"/>
    <col collapsed="false" customWidth="true" hidden="false" outlineLevel="0" max="7781" min="7781" style="70" width="3.29"/>
    <col collapsed="false" customWidth="true" hidden="false" outlineLevel="0" max="7782" min="7782" style="70" width="8"/>
    <col collapsed="false" customWidth="false" hidden="false" outlineLevel="0" max="7783" min="7783" style="70" width="42.57"/>
    <col collapsed="false" customWidth="true" hidden="false" outlineLevel="0" max="7784" min="7784" style="70" width="3.29"/>
    <col collapsed="false" customWidth="true" hidden="false" outlineLevel="0" max="7785" min="7785" style="70" width="8"/>
    <col collapsed="false" customWidth="false" hidden="false" outlineLevel="0" max="7786" min="7786" style="70" width="42.57"/>
    <col collapsed="false" customWidth="true" hidden="false" outlineLevel="0" max="7787" min="7787" style="70" width="3.29"/>
    <col collapsed="false" customWidth="true" hidden="false" outlineLevel="0" max="7788" min="7788" style="70" width="8"/>
    <col collapsed="false" customWidth="false" hidden="false" outlineLevel="0" max="7789" min="7789" style="70" width="42.57"/>
    <col collapsed="false" customWidth="true" hidden="false" outlineLevel="0" max="7790" min="7790" style="70" width="3.29"/>
    <col collapsed="false" customWidth="true" hidden="false" outlineLevel="0" max="7791" min="7791" style="70" width="8"/>
    <col collapsed="false" customWidth="false" hidden="false" outlineLevel="0" max="7792" min="7792" style="70" width="42.57"/>
    <col collapsed="false" customWidth="true" hidden="false" outlineLevel="0" max="7793" min="7793" style="70" width="3.29"/>
    <col collapsed="false" customWidth="true" hidden="false" outlineLevel="0" max="7794" min="7794" style="70" width="8"/>
    <col collapsed="false" customWidth="false" hidden="false" outlineLevel="0" max="7795" min="7795" style="70" width="42.57"/>
    <col collapsed="false" customWidth="true" hidden="false" outlineLevel="0" max="7796" min="7796" style="70" width="3.29"/>
    <col collapsed="false" customWidth="true" hidden="false" outlineLevel="0" max="7797" min="7797" style="70" width="8"/>
    <col collapsed="false" customWidth="false" hidden="false" outlineLevel="0" max="7798" min="7798" style="70" width="42.57"/>
    <col collapsed="false" customWidth="true" hidden="false" outlineLevel="0" max="7799" min="7799" style="70" width="3.29"/>
    <col collapsed="false" customWidth="true" hidden="false" outlineLevel="0" max="7800" min="7800" style="70" width="8"/>
    <col collapsed="false" customWidth="false" hidden="false" outlineLevel="0" max="7801" min="7801" style="70" width="42.57"/>
    <col collapsed="false" customWidth="true" hidden="false" outlineLevel="0" max="7802" min="7802" style="70" width="3.29"/>
    <col collapsed="false" customWidth="true" hidden="false" outlineLevel="0" max="7803" min="7803" style="70" width="8"/>
    <col collapsed="false" customWidth="false" hidden="false" outlineLevel="0" max="7804" min="7804" style="70" width="42.57"/>
    <col collapsed="false" customWidth="true" hidden="false" outlineLevel="0" max="7805" min="7805" style="70" width="3.29"/>
    <col collapsed="false" customWidth="true" hidden="false" outlineLevel="0" max="7806" min="7806" style="70" width="8"/>
    <col collapsed="false" customWidth="false" hidden="false" outlineLevel="0" max="7807" min="7807" style="70" width="42.57"/>
    <col collapsed="false" customWidth="true" hidden="false" outlineLevel="0" max="7808" min="7808" style="70" width="3.29"/>
    <col collapsed="false" customWidth="true" hidden="false" outlineLevel="0" max="7809" min="7809" style="70" width="8"/>
    <col collapsed="false" customWidth="false" hidden="false" outlineLevel="0" max="7810" min="7810" style="70" width="42.57"/>
    <col collapsed="false" customWidth="true" hidden="false" outlineLevel="0" max="7811" min="7811" style="70" width="3.29"/>
    <col collapsed="false" customWidth="true" hidden="false" outlineLevel="0" max="7812" min="7812" style="70" width="8"/>
    <col collapsed="false" customWidth="false" hidden="false" outlineLevel="0" max="7813" min="7813" style="70" width="42.57"/>
    <col collapsed="false" customWidth="true" hidden="false" outlineLevel="0" max="7814" min="7814" style="70" width="3.29"/>
    <col collapsed="false" customWidth="true" hidden="false" outlineLevel="0" max="7815" min="7815" style="70" width="8"/>
    <col collapsed="false" customWidth="false" hidden="false" outlineLevel="0" max="7816" min="7816" style="70" width="42.57"/>
    <col collapsed="false" customWidth="true" hidden="false" outlineLevel="0" max="7817" min="7817" style="70" width="3.29"/>
    <col collapsed="false" customWidth="true" hidden="false" outlineLevel="0" max="7818" min="7818" style="70" width="8"/>
    <col collapsed="false" customWidth="false" hidden="false" outlineLevel="0" max="7819" min="7819" style="70" width="42.57"/>
    <col collapsed="false" customWidth="true" hidden="false" outlineLevel="0" max="7820" min="7820" style="70" width="3.29"/>
    <col collapsed="false" customWidth="true" hidden="false" outlineLevel="0" max="7821" min="7821" style="70" width="8"/>
    <col collapsed="false" customWidth="false" hidden="false" outlineLevel="0" max="7822" min="7822" style="70" width="42.57"/>
    <col collapsed="false" customWidth="true" hidden="false" outlineLevel="0" max="7823" min="7823" style="70" width="3.29"/>
    <col collapsed="false" customWidth="true" hidden="false" outlineLevel="0" max="7824" min="7824" style="70" width="8"/>
    <col collapsed="false" customWidth="false" hidden="false" outlineLevel="0" max="7825" min="7825" style="70" width="42.57"/>
    <col collapsed="false" customWidth="true" hidden="false" outlineLevel="0" max="7826" min="7826" style="70" width="3.29"/>
    <col collapsed="false" customWidth="true" hidden="false" outlineLevel="0" max="7827" min="7827" style="70" width="8"/>
    <col collapsed="false" customWidth="false" hidden="false" outlineLevel="0" max="7828" min="7828" style="70" width="42.57"/>
    <col collapsed="false" customWidth="true" hidden="false" outlineLevel="0" max="7829" min="7829" style="70" width="3.29"/>
    <col collapsed="false" customWidth="true" hidden="false" outlineLevel="0" max="7830" min="7830" style="70" width="8"/>
    <col collapsed="false" customWidth="false" hidden="false" outlineLevel="0" max="7831" min="7831" style="70" width="42.57"/>
    <col collapsed="false" customWidth="true" hidden="false" outlineLevel="0" max="7832" min="7832" style="70" width="3.29"/>
    <col collapsed="false" customWidth="true" hidden="false" outlineLevel="0" max="7833" min="7833" style="70" width="8"/>
    <col collapsed="false" customWidth="false" hidden="false" outlineLevel="0" max="7834" min="7834" style="70" width="42.57"/>
    <col collapsed="false" customWidth="true" hidden="false" outlineLevel="0" max="7835" min="7835" style="70" width="3.29"/>
    <col collapsed="false" customWidth="true" hidden="false" outlineLevel="0" max="7836" min="7836" style="70" width="8"/>
    <col collapsed="false" customWidth="false" hidden="false" outlineLevel="0" max="7837" min="7837" style="70" width="42.57"/>
    <col collapsed="false" customWidth="true" hidden="false" outlineLevel="0" max="7838" min="7838" style="70" width="3.29"/>
    <col collapsed="false" customWidth="true" hidden="false" outlineLevel="0" max="7839" min="7839" style="70" width="8"/>
    <col collapsed="false" customWidth="false" hidden="false" outlineLevel="0" max="7840" min="7840" style="70" width="42.57"/>
    <col collapsed="false" customWidth="true" hidden="false" outlineLevel="0" max="7841" min="7841" style="70" width="3.29"/>
    <col collapsed="false" customWidth="true" hidden="false" outlineLevel="0" max="7842" min="7842" style="70" width="8"/>
    <col collapsed="false" customWidth="false" hidden="false" outlineLevel="0" max="7843" min="7843" style="70" width="42.57"/>
    <col collapsed="false" customWidth="true" hidden="false" outlineLevel="0" max="7844" min="7844" style="70" width="3.29"/>
    <col collapsed="false" customWidth="true" hidden="false" outlineLevel="0" max="7845" min="7845" style="70" width="8"/>
    <col collapsed="false" customWidth="false" hidden="false" outlineLevel="0" max="7846" min="7846" style="70" width="42.57"/>
    <col collapsed="false" customWidth="true" hidden="false" outlineLevel="0" max="7847" min="7847" style="70" width="3.29"/>
    <col collapsed="false" customWidth="true" hidden="false" outlineLevel="0" max="7848" min="7848" style="70" width="8"/>
    <col collapsed="false" customWidth="false" hidden="false" outlineLevel="0" max="7849" min="7849" style="70" width="42.57"/>
    <col collapsed="false" customWidth="true" hidden="false" outlineLevel="0" max="7850" min="7850" style="70" width="3.29"/>
    <col collapsed="false" customWidth="true" hidden="false" outlineLevel="0" max="7851" min="7851" style="70" width="8"/>
    <col collapsed="false" customWidth="false" hidden="false" outlineLevel="0" max="7852" min="7852" style="70" width="42.57"/>
    <col collapsed="false" customWidth="true" hidden="false" outlineLevel="0" max="7853" min="7853" style="70" width="3.29"/>
    <col collapsed="false" customWidth="true" hidden="false" outlineLevel="0" max="7854" min="7854" style="70" width="8"/>
    <col collapsed="false" customWidth="false" hidden="false" outlineLevel="0" max="7855" min="7855" style="70" width="42.57"/>
    <col collapsed="false" customWidth="true" hidden="false" outlineLevel="0" max="7856" min="7856" style="70" width="3.29"/>
    <col collapsed="false" customWidth="true" hidden="false" outlineLevel="0" max="7857" min="7857" style="70" width="8"/>
    <col collapsed="false" customWidth="false" hidden="false" outlineLevel="0" max="7858" min="7858" style="70" width="42.57"/>
    <col collapsed="false" customWidth="true" hidden="false" outlineLevel="0" max="7859" min="7859" style="70" width="3.29"/>
    <col collapsed="false" customWidth="true" hidden="false" outlineLevel="0" max="7860" min="7860" style="70" width="8"/>
    <col collapsed="false" customWidth="false" hidden="false" outlineLevel="0" max="7861" min="7861" style="70" width="42.57"/>
    <col collapsed="false" customWidth="true" hidden="false" outlineLevel="0" max="7862" min="7862" style="70" width="3.29"/>
    <col collapsed="false" customWidth="true" hidden="false" outlineLevel="0" max="7863" min="7863" style="70" width="8"/>
    <col collapsed="false" customWidth="false" hidden="false" outlineLevel="0" max="7864" min="7864" style="70" width="42.57"/>
    <col collapsed="false" customWidth="true" hidden="false" outlineLevel="0" max="7865" min="7865" style="70" width="3.29"/>
    <col collapsed="false" customWidth="true" hidden="false" outlineLevel="0" max="7866" min="7866" style="70" width="8"/>
    <col collapsed="false" customWidth="false" hidden="false" outlineLevel="0" max="7867" min="7867" style="70" width="42.57"/>
    <col collapsed="false" customWidth="true" hidden="false" outlineLevel="0" max="7868" min="7868" style="70" width="3.29"/>
    <col collapsed="false" customWidth="true" hidden="false" outlineLevel="0" max="7869" min="7869" style="70" width="8"/>
    <col collapsed="false" customWidth="false" hidden="false" outlineLevel="0" max="7870" min="7870" style="70" width="42.57"/>
    <col collapsed="false" customWidth="true" hidden="false" outlineLevel="0" max="7871" min="7871" style="70" width="3.29"/>
    <col collapsed="false" customWidth="true" hidden="false" outlineLevel="0" max="7872" min="7872" style="70" width="8"/>
    <col collapsed="false" customWidth="false" hidden="false" outlineLevel="0" max="7873" min="7873" style="70" width="42.57"/>
    <col collapsed="false" customWidth="true" hidden="false" outlineLevel="0" max="7874" min="7874" style="70" width="3.29"/>
    <col collapsed="false" customWidth="true" hidden="false" outlineLevel="0" max="7875" min="7875" style="70" width="8"/>
    <col collapsed="false" customWidth="false" hidden="false" outlineLevel="0" max="7876" min="7876" style="70" width="42.57"/>
    <col collapsed="false" customWidth="true" hidden="false" outlineLevel="0" max="7877" min="7877" style="70" width="3.29"/>
    <col collapsed="false" customWidth="true" hidden="false" outlineLevel="0" max="7878" min="7878" style="70" width="8"/>
    <col collapsed="false" customWidth="false" hidden="false" outlineLevel="0" max="7879" min="7879" style="70" width="42.57"/>
    <col collapsed="false" customWidth="true" hidden="false" outlineLevel="0" max="7880" min="7880" style="70" width="3.29"/>
    <col collapsed="false" customWidth="true" hidden="false" outlineLevel="0" max="7881" min="7881" style="70" width="8"/>
    <col collapsed="false" customWidth="false" hidden="false" outlineLevel="0" max="7882" min="7882" style="70" width="42.57"/>
    <col collapsed="false" customWidth="true" hidden="false" outlineLevel="0" max="7883" min="7883" style="70" width="3.29"/>
    <col collapsed="false" customWidth="true" hidden="false" outlineLevel="0" max="7884" min="7884" style="70" width="8"/>
    <col collapsed="false" customWidth="false" hidden="false" outlineLevel="0" max="7885" min="7885" style="70" width="42.57"/>
    <col collapsed="false" customWidth="true" hidden="false" outlineLevel="0" max="7886" min="7886" style="70" width="3.29"/>
    <col collapsed="false" customWidth="true" hidden="false" outlineLevel="0" max="7887" min="7887" style="70" width="8"/>
    <col collapsed="false" customWidth="false" hidden="false" outlineLevel="0" max="7888" min="7888" style="70" width="42.57"/>
    <col collapsed="false" customWidth="true" hidden="false" outlineLevel="0" max="7889" min="7889" style="70" width="3.29"/>
    <col collapsed="false" customWidth="true" hidden="false" outlineLevel="0" max="7890" min="7890" style="70" width="8"/>
    <col collapsed="false" customWidth="false" hidden="false" outlineLevel="0" max="7891" min="7891" style="70" width="42.57"/>
    <col collapsed="false" customWidth="true" hidden="false" outlineLevel="0" max="7892" min="7892" style="70" width="3.29"/>
    <col collapsed="false" customWidth="true" hidden="false" outlineLevel="0" max="7893" min="7893" style="70" width="8"/>
    <col collapsed="false" customWidth="false" hidden="false" outlineLevel="0" max="7894" min="7894" style="70" width="42.57"/>
    <col collapsed="false" customWidth="true" hidden="false" outlineLevel="0" max="7895" min="7895" style="70" width="3.29"/>
    <col collapsed="false" customWidth="true" hidden="false" outlineLevel="0" max="7896" min="7896" style="70" width="8"/>
    <col collapsed="false" customWidth="false" hidden="false" outlineLevel="0" max="7897" min="7897" style="70" width="42.57"/>
    <col collapsed="false" customWidth="true" hidden="false" outlineLevel="0" max="7898" min="7898" style="70" width="3.29"/>
    <col collapsed="false" customWidth="true" hidden="false" outlineLevel="0" max="7899" min="7899" style="70" width="8"/>
    <col collapsed="false" customWidth="false" hidden="false" outlineLevel="0" max="7900" min="7900" style="70" width="42.57"/>
    <col collapsed="false" customWidth="true" hidden="false" outlineLevel="0" max="7901" min="7901" style="70" width="3.29"/>
    <col collapsed="false" customWidth="true" hidden="false" outlineLevel="0" max="7902" min="7902" style="70" width="8"/>
    <col collapsed="false" customWidth="false" hidden="false" outlineLevel="0" max="7903" min="7903" style="70" width="42.57"/>
    <col collapsed="false" customWidth="true" hidden="false" outlineLevel="0" max="7904" min="7904" style="70" width="3.29"/>
    <col collapsed="false" customWidth="true" hidden="false" outlineLevel="0" max="7905" min="7905" style="70" width="8"/>
    <col collapsed="false" customWidth="false" hidden="false" outlineLevel="0" max="7906" min="7906" style="70" width="42.57"/>
    <col collapsed="false" customWidth="true" hidden="false" outlineLevel="0" max="7907" min="7907" style="70" width="3.29"/>
    <col collapsed="false" customWidth="true" hidden="false" outlineLevel="0" max="7908" min="7908" style="70" width="8"/>
    <col collapsed="false" customWidth="false" hidden="false" outlineLevel="0" max="7909" min="7909" style="70" width="42.57"/>
    <col collapsed="false" customWidth="true" hidden="false" outlineLevel="0" max="7910" min="7910" style="70" width="3.29"/>
    <col collapsed="false" customWidth="true" hidden="false" outlineLevel="0" max="7911" min="7911" style="70" width="8"/>
    <col collapsed="false" customWidth="false" hidden="false" outlineLevel="0" max="7912" min="7912" style="70" width="42.57"/>
    <col collapsed="false" customWidth="true" hidden="false" outlineLevel="0" max="7913" min="7913" style="70" width="3.29"/>
    <col collapsed="false" customWidth="true" hidden="false" outlineLevel="0" max="7914" min="7914" style="70" width="8"/>
    <col collapsed="false" customWidth="false" hidden="false" outlineLevel="0" max="7915" min="7915" style="70" width="42.57"/>
    <col collapsed="false" customWidth="true" hidden="false" outlineLevel="0" max="7916" min="7916" style="70" width="3.29"/>
    <col collapsed="false" customWidth="true" hidden="false" outlineLevel="0" max="7917" min="7917" style="70" width="8"/>
    <col collapsed="false" customWidth="false" hidden="false" outlineLevel="0" max="7918" min="7918" style="70" width="42.57"/>
    <col collapsed="false" customWidth="true" hidden="false" outlineLevel="0" max="7919" min="7919" style="70" width="3.29"/>
    <col collapsed="false" customWidth="true" hidden="false" outlineLevel="0" max="7920" min="7920" style="70" width="8"/>
    <col collapsed="false" customWidth="false" hidden="false" outlineLevel="0" max="7921" min="7921" style="70" width="42.57"/>
    <col collapsed="false" customWidth="true" hidden="false" outlineLevel="0" max="7922" min="7922" style="70" width="3.29"/>
    <col collapsed="false" customWidth="true" hidden="false" outlineLevel="0" max="7923" min="7923" style="70" width="8"/>
    <col collapsed="false" customWidth="false" hidden="false" outlineLevel="0" max="7924" min="7924" style="70" width="42.57"/>
    <col collapsed="false" customWidth="true" hidden="false" outlineLevel="0" max="7925" min="7925" style="70" width="3.29"/>
    <col collapsed="false" customWidth="true" hidden="false" outlineLevel="0" max="7926" min="7926" style="70" width="8"/>
    <col collapsed="false" customWidth="false" hidden="false" outlineLevel="0" max="7927" min="7927" style="70" width="42.57"/>
    <col collapsed="false" customWidth="true" hidden="false" outlineLevel="0" max="7928" min="7928" style="70" width="3.29"/>
    <col collapsed="false" customWidth="true" hidden="false" outlineLevel="0" max="7929" min="7929" style="70" width="8"/>
    <col collapsed="false" customWidth="false" hidden="false" outlineLevel="0" max="7930" min="7930" style="70" width="42.57"/>
    <col collapsed="false" customWidth="true" hidden="false" outlineLevel="0" max="7931" min="7931" style="70" width="3.29"/>
    <col collapsed="false" customWidth="true" hidden="false" outlineLevel="0" max="7932" min="7932" style="70" width="8"/>
    <col collapsed="false" customWidth="false" hidden="false" outlineLevel="0" max="7933" min="7933" style="70" width="42.57"/>
    <col collapsed="false" customWidth="true" hidden="false" outlineLevel="0" max="7934" min="7934" style="70" width="3.29"/>
    <col collapsed="false" customWidth="true" hidden="false" outlineLevel="0" max="7935" min="7935" style="70" width="8"/>
    <col collapsed="false" customWidth="false" hidden="false" outlineLevel="0" max="7936" min="7936" style="70" width="42.57"/>
    <col collapsed="false" customWidth="true" hidden="false" outlineLevel="0" max="7937" min="7937" style="70" width="3.29"/>
    <col collapsed="false" customWidth="true" hidden="false" outlineLevel="0" max="7938" min="7938" style="70" width="8"/>
    <col collapsed="false" customWidth="false" hidden="false" outlineLevel="0" max="7939" min="7939" style="70" width="42.57"/>
    <col collapsed="false" customWidth="true" hidden="false" outlineLevel="0" max="7940" min="7940" style="70" width="3.29"/>
    <col collapsed="false" customWidth="true" hidden="false" outlineLevel="0" max="7941" min="7941" style="70" width="8"/>
    <col collapsed="false" customWidth="false" hidden="false" outlineLevel="0" max="7942" min="7942" style="70" width="42.57"/>
    <col collapsed="false" customWidth="true" hidden="false" outlineLevel="0" max="7943" min="7943" style="70" width="3.29"/>
    <col collapsed="false" customWidth="true" hidden="false" outlineLevel="0" max="7944" min="7944" style="70" width="8"/>
    <col collapsed="false" customWidth="false" hidden="false" outlineLevel="0" max="7945" min="7945" style="70" width="42.57"/>
    <col collapsed="false" customWidth="true" hidden="false" outlineLevel="0" max="7946" min="7946" style="70" width="3.29"/>
    <col collapsed="false" customWidth="true" hidden="false" outlineLevel="0" max="7947" min="7947" style="70" width="8"/>
    <col collapsed="false" customWidth="false" hidden="false" outlineLevel="0" max="7948" min="7948" style="70" width="42.57"/>
    <col collapsed="false" customWidth="true" hidden="false" outlineLevel="0" max="7949" min="7949" style="70" width="3.29"/>
    <col collapsed="false" customWidth="true" hidden="false" outlineLevel="0" max="7950" min="7950" style="70" width="8"/>
    <col collapsed="false" customWidth="false" hidden="false" outlineLevel="0" max="7951" min="7951" style="70" width="42.57"/>
    <col collapsed="false" customWidth="true" hidden="false" outlineLevel="0" max="7952" min="7952" style="70" width="3.29"/>
    <col collapsed="false" customWidth="true" hidden="false" outlineLevel="0" max="7953" min="7953" style="70" width="8"/>
    <col collapsed="false" customWidth="false" hidden="false" outlineLevel="0" max="7954" min="7954" style="70" width="42.57"/>
    <col collapsed="false" customWidth="true" hidden="false" outlineLevel="0" max="7955" min="7955" style="70" width="3.29"/>
    <col collapsed="false" customWidth="true" hidden="false" outlineLevel="0" max="7956" min="7956" style="70" width="8"/>
    <col collapsed="false" customWidth="false" hidden="false" outlineLevel="0" max="7957" min="7957" style="70" width="42.57"/>
    <col collapsed="false" customWidth="true" hidden="false" outlineLevel="0" max="7958" min="7958" style="70" width="3.29"/>
    <col collapsed="false" customWidth="true" hidden="false" outlineLevel="0" max="7959" min="7959" style="70" width="8"/>
    <col collapsed="false" customWidth="false" hidden="false" outlineLevel="0" max="7960" min="7960" style="70" width="42.57"/>
    <col collapsed="false" customWidth="true" hidden="false" outlineLevel="0" max="7961" min="7961" style="70" width="3.29"/>
    <col collapsed="false" customWidth="true" hidden="false" outlineLevel="0" max="7962" min="7962" style="70" width="8"/>
    <col collapsed="false" customWidth="false" hidden="false" outlineLevel="0" max="7963" min="7963" style="70" width="42.57"/>
    <col collapsed="false" customWidth="true" hidden="false" outlineLevel="0" max="7964" min="7964" style="70" width="3.29"/>
    <col collapsed="false" customWidth="true" hidden="false" outlineLevel="0" max="7965" min="7965" style="70" width="8"/>
    <col collapsed="false" customWidth="false" hidden="false" outlineLevel="0" max="7966" min="7966" style="70" width="42.57"/>
    <col collapsed="false" customWidth="true" hidden="false" outlineLevel="0" max="7967" min="7967" style="70" width="3.29"/>
    <col collapsed="false" customWidth="true" hidden="false" outlineLevel="0" max="7968" min="7968" style="70" width="8"/>
    <col collapsed="false" customWidth="false" hidden="false" outlineLevel="0" max="7969" min="7969" style="70" width="42.57"/>
    <col collapsed="false" customWidth="true" hidden="false" outlineLevel="0" max="7970" min="7970" style="70" width="3.29"/>
    <col collapsed="false" customWidth="true" hidden="false" outlineLevel="0" max="7971" min="7971" style="70" width="8"/>
    <col collapsed="false" customWidth="false" hidden="false" outlineLevel="0" max="7972" min="7972" style="70" width="42.57"/>
    <col collapsed="false" customWidth="true" hidden="false" outlineLevel="0" max="7973" min="7973" style="70" width="3.29"/>
    <col collapsed="false" customWidth="true" hidden="false" outlineLevel="0" max="7974" min="7974" style="70" width="8"/>
    <col collapsed="false" customWidth="false" hidden="false" outlineLevel="0" max="7975" min="7975" style="70" width="42.57"/>
    <col collapsed="false" customWidth="true" hidden="false" outlineLevel="0" max="7976" min="7976" style="70" width="3.29"/>
    <col collapsed="false" customWidth="true" hidden="false" outlineLevel="0" max="7977" min="7977" style="70" width="8"/>
    <col collapsed="false" customWidth="false" hidden="false" outlineLevel="0" max="7978" min="7978" style="70" width="42.57"/>
    <col collapsed="false" customWidth="true" hidden="false" outlineLevel="0" max="7979" min="7979" style="70" width="3.29"/>
    <col collapsed="false" customWidth="true" hidden="false" outlineLevel="0" max="7980" min="7980" style="70" width="8"/>
    <col collapsed="false" customWidth="false" hidden="false" outlineLevel="0" max="7981" min="7981" style="70" width="42.57"/>
    <col collapsed="false" customWidth="true" hidden="false" outlineLevel="0" max="7982" min="7982" style="70" width="3.29"/>
    <col collapsed="false" customWidth="true" hidden="false" outlineLevel="0" max="7983" min="7983" style="70" width="8"/>
    <col collapsed="false" customWidth="false" hidden="false" outlineLevel="0" max="7984" min="7984" style="70" width="42.57"/>
    <col collapsed="false" customWidth="true" hidden="false" outlineLevel="0" max="7985" min="7985" style="70" width="3.29"/>
    <col collapsed="false" customWidth="true" hidden="false" outlineLevel="0" max="7986" min="7986" style="70" width="8"/>
    <col collapsed="false" customWidth="false" hidden="false" outlineLevel="0" max="7987" min="7987" style="70" width="42.57"/>
    <col collapsed="false" customWidth="true" hidden="false" outlineLevel="0" max="7988" min="7988" style="70" width="3.29"/>
    <col collapsed="false" customWidth="true" hidden="false" outlineLevel="0" max="7989" min="7989" style="70" width="8"/>
    <col collapsed="false" customWidth="false" hidden="false" outlineLevel="0" max="7990" min="7990" style="70" width="42.57"/>
    <col collapsed="false" customWidth="true" hidden="false" outlineLevel="0" max="7991" min="7991" style="70" width="3.29"/>
    <col collapsed="false" customWidth="true" hidden="false" outlineLevel="0" max="7992" min="7992" style="70" width="8"/>
    <col collapsed="false" customWidth="false" hidden="false" outlineLevel="0" max="7993" min="7993" style="70" width="42.57"/>
    <col collapsed="false" customWidth="true" hidden="false" outlineLevel="0" max="7994" min="7994" style="70" width="3.29"/>
    <col collapsed="false" customWidth="true" hidden="false" outlineLevel="0" max="7995" min="7995" style="70" width="8"/>
    <col collapsed="false" customWidth="false" hidden="false" outlineLevel="0" max="7996" min="7996" style="70" width="42.57"/>
    <col collapsed="false" customWidth="true" hidden="false" outlineLevel="0" max="7997" min="7997" style="70" width="3.29"/>
    <col collapsed="false" customWidth="true" hidden="false" outlineLevel="0" max="7998" min="7998" style="70" width="8"/>
    <col collapsed="false" customWidth="false" hidden="false" outlineLevel="0" max="7999" min="7999" style="70" width="42.57"/>
    <col collapsed="false" customWidth="true" hidden="false" outlineLevel="0" max="8000" min="8000" style="70" width="3.29"/>
    <col collapsed="false" customWidth="true" hidden="false" outlineLevel="0" max="8001" min="8001" style="70" width="8"/>
    <col collapsed="false" customWidth="false" hidden="false" outlineLevel="0" max="8002" min="8002" style="70" width="42.57"/>
    <col collapsed="false" customWidth="true" hidden="false" outlineLevel="0" max="8003" min="8003" style="70" width="3.29"/>
    <col collapsed="false" customWidth="true" hidden="false" outlineLevel="0" max="8004" min="8004" style="70" width="8"/>
    <col collapsed="false" customWidth="false" hidden="false" outlineLevel="0" max="8005" min="8005" style="70" width="42.57"/>
    <col collapsed="false" customWidth="true" hidden="false" outlineLevel="0" max="8006" min="8006" style="70" width="3.29"/>
    <col collapsed="false" customWidth="true" hidden="false" outlineLevel="0" max="8007" min="8007" style="70" width="8"/>
    <col collapsed="false" customWidth="false" hidden="false" outlineLevel="0" max="8008" min="8008" style="70" width="42.57"/>
    <col collapsed="false" customWidth="true" hidden="false" outlineLevel="0" max="8009" min="8009" style="70" width="3.29"/>
    <col collapsed="false" customWidth="true" hidden="false" outlineLevel="0" max="8010" min="8010" style="70" width="8"/>
    <col collapsed="false" customWidth="false" hidden="false" outlineLevel="0" max="8011" min="8011" style="70" width="42.57"/>
    <col collapsed="false" customWidth="true" hidden="false" outlineLevel="0" max="8012" min="8012" style="70" width="3.29"/>
    <col collapsed="false" customWidth="true" hidden="false" outlineLevel="0" max="8013" min="8013" style="70" width="8"/>
    <col collapsed="false" customWidth="false" hidden="false" outlineLevel="0" max="8014" min="8014" style="70" width="42.57"/>
    <col collapsed="false" customWidth="true" hidden="false" outlineLevel="0" max="8015" min="8015" style="70" width="3.29"/>
    <col collapsed="false" customWidth="true" hidden="false" outlineLevel="0" max="8016" min="8016" style="70" width="8"/>
    <col collapsed="false" customWidth="false" hidden="false" outlineLevel="0" max="8017" min="8017" style="70" width="42.57"/>
    <col collapsed="false" customWidth="true" hidden="false" outlineLevel="0" max="8018" min="8018" style="70" width="3.29"/>
    <col collapsed="false" customWidth="true" hidden="false" outlineLevel="0" max="8019" min="8019" style="70" width="8"/>
    <col collapsed="false" customWidth="false" hidden="false" outlineLevel="0" max="8020" min="8020" style="70" width="42.57"/>
    <col collapsed="false" customWidth="true" hidden="false" outlineLevel="0" max="8021" min="8021" style="70" width="3.29"/>
    <col collapsed="false" customWidth="true" hidden="false" outlineLevel="0" max="8022" min="8022" style="70" width="8"/>
    <col collapsed="false" customWidth="false" hidden="false" outlineLevel="0" max="8023" min="8023" style="70" width="42.57"/>
    <col collapsed="false" customWidth="true" hidden="false" outlineLevel="0" max="8024" min="8024" style="70" width="3.29"/>
    <col collapsed="false" customWidth="true" hidden="false" outlineLevel="0" max="8025" min="8025" style="70" width="8"/>
    <col collapsed="false" customWidth="false" hidden="false" outlineLevel="0" max="8026" min="8026" style="70" width="42.57"/>
    <col collapsed="false" customWidth="true" hidden="false" outlineLevel="0" max="8027" min="8027" style="70" width="3.29"/>
    <col collapsed="false" customWidth="true" hidden="false" outlineLevel="0" max="8028" min="8028" style="70" width="8"/>
    <col collapsed="false" customWidth="false" hidden="false" outlineLevel="0" max="8029" min="8029" style="70" width="42.57"/>
    <col collapsed="false" customWidth="true" hidden="false" outlineLevel="0" max="8030" min="8030" style="70" width="3.29"/>
    <col collapsed="false" customWidth="true" hidden="false" outlineLevel="0" max="8031" min="8031" style="70" width="8"/>
    <col collapsed="false" customWidth="false" hidden="false" outlineLevel="0" max="8032" min="8032" style="70" width="42.57"/>
    <col collapsed="false" customWidth="true" hidden="false" outlineLevel="0" max="8033" min="8033" style="70" width="3.29"/>
    <col collapsed="false" customWidth="true" hidden="false" outlineLevel="0" max="8034" min="8034" style="70" width="8"/>
    <col collapsed="false" customWidth="false" hidden="false" outlineLevel="0" max="8035" min="8035" style="70" width="42.57"/>
    <col collapsed="false" customWidth="true" hidden="false" outlineLevel="0" max="8036" min="8036" style="70" width="3.29"/>
    <col collapsed="false" customWidth="true" hidden="false" outlineLevel="0" max="8037" min="8037" style="70" width="8"/>
    <col collapsed="false" customWidth="false" hidden="false" outlineLevel="0" max="8038" min="8038" style="70" width="42.57"/>
    <col collapsed="false" customWidth="true" hidden="false" outlineLevel="0" max="8039" min="8039" style="70" width="3.29"/>
    <col collapsed="false" customWidth="true" hidden="false" outlineLevel="0" max="8040" min="8040" style="70" width="8"/>
    <col collapsed="false" customWidth="false" hidden="false" outlineLevel="0" max="8041" min="8041" style="70" width="42.57"/>
    <col collapsed="false" customWidth="true" hidden="false" outlineLevel="0" max="8042" min="8042" style="70" width="3.29"/>
    <col collapsed="false" customWidth="true" hidden="false" outlineLevel="0" max="8043" min="8043" style="70" width="8"/>
    <col collapsed="false" customWidth="false" hidden="false" outlineLevel="0" max="8044" min="8044" style="70" width="42.57"/>
    <col collapsed="false" customWidth="true" hidden="false" outlineLevel="0" max="8045" min="8045" style="70" width="3.29"/>
    <col collapsed="false" customWidth="true" hidden="false" outlineLevel="0" max="8046" min="8046" style="70" width="8"/>
    <col collapsed="false" customWidth="false" hidden="false" outlineLevel="0" max="8047" min="8047" style="70" width="42.57"/>
    <col collapsed="false" customWidth="true" hidden="false" outlineLevel="0" max="8048" min="8048" style="70" width="3.29"/>
    <col collapsed="false" customWidth="true" hidden="false" outlineLevel="0" max="8049" min="8049" style="70" width="8"/>
    <col collapsed="false" customWidth="false" hidden="false" outlineLevel="0" max="8050" min="8050" style="70" width="42.57"/>
    <col collapsed="false" customWidth="true" hidden="false" outlineLevel="0" max="8051" min="8051" style="70" width="3.29"/>
    <col collapsed="false" customWidth="true" hidden="false" outlineLevel="0" max="8052" min="8052" style="70" width="8"/>
    <col collapsed="false" customWidth="false" hidden="false" outlineLevel="0" max="8053" min="8053" style="70" width="42.57"/>
    <col collapsed="false" customWidth="true" hidden="false" outlineLevel="0" max="8054" min="8054" style="70" width="3.29"/>
    <col collapsed="false" customWidth="true" hidden="false" outlineLevel="0" max="8055" min="8055" style="70" width="8"/>
    <col collapsed="false" customWidth="false" hidden="false" outlineLevel="0" max="8056" min="8056" style="70" width="42.57"/>
    <col collapsed="false" customWidth="true" hidden="false" outlineLevel="0" max="8057" min="8057" style="70" width="3.29"/>
    <col collapsed="false" customWidth="true" hidden="false" outlineLevel="0" max="8058" min="8058" style="70" width="8"/>
    <col collapsed="false" customWidth="false" hidden="false" outlineLevel="0" max="8059" min="8059" style="70" width="42.57"/>
    <col collapsed="false" customWidth="true" hidden="false" outlineLevel="0" max="8060" min="8060" style="70" width="3.29"/>
    <col collapsed="false" customWidth="true" hidden="false" outlineLevel="0" max="8061" min="8061" style="70" width="8"/>
    <col collapsed="false" customWidth="false" hidden="false" outlineLevel="0" max="8062" min="8062" style="70" width="42.57"/>
    <col collapsed="false" customWidth="true" hidden="false" outlineLevel="0" max="8063" min="8063" style="70" width="3.29"/>
    <col collapsed="false" customWidth="true" hidden="false" outlineLevel="0" max="8064" min="8064" style="70" width="8"/>
    <col collapsed="false" customWidth="false" hidden="false" outlineLevel="0" max="8065" min="8065" style="70" width="42.57"/>
    <col collapsed="false" customWidth="true" hidden="false" outlineLevel="0" max="8066" min="8066" style="70" width="3.29"/>
    <col collapsed="false" customWidth="true" hidden="false" outlineLevel="0" max="8067" min="8067" style="70" width="8"/>
    <col collapsed="false" customWidth="false" hidden="false" outlineLevel="0" max="8068" min="8068" style="70" width="42.57"/>
    <col collapsed="false" customWidth="true" hidden="false" outlineLevel="0" max="8069" min="8069" style="70" width="3.29"/>
    <col collapsed="false" customWidth="true" hidden="false" outlineLevel="0" max="8070" min="8070" style="70" width="8"/>
    <col collapsed="false" customWidth="false" hidden="false" outlineLevel="0" max="8071" min="8071" style="70" width="42.57"/>
    <col collapsed="false" customWidth="true" hidden="false" outlineLevel="0" max="8072" min="8072" style="70" width="3.29"/>
    <col collapsed="false" customWidth="true" hidden="false" outlineLevel="0" max="8073" min="8073" style="70" width="8"/>
    <col collapsed="false" customWidth="false" hidden="false" outlineLevel="0" max="8074" min="8074" style="70" width="42.57"/>
    <col collapsed="false" customWidth="true" hidden="false" outlineLevel="0" max="8075" min="8075" style="70" width="3.29"/>
    <col collapsed="false" customWidth="true" hidden="false" outlineLevel="0" max="8076" min="8076" style="70" width="8"/>
    <col collapsed="false" customWidth="false" hidden="false" outlineLevel="0" max="8077" min="8077" style="70" width="42.57"/>
    <col collapsed="false" customWidth="true" hidden="false" outlineLevel="0" max="8078" min="8078" style="70" width="3.29"/>
    <col collapsed="false" customWidth="true" hidden="false" outlineLevel="0" max="8079" min="8079" style="70" width="8"/>
    <col collapsed="false" customWidth="false" hidden="false" outlineLevel="0" max="8080" min="8080" style="70" width="42.57"/>
    <col collapsed="false" customWidth="true" hidden="false" outlineLevel="0" max="8081" min="8081" style="70" width="3.29"/>
    <col collapsed="false" customWidth="true" hidden="false" outlineLevel="0" max="8082" min="8082" style="70" width="8"/>
    <col collapsed="false" customWidth="false" hidden="false" outlineLevel="0" max="8083" min="8083" style="70" width="42.57"/>
    <col collapsed="false" customWidth="true" hidden="false" outlineLevel="0" max="8084" min="8084" style="70" width="3.29"/>
    <col collapsed="false" customWidth="true" hidden="false" outlineLevel="0" max="8085" min="8085" style="70" width="8"/>
    <col collapsed="false" customWidth="false" hidden="false" outlineLevel="0" max="8086" min="8086" style="70" width="42.57"/>
    <col collapsed="false" customWidth="true" hidden="false" outlineLevel="0" max="8087" min="8087" style="70" width="3.29"/>
    <col collapsed="false" customWidth="true" hidden="false" outlineLevel="0" max="8088" min="8088" style="70" width="8"/>
    <col collapsed="false" customWidth="false" hidden="false" outlineLevel="0" max="8089" min="8089" style="70" width="42.57"/>
    <col collapsed="false" customWidth="true" hidden="false" outlineLevel="0" max="8090" min="8090" style="70" width="3.29"/>
    <col collapsed="false" customWidth="true" hidden="false" outlineLevel="0" max="8091" min="8091" style="70" width="8"/>
    <col collapsed="false" customWidth="false" hidden="false" outlineLevel="0" max="8092" min="8092" style="70" width="42.57"/>
    <col collapsed="false" customWidth="true" hidden="false" outlineLevel="0" max="8093" min="8093" style="70" width="3.29"/>
    <col collapsed="false" customWidth="true" hidden="false" outlineLevel="0" max="8094" min="8094" style="70" width="8"/>
    <col collapsed="false" customWidth="false" hidden="false" outlineLevel="0" max="8095" min="8095" style="70" width="42.57"/>
    <col collapsed="false" customWidth="true" hidden="false" outlineLevel="0" max="8096" min="8096" style="70" width="3.29"/>
    <col collapsed="false" customWidth="true" hidden="false" outlineLevel="0" max="8097" min="8097" style="70" width="8"/>
    <col collapsed="false" customWidth="false" hidden="false" outlineLevel="0" max="8098" min="8098" style="70" width="42.57"/>
    <col collapsed="false" customWidth="true" hidden="false" outlineLevel="0" max="8099" min="8099" style="70" width="3.29"/>
    <col collapsed="false" customWidth="true" hidden="false" outlineLevel="0" max="8100" min="8100" style="70" width="8"/>
    <col collapsed="false" customWidth="false" hidden="false" outlineLevel="0" max="8101" min="8101" style="70" width="42.57"/>
    <col collapsed="false" customWidth="true" hidden="false" outlineLevel="0" max="8102" min="8102" style="70" width="3.29"/>
    <col collapsed="false" customWidth="true" hidden="false" outlineLevel="0" max="8103" min="8103" style="70" width="8"/>
    <col collapsed="false" customWidth="false" hidden="false" outlineLevel="0" max="8104" min="8104" style="70" width="42.57"/>
    <col collapsed="false" customWidth="true" hidden="false" outlineLevel="0" max="8105" min="8105" style="70" width="3.29"/>
    <col collapsed="false" customWidth="true" hidden="false" outlineLevel="0" max="8106" min="8106" style="70" width="8"/>
    <col collapsed="false" customWidth="false" hidden="false" outlineLevel="0" max="8107" min="8107" style="70" width="42.57"/>
    <col collapsed="false" customWidth="true" hidden="false" outlineLevel="0" max="8108" min="8108" style="70" width="3.29"/>
    <col collapsed="false" customWidth="true" hidden="false" outlineLevel="0" max="8109" min="8109" style="70" width="8"/>
    <col collapsed="false" customWidth="false" hidden="false" outlineLevel="0" max="8110" min="8110" style="70" width="42.57"/>
    <col collapsed="false" customWidth="true" hidden="false" outlineLevel="0" max="8111" min="8111" style="70" width="3.29"/>
    <col collapsed="false" customWidth="true" hidden="false" outlineLevel="0" max="8112" min="8112" style="70" width="8"/>
    <col collapsed="false" customWidth="false" hidden="false" outlineLevel="0" max="8113" min="8113" style="70" width="42.57"/>
    <col collapsed="false" customWidth="true" hidden="false" outlineLevel="0" max="8114" min="8114" style="70" width="3.29"/>
    <col collapsed="false" customWidth="true" hidden="false" outlineLevel="0" max="8115" min="8115" style="70" width="8"/>
    <col collapsed="false" customWidth="false" hidden="false" outlineLevel="0" max="8116" min="8116" style="70" width="42.57"/>
    <col collapsed="false" customWidth="true" hidden="false" outlineLevel="0" max="8117" min="8117" style="70" width="3.29"/>
    <col collapsed="false" customWidth="true" hidden="false" outlineLevel="0" max="8118" min="8118" style="70" width="8"/>
    <col collapsed="false" customWidth="false" hidden="false" outlineLevel="0" max="8119" min="8119" style="70" width="42.57"/>
    <col collapsed="false" customWidth="true" hidden="false" outlineLevel="0" max="8120" min="8120" style="70" width="3.29"/>
    <col collapsed="false" customWidth="true" hidden="false" outlineLevel="0" max="8121" min="8121" style="70" width="8"/>
    <col collapsed="false" customWidth="false" hidden="false" outlineLevel="0" max="8122" min="8122" style="70" width="42.57"/>
    <col collapsed="false" customWidth="true" hidden="false" outlineLevel="0" max="8123" min="8123" style="70" width="3.29"/>
    <col collapsed="false" customWidth="true" hidden="false" outlineLevel="0" max="8124" min="8124" style="70" width="8"/>
    <col collapsed="false" customWidth="false" hidden="false" outlineLevel="0" max="8125" min="8125" style="70" width="42.57"/>
    <col collapsed="false" customWidth="true" hidden="false" outlineLevel="0" max="8126" min="8126" style="70" width="3.29"/>
    <col collapsed="false" customWidth="true" hidden="false" outlineLevel="0" max="8127" min="8127" style="70" width="8"/>
    <col collapsed="false" customWidth="false" hidden="false" outlineLevel="0" max="8128" min="8128" style="70" width="42.57"/>
    <col collapsed="false" customWidth="true" hidden="false" outlineLevel="0" max="8129" min="8129" style="70" width="3.29"/>
    <col collapsed="false" customWidth="true" hidden="false" outlineLevel="0" max="8130" min="8130" style="70" width="8"/>
    <col collapsed="false" customWidth="false" hidden="false" outlineLevel="0" max="8131" min="8131" style="70" width="42.57"/>
    <col collapsed="false" customWidth="true" hidden="false" outlineLevel="0" max="8132" min="8132" style="70" width="3.29"/>
    <col collapsed="false" customWidth="true" hidden="false" outlineLevel="0" max="8133" min="8133" style="70" width="8"/>
    <col collapsed="false" customWidth="false" hidden="false" outlineLevel="0" max="8134" min="8134" style="70" width="42.57"/>
    <col collapsed="false" customWidth="true" hidden="false" outlineLevel="0" max="8135" min="8135" style="70" width="3.29"/>
    <col collapsed="false" customWidth="true" hidden="false" outlineLevel="0" max="8136" min="8136" style="70" width="8"/>
    <col collapsed="false" customWidth="false" hidden="false" outlineLevel="0" max="8137" min="8137" style="70" width="42.57"/>
    <col collapsed="false" customWidth="true" hidden="false" outlineLevel="0" max="8138" min="8138" style="70" width="3.29"/>
    <col collapsed="false" customWidth="true" hidden="false" outlineLevel="0" max="8139" min="8139" style="70" width="8"/>
    <col collapsed="false" customWidth="false" hidden="false" outlineLevel="0" max="8140" min="8140" style="70" width="42.57"/>
    <col collapsed="false" customWidth="true" hidden="false" outlineLevel="0" max="8141" min="8141" style="70" width="3.29"/>
    <col collapsed="false" customWidth="true" hidden="false" outlineLevel="0" max="8142" min="8142" style="70" width="8"/>
    <col collapsed="false" customWidth="false" hidden="false" outlineLevel="0" max="8143" min="8143" style="70" width="42.57"/>
    <col collapsed="false" customWidth="true" hidden="false" outlineLevel="0" max="8144" min="8144" style="70" width="3.29"/>
    <col collapsed="false" customWidth="true" hidden="false" outlineLevel="0" max="8145" min="8145" style="70" width="8"/>
    <col collapsed="false" customWidth="false" hidden="false" outlineLevel="0" max="8146" min="8146" style="70" width="42.57"/>
    <col collapsed="false" customWidth="true" hidden="false" outlineLevel="0" max="8147" min="8147" style="70" width="3.29"/>
    <col collapsed="false" customWidth="true" hidden="false" outlineLevel="0" max="8148" min="8148" style="70" width="8"/>
    <col collapsed="false" customWidth="false" hidden="false" outlineLevel="0" max="8149" min="8149" style="70" width="42.57"/>
    <col collapsed="false" customWidth="true" hidden="false" outlineLevel="0" max="8150" min="8150" style="70" width="3.29"/>
    <col collapsed="false" customWidth="true" hidden="false" outlineLevel="0" max="8151" min="8151" style="70" width="8"/>
    <col collapsed="false" customWidth="false" hidden="false" outlineLevel="0" max="8152" min="8152" style="70" width="42.57"/>
    <col collapsed="false" customWidth="true" hidden="false" outlineLevel="0" max="8153" min="8153" style="70" width="3.29"/>
    <col collapsed="false" customWidth="true" hidden="false" outlineLevel="0" max="8154" min="8154" style="70" width="8"/>
    <col collapsed="false" customWidth="false" hidden="false" outlineLevel="0" max="8155" min="8155" style="70" width="42.57"/>
    <col collapsed="false" customWidth="true" hidden="false" outlineLevel="0" max="8156" min="8156" style="70" width="3.29"/>
    <col collapsed="false" customWidth="true" hidden="false" outlineLevel="0" max="8157" min="8157" style="70" width="8"/>
    <col collapsed="false" customWidth="false" hidden="false" outlineLevel="0" max="8158" min="8158" style="70" width="42.57"/>
    <col collapsed="false" customWidth="true" hidden="false" outlineLevel="0" max="8159" min="8159" style="70" width="3.29"/>
    <col collapsed="false" customWidth="true" hidden="false" outlineLevel="0" max="8160" min="8160" style="70" width="8"/>
    <col collapsed="false" customWidth="false" hidden="false" outlineLevel="0" max="8161" min="8161" style="70" width="42.57"/>
    <col collapsed="false" customWidth="true" hidden="false" outlineLevel="0" max="8162" min="8162" style="70" width="3.29"/>
    <col collapsed="false" customWidth="true" hidden="false" outlineLevel="0" max="8163" min="8163" style="70" width="8"/>
    <col collapsed="false" customWidth="false" hidden="false" outlineLevel="0" max="8164" min="8164" style="70" width="42.57"/>
    <col collapsed="false" customWidth="true" hidden="false" outlineLevel="0" max="8165" min="8165" style="70" width="3.29"/>
    <col collapsed="false" customWidth="true" hidden="false" outlineLevel="0" max="8166" min="8166" style="70" width="8"/>
    <col collapsed="false" customWidth="false" hidden="false" outlineLevel="0" max="8167" min="8167" style="70" width="42.57"/>
    <col collapsed="false" customWidth="true" hidden="false" outlineLevel="0" max="8168" min="8168" style="70" width="3.29"/>
    <col collapsed="false" customWidth="true" hidden="false" outlineLevel="0" max="8169" min="8169" style="70" width="8"/>
    <col collapsed="false" customWidth="false" hidden="false" outlineLevel="0" max="8170" min="8170" style="70" width="42.57"/>
    <col collapsed="false" customWidth="true" hidden="false" outlineLevel="0" max="8171" min="8171" style="70" width="3.29"/>
    <col collapsed="false" customWidth="true" hidden="false" outlineLevel="0" max="8172" min="8172" style="70" width="8"/>
    <col collapsed="false" customWidth="false" hidden="false" outlineLevel="0" max="8173" min="8173" style="70" width="42.57"/>
    <col collapsed="false" customWidth="true" hidden="false" outlineLevel="0" max="8174" min="8174" style="70" width="3.29"/>
    <col collapsed="false" customWidth="true" hidden="false" outlineLevel="0" max="8175" min="8175" style="70" width="8"/>
    <col collapsed="false" customWidth="false" hidden="false" outlineLevel="0" max="8176" min="8176" style="70" width="42.57"/>
    <col collapsed="false" customWidth="true" hidden="false" outlineLevel="0" max="8177" min="8177" style="70" width="3.29"/>
    <col collapsed="false" customWidth="true" hidden="false" outlineLevel="0" max="8178" min="8178" style="70" width="8"/>
    <col collapsed="false" customWidth="false" hidden="false" outlineLevel="0" max="8179" min="8179" style="70" width="42.57"/>
    <col collapsed="false" customWidth="true" hidden="false" outlineLevel="0" max="8180" min="8180" style="70" width="3.29"/>
    <col collapsed="false" customWidth="true" hidden="false" outlineLevel="0" max="8181" min="8181" style="70" width="8"/>
    <col collapsed="false" customWidth="false" hidden="false" outlineLevel="0" max="8182" min="8182" style="70" width="42.57"/>
    <col collapsed="false" customWidth="true" hidden="false" outlineLevel="0" max="8183" min="8183" style="70" width="3.29"/>
    <col collapsed="false" customWidth="true" hidden="false" outlineLevel="0" max="8184" min="8184" style="70" width="8"/>
    <col collapsed="false" customWidth="false" hidden="false" outlineLevel="0" max="8185" min="8185" style="70" width="42.57"/>
    <col collapsed="false" customWidth="true" hidden="false" outlineLevel="0" max="8186" min="8186" style="70" width="3.29"/>
    <col collapsed="false" customWidth="true" hidden="false" outlineLevel="0" max="8187" min="8187" style="70" width="8"/>
    <col collapsed="false" customWidth="false" hidden="false" outlineLevel="0" max="8188" min="8188" style="70" width="42.57"/>
    <col collapsed="false" customWidth="true" hidden="false" outlineLevel="0" max="8189" min="8189" style="70" width="3.29"/>
    <col collapsed="false" customWidth="true" hidden="false" outlineLevel="0" max="8190" min="8190" style="70" width="8"/>
    <col collapsed="false" customWidth="false" hidden="false" outlineLevel="0" max="8191" min="8191" style="70" width="42.57"/>
    <col collapsed="false" customWidth="true" hidden="false" outlineLevel="0" max="8192" min="8192" style="70" width="3.29"/>
    <col collapsed="false" customWidth="true" hidden="false" outlineLevel="0" max="8193" min="8193" style="70" width="8"/>
    <col collapsed="false" customWidth="false" hidden="false" outlineLevel="0" max="8194" min="8194" style="70" width="42.57"/>
    <col collapsed="false" customWidth="true" hidden="false" outlineLevel="0" max="8195" min="8195" style="70" width="3.29"/>
    <col collapsed="false" customWidth="true" hidden="false" outlineLevel="0" max="8196" min="8196" style="70" width="8"/>
    <col collapsed="false" customWidth="false" hidden="false" outlineLevel="0" max="8197" min="8197" style="70" width="42.57"/>
    <col collapsed="false" customWidth="true" hidden="false" outlineLevel="0" max="8198" min="8198" style="70" width="3.29"/>
    <col collapsed="false" customWidth="true" hidden="false" outlineLevel="0" max="8199" min="8199" style="70" width="8"/>
    <col collapsed="false" customWidth="false" hidden="false" outlineLevel="0" max="8200" min="8200" style="70" width="42.57"/>
    <col collapsed="false" customWidth="true" hidden="false" outlineLevel="0" max="8201" min="8201" style="70" width="3.29"/>
    <col collapsed="false" customWidth="true" hidden="false" outlineLevel="0" max="8202" min="8202" style="70" width="8"/>
    <col collapsed="false" customWidth="false" hidden="false" outlineLevel="0" max="8203" min="8203" style="70" width="42.57"/>
    <col collapsed="false" customWidth="true" hidden="false" outlineLevel="0" max="8204" min="8204" style="70" width="3.29"/>
    <col collapsed="false" customWidth="true" hidden="false" outlineLevel="0" max="8205" min="8205" style="70" width="8"/>
    <col collapsed="false" customWidth="false" hidden="false" outlineLevel="0" max="8206" min="8206" style="70" width="42.57"/>
    <col collapsed="false" customWidth="true" hidden="false" outlineLevel="0" max="8207" min="8207" style="70" width="3.29"/>
    <col collapsed="false" customWidth="true" hidden="false" outlineLevel="0" max="8208" min="8208" style="70" width="8"/>
    <col collapsed="false" customWidth="false" hidden="false" outlineLevel="0" max="8209" min="8209" style="70" width="42.57"/>
    <col collapsed="false" customWidth="true" hidden="false" outlineLevel="0" max="8210" min="8210" style="70" width="3.29"/>
    <col collapsed="false" customWidth="true" hidden="false" outlineLevel="0" max="8211" min="8211" style="70" width="8"/>
    <col collapsed="false" customWidth="false" hidden="false" outlineLevel="0" max="8212" min="8212" style="70" width="42.57"/>
    <col collapsed="false" customWidth="true" hidden="false" outlineLevel="0" max="8213" min="8213" style="70" width="3.29"/>
    <col collapsed="false" customWidth="true" hidden="false" outlineLevel="0" max="8214" min="8214" style="70" width="8"/>
    <col collapsed="false" customWidth="false" hidden="false" outlineLevel="0" max="8215" min="8215" style="70" width="42.57"/>
    <col collapsed="false" customWidth="true" hidden="false" outlineLevel="0" max="8216" min="8216" style="70" width="3.29"/>
    <col collapsed="false" customWidth="true" hidden="false" outlineLevel="0" max="8217" min="8217" style="70" width="8"/>
    <col collapsed="false" customWidth="false" hidden="false" outlineLevel="0" max="8218" min="8218" style="70" width="42.57"/>
    <col collapsed="false" customWidth="true" hidden="false" outlineLevel="0" max="8219" min="8219" style="70" width="3.29"/>
    <col collapsed="false" customWidth="true" hidden="false" outlineLevel="0" max="8220" min="8220" style="70" width="8"/>
    <col collapsed="false" customWidth="false" hidden="false" outlineLevel="0" max="8221" min="8221" style="70" width="42.57"/>
    <col collapsed="false" customWidth="true" hidden="false" outlineLevel="0" max="8222" min="8222" style="70" width="3.29"/>
    <col collapsed="false" customWidth="true" hidden="false" outlineLevel="0" max="8223" min="8223" style="70" width="8"/>
    <col collapsed="false" customWidth="false" hidden="false" outlineLevel="0" max="8224" min="8224" style="70" width="42.57"/>
    <col collapsed="false" customWidth="true" hidden="false" outlineLevel="0" max="8225" min="8225" style="70" width="3.29"/>
    <col collapsed="false" customWidth="true" hidden="false" outlineLevel="0" max="8226" min="8226" style="70" width="8"/>
    <col collapsed="false" customWidth="false" hidden="false" outlineLevel="0" max="8227" min="8227" style="70" width="42.57"/>
    <col collapsed="false" customWidth="true" hidden="false" outlineLevel="0" max="8228" min="8228" style="70" width="3.29"/>
    <col collapsed="false" customWidth="true" hidden="false" outlineLevel="0" max="8229" min="8229" style="70" width="8"/>
    <col collapsed="false" customWidth="false" hidden="false" outlineLevel="0" max="8230" min="8230" style="70" width="42.57"/>
    <col collapsed="false" customWidth="true" hidden="false" outlineLevel="0" max="8231" min="8231" style="70" width="3.29"/>
    <col collapsed="false" customWidth="true" hidden="false" outlineLevel="0" max="8232" min="8232" style="70" width="8"/>
    <col collapsed="false" customWidth="false" hidden="false" outlineLevel="0" max="8233" min="8233" style="70" width="42.57"/>
    <col collapsed="false" customWidth="true" hidden="false" outlineLevel="0" max="8234" min="8234" style="70" width="3.29"/>
    <col collapsed="false" customWidth="true" hidden="false" outlineLevel="0" max="8235" min="8235" style="70" width="8"/>
    <col collapsed="false" customWidth="false" hidden="false" outlineLevel="0" max="8236" min="8236" style="70" width="42.57"/>
    <col collapsed="false" customWidth="true" hidden="false" outlineLevel="0" max="8237" min="8237" style="70" width="3.29"/>
    <col collapsed="false" customWidth="true" hidden="false" outlineLevel="0" max="8238" min="8238" style="70" width="8"/>
    <col collapsed="false" customWidth="false" hidden="false" outlineLevel="0" max="8239" min="8239" style="70" width="42.57"/>
    <col collapsed="false" customWidth="true" hidden="false" outlineLevel="0" max="8240" min="8240" style="70" width="3.29"/>
    <col collapsed="false" customWidth="true" hidden="false" outlineLevel="0" max="8241" min="8241" style="70" width="8"/>
    <col collapsed="false" customWidth="false" hidden="false" outlineLevel="0" max="8242" min="8242" style="70" width="42.57"/>
    <col collapsed="false" customWidth="true" hidden="false" outlineLevel="0" max="8243" min="8243" style="70" width="3.29"/>
    <col collapsed="false" customWidth="true" hidden="false" outlineLevel="0" max="8244" min="8244" style="70" width="8"/>
    <col collapsed="false" customWidth="false" hidden="false" outlineLevel="0" max="8245" min="8245" style="70" width="42.57"/>
    <col collapsed="false" customWidth="true" hidden="false" outlineLevel="0" max="8246" min="8246" style="70" width="3.29"/>
    <col collapsed="false" customWidth="true" hidden="false" outlineLevel="0" max="8247" min="8247" style="70" width="8"/>
    <col collapsed="false" customWidth="false" hidden="false" outlineLevel="0" max="8248" min="8248" style="70" width="42.57"/>
    <col collapsed="false" customWidth="true" hidden="false" outlineLevel="0" max="8249" min="8249" style="70" width="3.29"/>
    <col collapsed="false" customWidth="true" hidden="false" outlineLevel="0" max="8250" min="8250" style="70" width="8"/>
    <col collapsed="false" customWidth="false" hidden="false" outlineLevel="0" max="8251" min="8251" style="70" width="42.57"/>
    <col collapsed="false" customWidth="true" hidden="false" outlineLevel="0" max="8252" min="8252" style="70" width="3.29"/>
    <col collapsed="false" customWidth="true" hidden="false" outlineLevel="0" max="8253" min="8253" style="70" width="8"/>
    <col collapsed="false" customWidth="false" hidden="false" outlineLevel="0" max="8254" min="8254" style="70" width="42.57"/>
    <col collapsed="false" customWidth="true" hidden="false" outlineLevel="0" max="8255" min="8255" style="70" width="3.29"/>
    <col collapsed="false" customWidth="true" hidden="false" outlineLevel="0" max="8256" min="8256" style="70" width="8"/>
    <col collapsed="false" customWidth="false" hidden="false" outlineLevel="0" max="8257" min="8257" style="70" width="42.57"/>
    <col collapsed="false" customWidth="true" hidden="false" outlineLevel="0" max="8258" min="8258" style="70" width="3.29"/>
    <col collapsed="false" customWidth="true" hidden="false" outlineLevel="0" max="8259" min="8259" style="70" width="8"/>
    <col collapsed="false" customWidth="false" hidden="false" outlineLevel="0" max="8260" min="8260" style="70" width="42.57"/>
    <col collapsed="false" customWidth="true" hidden="false" outlineLevel="0" max="8261" min="8261" style="70" width="3.29"/>
    <col collapsed="false" customWidth="true" hidden="false" outlineLevel="0" max="8262" min="8262" style="70" width="8"/>
    <col collapsed="false" customWidth="false" hidden="false" outlineLevel="0" max="8263" min="8263" style="70" width="42.57"/>
    <col collapsed="false" customWidth="true" hidden="false" outlineLevel="0" max="8264" min="8264" style="70" width="3.29"/>
    <col collapsed="false" customWidth="true" hidden="false" outlineLevel="0" max="8265" min="8265" style="70" width="8"/>
    <col collapsed="false" customWidth="false" hidden="false" outlineLevel="0" max="8266" min="8266" style="70" width="42.57"/>
    <col collapsed="false" customWidth="true" hidden="false" outlineLevel="0" max="8267" min="8267" style="70" width="3.29"/>
    <col collapsed="false" customWidth="true" hidden="false" outlineLevel="0" max="8268" min="8268" style="70" width="8"/>
    <col collapsed="false" customWidth="false" hidden="false" outlineLevel="0" max="8269" min="8269" style="70" width="42.57"/>
    <col collapsed="false" customWidth="true" hidden="false" outlineLevel="0" max="8270" min="8270" style="70" width="3.29"/>
    <col collapsed="false" customWidth="true" hidden="false" outlineLevel="0" max="8271" min="8271" style="70" width="8"/>
    <col collapsed="false" customWidth="false" hidden="false" outlineLevel="0" max="8272" min="8272" style="70" width="42.57"/>
    <col collapsed="false" customWidth="true" hidden="false" outlineLevel="0" max="8273" min="8273" style="70" width="3.29"/>
    <col collapsed="false" customWidth="true" hidden="false" outlineLevel="0" max="8274" min="8274" style="70" width="8"/>
    <col collapsed="false" customWidth="false" hidden="false" outlineLevel="0" max="8275" min="8275" style="70" width="42.57"/>
    <col collapsed="false" customWidth="true" hidden="false" outlineLevel="0" max="8276" min="8276" style="70" width="3.29"/>
    <col collapsed="false" customWidth="true" hidden="false" outlineLevel="0" max="8277" min="8277" style="70" width="8"/>
    <col collapsed="false" customWidth="false" hidden="false" outlineLevel="0" max="8278" min="8278" style="70" width="42.57"/>
    <col collapsed="false" customWidth="true" hidden="false" outlineLevel="0" max="8279" min="8279" style="70" width="3.29"/>
    <col collapsed="false" customWidth="true" hidden="false" outlineLevel="0" max="8280" min="8280" style="70" width="8"/>
    <col collapsed="false" customWidth="false" hidden="false" outlineLevel="0" max="8281" min="8281" style="70" width="42.57"/>
    <col collapsed="false" customWidth="true" hidden="false" outlineLevel="0" max="8282" min="8282" style="70" width="3.29"/>
    <col collapsed="false" customWidth="true" hidden="false" outlineLevel="0" max="8283" min="8283" style="70" width="8"/>
    <col collapsed="false" customWidth="false" hidden="false" outlineLevel="0" max="8284" min="8284" style="70" width="42.57"/>
    <col collapsed="false" customWidth="true" hidden="false" outlineLevel="0" max="8285" min="8285" style="70" width="3.29"/>
    <col collapsed="false" customWidth="true" hidden="false" outlineLevel="0" max="8286" min="8286" style="70" width="8"/>
    <col collapsed="false" customWidth="false" hidden="false" outlineLevel="0" max="8287" min="8287" style="70" width="42.57"/>
    <col collapsed="false" customWidth="true" hidden="false" outlineLevel="0" max="8288" min="8288" style="70" width="3.29"/>
    <col collapsed="false" customWidth="true" hidden="false" outlineLevel="0" max="8289" min="8289" style="70" width="8"/>
    <col collapsed="false" customWidth="false" hidden="false" outlineLevel="0" max="8290" min="8290" style="70" width="42.57"/>
    <col collapsed="false" customWidth="true" hidden="false" outlineLevel="0" max="8291" min="8291" style="70" width="3.29"/>
    <col collapsed="false" customWidth="true" hidden="false" outlineLevel="0" max="8292" min="8292" style="70" width="8"/>
    <col collapsed="false" customWidth="false" hidden="false" outlineLevel="0" max="8293" min="8293" style="70" width="42.57"/>
    <col collapsed="false" customWidth="true" hidden="false" outlineLevel="0" max="8294" min="8294" style="70" width="3.29"/>
    <col collapsed="false" customWidth="true" hidden="false" outlineLevel="0" max="8295" min="8295" style="70" width="8"/>
    <col collapsed="false" customWidth="false" hidden="false" outlineLevel="0" max="8296" min="8296" style="70" width="42.57"/>
    <col collapsed="false" customWidth="true" hidden="false" outlineLevel="0" max="8297" min="8297" style="70" width="3.29"/>
    <col collapsed="false" customWidth="true" hidden="false" outlineLevel="0" max="8298" min="8298" style="70" width="8"/>
    <col collapsed="false" customWidth="false" hidden="false" outlineLevel="0" max="8299" min="8299" style="70" width="42.57"/>
    <col collapsed="false" customWidth="true" hidden="false" outlineLevel="0" max="8300" min="8300" style="70" width="3.29"/>
    <col collapsed="false" customWidth="true" hidden="false" outlineLevel="0" max="8301" min="8301" style="70" width="8"/>
    <col collapsed="false" customWidth="false" hidden="false" outlineLevel="0" max="8302" min="8302" style="70" width="42.57"/>
    <col collapsed="false" customWidth="true" hidden="false" outlineLevel="0" max="8303" min="8303" style="70" width="3.29"/>
    <col collapsed="false" customWidth="true" hidden="false" outlineLevel="0" max="8304" min="8304" style="70" width="8"/>
    <col collapsed="false" customWidth="false" hidden="false" outlineLevel="0" max="8305" min="8305" style="70" width="42.57"/>
    <col collapsed="false" customWidth="true" hidden="false" outlineLevel="0" max="8306" min="8306" style="70" width="3.29"/>
    <col collapsed="false" customWidth="true" hidden="false" outlineLevel="0" max="8307" min="8307" style="70" width="8"/>
    <col collapsed="false" customWidth="false" hidden="false" outlineLevel="0" max="8308" min="8308" style="70" width="42.57"/>
    <col collapsed="false" customWidth="true" hidden="false" outlineLevel="0" max="8309" min="8309" style="70" width="3.29"/>
    <col collapsed="false" customWidth="true" hidden="false" outlineLevel="0" max="8310" min="8310" style="70" width="8"/>
    <col collapsed="false" customWidth="false" hidden="false" outlineLevel="0" max="8311" min="8311" style="70" width="42.57"/>
    <col collapsed="false" customWidth="true" hidden="false" outlineLevel="0" max="8312" min="8312" style="70" width="3.29"/>
    <col collapsed="false" customWidth="true" hidden="false" outlineLevel="0" max="8313" min="8313" style="70" width="8"/>
    <col collapsed="false" customWidth="false" hidden="false" outlineLevel="0" max="8314" min="8314" style="70" width="42.57"/>
    <col collapsed="false" customWidth="true" hidden="false" outlineLevel="0" max="8315" min="8315" style="70" width="3.29"/>
    <col collapsed="false" customWidth="true" hidden="false" outlineLevel="0" max="8316" min="8316" style="70" width="8"/>
    <col collapsed="false" customWidth="false" hidden="false" outlineLevel="0" max="8317" min="8317" style="70" width="42.57"/>
    <col collapsed="false" customWidth="true" hidden="false" outlineLevel="0" max="8318" min="8318" style="70" width="3.29"/>
    <col collapsed="false" customWidth="true" hidden="false" outlineLevel="0" max="8319" min="8319" style="70" width="8"/>
    <col collapsed="false" customWidth="false" hidden="false" outlineLevel="0" max="8320" min="8320" style="70" width="42.57"/>
    <col collapsed="false" customWidth="true" hidden="false" outlineLevel="0" max="8321" min="8321" style="70" width="3.29"/>
    <col collapsed="false" customWidth="true" hidden="false" outlineLevel="0" max="8322" min="8322" style="70" width="8"/>
    <col collapsed="false" customWidth="false" hidden="false" outlineLevel="0" max="8323" min="8323" style="70" width="42.57"/>
    <col collapsed="false" customWidth="true" hidden="false" outlineLevel="0" max="8324" min="8324" style="70" width="3.29"/>
    <col collapsed="false" customWidth="true" hidden="false" outlineLevel="0" max="8325" min="8325" style="70" width="8"/>
    <col collapsed="false" customWidth="false" hidden="false" outlineLevel="0" max="8326" min="8326" style="70" width="42.57"/>
    <col collapsed="false" customWidth="true" hidden="false" outlineLevel="0" max="8327" min="8327" style="70" width="3.29"/>
    <col collapsed="false" customWidth="true" hidden="false" outlineLevel="0" max="8328" min="8328" style="70" width="8"/>
    <col collapsed="false" customWidth="false" hidden="false" outlineLevel="0" max="8329" min="8329" style="70" width="42.57"/>
    <col collapsed="false" customWidth="true" hidden="false" outlineLevel="0" max="8330" min="8330" style="70" width="3.29"/>
    <col collapsed="false" customWidth="true" hidden="false" outlineLevel="0" max="8331" min="8331" style="70" width="8"/>
    <col collapsed="false" customWidth="false" hidden="false" outlineLevel="0" max="8332" min="8332" style="70" width="42.57"/>
    <col collapsed="false" customWidth="true" hidden="false" outlineLevel="0" max="8333" min="8333" style="70" width="3.29"/>
    <col collapsed="false" customWidth="true" hidden="false" outlineLevel="0" max="8334" min="8334" style="70" width="8"/>
    <col collapsed="false" customWidth="false" hidden="false" outlineLevel="0" max="8335" min="8335" style="70" width="42.57"/>
    <col collapsed="false" customWidth="true" hidden="false" outlineLevel="0" max="8336" min="8336" style="70" width="3.29"/>
    <col collapsed="false" customWidth="true" hidden="false" outlineLevel="0" max="8337" min="8337" style="70" width="8"/>
    <col collapsed="false" customWidth="false" hidden="false" outlineLevel="0" max="8338" min="8338" style="70" width="42.57"/>
    <col collapsed="false" customWidth="true" hidden="false" outlineLevel="0" max="8339" min="8339" style="70" width="3.29"/>
    <col collapsed="false" customWidth="true" hidden="false" outlineLevel="0" max="8340" min="8340" style="70" width="8"/>
    <col collapsed="false" customWidth="false" hidden="false" outlineLevel="0" max="8341" min="8341" style="70" width="42.57"/>
    <col collapsed="false" customWidth="true" hidden="false" outlineLevel="0" max="8342" min="8342" style="70" width="3.29"/>
    <col collapsed="false" customWidth="true" hidden="false" outlineLevel="0" max="8343" min="8343" style="70" width="8"/>
    <col collapsed="false" customWidth="false" hidden="false" outlineLevel="0" max="8344" min="8344" style="70" width="42.57"/>
    <col collapsed="false" customWidth="true" hidden="false" outlineLevel="0" max="8345" min="8345" style="70" width="3.29"/>
    <col collapsed="false" customWidth="true" hidden="false" outlineLevel="0" max="8346" min="8346" style="70" width="8"/>
    <col collapsed="false" customWidth="false" hidden="false" outlineLevel="0" max="8347" min="8347" style="70" width="42.57"/>
    <col collapsed="false" customWidth="true" hidden="false" outlineLevel="0" max="8348" min="8348" style="70" width="3.29"/>
    <col collapsed="false" customWidth="true" hidden="false" outlineLevel="0" max="8349" min="8349" style="70" width="8"/>
    <col collapsed="false" customWidth="false" hidden="false" outlineLevel="0" max="8350" min="8350" style="70" width="42.57"/>
    <col collapsed="false" customWidth="true" hidden="false" outlineLevel="0" max="8351" min="8351" style="70" width="3.29"/>
    <col collapsed="false" customWidth="true" hidden="false" outlineLevel="0" max="8352" min="8352" style="70" width="8"/>
    <col collapsed="false" customWidth="false" hidden="false" outlineLevel="0" max="8353" min="8353" style="70" width="42.57"/>
    <col collapsed="false" customWidth="true" hidden="false" outlineLevel="0" max="8354" min="8354" style="70" width="3.29"/>
    <col collapsed="false" customWidth="true" hidden="false" outlineLevel="0" max="8355" min="8355" style="70" width="8"/>
    <col collapsed="false" customWidth="false" hidden="false" outlineLevel="0" max="8356" min="8356" style="70" width="42.57"/>
    <col collapsed="false" customWidth="true" hidden="false" outlineLevel="0" max="8357" min="8357" style="70" width="3.29"/>
    <col collapsed="false" customWidth="true" hidden="false" outlineLevel="0" max="8358" min="8358" style="70" width="8"/>
    <col collapsed="false" customWidth="false" hidden="false" outlineLevel="0" max="8359" min="8359" style="70" width="42.57"/>
    <col collapsed="false" customWidth="true" hidden="false" outlineLevel="0" max="8360" min="8360" style="70" width="3.29"/>
    <col collapsed="false" customWidth="true" hidden="false" outlineLevel="0" max="8361" min="8361" style="70" width="8"/>
    <col collapsed="false" customWidth="false" hidden="false" outlineLevel="0" max="8362" min="8362" style="70" width="42.57"/>
    <col collapsed="false" customWidth="true" hidden="false" outlineLevel="0" max="8363" min="8363" style="70" width="3.29"/>
    <col collapsed="false" customWidth="true" hidden="false" outlineLevel="0" max="8364" min="8364" style="70" width="8"/>
    <col collapsed="false" customWidth="false" hidden="false" outlineLevel="0" max="8365" min="8365" style="70" width="42.57"/>
    <col collapsed="false" customWidth="true" hidden="false" outlineLevel="0" max="8366" min="8366" style="70" width="3.29"/>
    <col collapsed="false" customWidth="true" hidden="false" outlineLevel="0" max="8367" min="8367" style="70" width="8"/>
    <col collapsed="false" customWidth="false" hidden="false" outlineLevel="0" max="8368" min="8368" style="70" width="42.57"/>
    <col collapsed="false" customWidth="true" hidden="false" outlineLevel="0" max="8369" min="8369" style="70" width="3.29"/>
    <col collapsed="false" customWidth="true" hidden="false" outlineLevel="0" max="8370" min="8370" style="70" width="8"/>
    <col collapsed="false" customWidth="false" hidden="false" outlineLevel="0" max="8371" min="8371" style="70" width="42.57"/>
    <col collapsed="false" customWidth="true" hidden="false" outlineLevel="0" max="8372" min="8372" style="70" width="3.29"/>
    <col collapsed="false" customWidth="true" hidden="false" outlineLevel="0" max="8373" min="8373" style="70" width="8"/>
    <col collapsed="false" customWidth="false" hidden="false" outlineLevel="0" max="8374" min="8374" style="70" width="42.57"/>
    <col collapsed="false" customWidth="true" hidden="false" outlineLevel="0" max="8375" min="8375" style="70" width="3.29"/>
    <col collapsed="false" customWidth="true" hidden="false" outlineLevel="0" max="8376" min="8376" style="70" width="8"/>
    <col collapsed="false" customWidth="false" hidden="false" outlineLevel="0" max="8377" min="8377" style="70" width="42.57"/>
    <col collapsed="false" customWidth="true" hidden="false" outlineLevel="0" max="8378" min="8378" style="70" width="3.29"/>
    <col collapsed="false" customWidth="true" hidden="false" outlineLevel="0" max="8379" min="8379" style="70" width="8"/>
    <col collapsed="false" customWidth="false" hidden="false" outlineLevel="0" max="8380" min="8380" style="70" width="42.57"/>
    <col collapsed="false" customWidth="true" hidden="false" outlineLevel="0" max="8381" min="8381" style="70" width="3.29"/>
    <col collapsed="false" customWidth="true" hidden="false" outlineLevel="0" max="8382" min="8382" style="70" width="8"/>
    <col collapsed="false" customWidth="false" hidden="false" outlineLevel="0" max="8383" min="8383" style="70" width="42.57"/>
    <col collapsed="false" customWidth="true" hidden="false" outlineLevel="0" max="8384" min="8384" style="70" width="3.29"/>
    <col collapsed="false" customWidth="true" hidden="false" outlineLevel="0" max="8385" min="8385" style="70" width="8"/>
    <col collapsed="false" customWidth="false" hidden="false" outlineLevel="0" max="8386" min="8386" style="70" width="42.57"/>
    <col collapsed="false" customWidth="true" hidden="false" outlineLevel="0" max="8387" min="8387" style="70" width="3.29"/>
    <col collapsed="false" customWidth="true" hidden="false" outlineLevel="0" max="8388" min="8388" style="70" width="8"/>
    <col collapsed="false" customWidth="false" hidden="false" outlineLevel="0" max="8389" min="8389" style="70" width="42.57"/>
    <col collapsed="false" customWidth="true" hidden="false" outlineLevel="0" max="8390" min="8390" style="70" width="3.29"/>
    <col collapsed="false" customWidth="true" hidden="false" outlineLevel="0" max="8391" min="8391" style="70" width="8"/>
    <col collapsed="false" customWidth="false" hidden="false" outlineLevel="0" max="8392" min="8392" style="70" width="42.57"/>
    <col collapsed="false" customWidth="true" hidden="false" outlineLevel="0" max="8393" min="8393" style="70" width="3.29"/>
    <col collapsed="false" customWidth="true" hidden="false" outlineLevel="0" max="8394" min="8394" style="70" width="8"/>
    <col collapsed="false" customWidth="false" hidden="false" outlineLevel="0" max="8395" min="8395" style="70" width="42.57"/>
    <col collapsed="false" customWidth="true" hidden="false" outlineLevel="0" max="8396" min="8396" style="70" width="3.29"/>
    <col collapsed="false" customWidth="true" hidden="false" outlineLevel="0" max="8397" min="8397" style="70" width="8"/>
    <col collapsed="false" customWidth="false" hidden="false" outlineLevel="0" max="8398" min="8398" style="70" width="42.57"/>
    <col collapsed="false" customWidth="true" hidden="false" outlineLevel="0" max="8399" min="8399" style="70" width="3.29"/>
    <col collapsed="false" customWidth="true" hidden="false" outlineLevel="0" max="8400" min="8400" style="70" width="8"/>
    <col collapsed="false" customWidth="false" hidden="false" outlineLevel="0" max="8401" min="8401" style="70" width="42.57"/>
    <col collapsed="false" customWidth="true" hidden="false" outlineLevel="0" max="8402" min="8402" style="70" width="3.29"/>
    <col collapsed="false" customWidth="true" hidden="false" outlineLevel="0" max="8403" min="8403" style="70" width="8"/>
    <col collapsed="false" customWidth="false" hidden="false" outlineLevel="0" max="8404" min="8404" style="70" width="42.57"/>
    <col collapsed="false" customWidth="true" hidden="false" outlineLevel="0" max="8405" min="8405" style="70" width="3.29"/>
    <col collapsed="false" customWidth="true" hidden="false" outlineLevel="0" max="8406" min="8406" style="70" width="8"/>
    <col collapsed="false" customWidth="false" hidden="false" outlineLevel="0" max="8407" min="8407" style="70" width="42.57"/>
    <col collapsed="false" customWidth="true" hidden="false" outlineLevel="0" max="8408" min="8408" style="70" width="3.29"/>
    <col collapsed="false" customWidth="true" hidden="false" outlineLevel="0" max="8409" min="8409" style="70" width="8"/>
    <col collapsed="false" customWidth="false" hidden="false" outlineLevel="0" max="8410" min="8410" style="70" width="42.57"/>
    <col collapsed="false" customWidth="true" hidden="false" outlineLevel="0" max="8411" min="8411" style="70" width="3.29"/>
    <col collapsed="false" customWidth="true" hidden="false" outlineLevel="0" max="8412" min="8412" style="70" width="8"/>
    <col collapsed="false" customWidth="false" hidden="false" outlineLevel="0" max="8413" min="8413" style="70" width="42.57"/>
    <col collapsed="false" customWidth="true" hidden="false" outlineLevel="0" max="8414" min="8414" style="70" width="3.29"/>
    <col collapsed="false" customWidth="true" hidden="false" outlineLevel="0" max="8415" min="8415" style="70" width="8"/>
    <col collapsed="false" customWidth="false" hidden="false" outlineLevel="0" max="8416" min="8416" style="70" width="42.57"/>
    <col collapsed="false" customWidth="true" hidden="false" outlineLevel="0" max="8417" min="8417" style="70" width="3.29"/>
    <col collapsed="false" customWidth="true" hidden="false" outlineLevel="0" max="8418" min="8418" style="70" width="8"/>
    <col collapsed="false" customWidth="false" hidden="false" outlineLevel="0" max="8419" min="8419" style="70" width="42.57"/>
    <col collapsed="false" customWidth="true" hidden="false" outlineLevel="0" max="8420" min="8420" style="70" width="3.29"/>
    <col collapsed="false" customWidth="true" hidden="false" outlineLevel="0" max="8421" min="8421" style="70" width="8"/>
    <col collapsed="false" customWidth="false" hidden="false" outlineLevel="0" max="8422" min="8422" style="70" width="42.57"/>
    <col collapsed="false" customWidth="true" hidden="false" outlineLevel="0" max="8423" min="8423" style="70" width="3.29"/>
    <col collapsed="false" customWidth="true" hidden="false" outlineLevel="0" max="8424" min="8424" style="70" width="8"/>
    <col collapsed="false" customWidth="false" hidden="false" outlineLevel="0" max="8425" min="8425" style="70" width="42.57"/>
    <col collapsed="false" customWidth="true" hidden="false" outlineLevel="0" max="8426" min="8426" style="70" width="3.29"/>
    <col collapsed="false" customWidth="true" hidden="false" outlineLevel="0" max="8427" min="8427" style="70" width="8"/>
    <col collapsed="false" customWidth="false" hidden="false" outlineLevel="0" max="8428" min="8428" style="70" width="42.57"/>
    <col collapsed="false" customWidth="true" hidden="false" outlineLevel="0" max="8429" min="8429" style="70" width="3.29"/>
    <col collapsed="false" customWidth="true" hidden="false" outlineLevel="0" max="8430" min="8430" style="70" width="8"/>
    <col collapsed="false" customWidth="false" hidden="false" outlineLevel="0" max="8431" min="8431" style="70" width="42.57"/>
    <col collapsed="false" customWidth="true" hidden="false" outlineLevel="0" max="8432" min="8432" style="70" width="3.29"/>
    <col collapsed="false" customWidth="true" hidden="false" outlineLevel="0" max="8433" min="8433" style="70" width="8"/>
    <col collapsed="false" customWidth="false" hidden="false" outlineLevel="0" max="8434" min="8434" style="70" width="42.57"/>
    <col collapsed="false" customWidth="true" hidden="false" outlineLevel="0" max="8435" min="8435" style="70" width="3.29"/>
    <col collapsed="false" customWidth="true" hidden="false" outlineLevel="0" max="8436" min="8436" style="70" width="8"/>
    <col collapsed="false" customWidth="false" hidden="false" outlineLevel="0" max="8437" min="8437" style="70" width="42.57"/>
    <col collapsed="false" customWidth="true" hidden="false" outlineLevel="0" max="8438" min="8438" style="70" width="3.29"/>
    <col collapsed="false" customWidth="true" hidden="false" outlineLevel="0" max="8439" min="8439" style="70" width="8"/>
    <col collapsed="false" customWidth="false" hidden="false" outlineLevel="0" max="8440" min="8440" style="70" width="42.57"/>
    <col collapsed="false" customWidth="true" hidden="false" outlineLevel="0" max="8441" min="8441" style="70" width="3.29"/>
    <col collapsed="false" customWidth="true" hidden="false" outlineLevel="0" max="8442" min="8442" style="70" width="8"/>
    <col collapsed="false" customWidth="false" hidden="false" outlineLevel="0" max="8443" min="8443" style="70" width="42.57"/>
    <col collapsed="false" customWidth="true" hidden="false" outlineLevel="0" max="8444" min="8444" style="70" width="3.29"/>
    <col collapsed="false" customWidth="true" hidden="false" outlineLevel="0" max="8445" min="8445" style="70" width="8"/>
    <col collapsed="false" customWidth="false" hidden="false" outlineLevel="0" max="8446" min="8446" style="70" width="42.57"/>
    <col collapsed="false" customWidth="true" hidden="false" outlineLevel="0" max="8447" min="8447" style="70" width="3.29"/>
    <col collapsed="false" customWidth="true" hidden="false" outlineLevel="0" max="8448" min="8448" style="70" width="8"/>
    <col collapsed="false" customWidth="false" hidden="false" outlineLevel="0" max="8449" min="8449" style="70" width="42.57"/>
    <col collapsed="false" customWidth="true" hidden="false" outlineLevel="0" max="8450" min="8450" style="70" width="3.29"/>
    <col collapsed="false" customWidth="true" hidden="false" outlineLevel="0" max="8451" min="8451" style="70" width="8"/>
    <col collapsed="false" customWidth="false" hidden="false" outlineLevel="0" max="8452" min="8452" style="70" width="42.57"/>
    <col collapsed="false" customWidth="true" hidden="false" outlineLevel="0" max="8453" min="8453" style="70" width="3.29"/>
    <col collapsed="false" customWidth="true" hidden="false" outlineLevel="0" max="8454" min="8454" style="70" width="8"/>
    <col collapsed="false" customWidth="false" hidden="false" outlineLevel="0" max="8455" min="8455" style="70" width="42.57"/>
    <col collapsed="false" customWidth="true" hidden="false" outlineLevel="0" max="8456" min="8456" style="70" width="3.29"/>
    <col collapsed="false" customWidth="true" hidden="false" outlineLevel="0" max="8457" min="8457" style="70" width="8"/>
    <col collapsed="false" customWidth="false" hidden="false" outlineLevel="0" max="8458" min="8458" style="70" width="42.57"/>
    <col collapsed="false" customWidth="true" hidden="false" outlineLevel="0" max="8459" min="8459" style="70" width="3.29"/>
    <col collapsed="false" customWidth="true" hidden="false" outlineLevel="0" max="8460" min="8460" style="70" width="8"/>
    <col collapsed="false" customWidth="false" hidden="false" outlineLevel="0" max="8461" min="8461" style="70" width="42.57"/>
    <col collapsed="false" customWidth="true" hidden="false" outlineLevel="0" max="8462" min="8462" style="70" width="3.29"/>
    <col collapsed="false" customWidth="true" hidden="false" outlineLevel="0" max="8463" min="8463" style="70" width="8"/>
    <col collapsed="false" customWidth="false" hidden="false" outlineLevel="0" max="8464" min="8464" style="70" width="42.57"/>
    <col collapsed="false" customWidth="true" hidden="false" outlineLevel="0" max="8465" min="8465" style="70" width="3.29"/>
    <col collapsed="false" customWidth="true" hidden="false" outlineLevel="0" max="8466" min="8466" style="70" width="8"/>
    <col collapsed="false" customWidth="false" hidden="false" outlineLevel="0" max="8467" min="8467" style="70" width="42.57"/>
    <col collapsed="false" customWidth="true" hidden="false" outlineLevel="0" max="8468" min="8468" style="70" width="3.29"/>
    <col collapsed="false" customWidth="true" hidden="false" outlineLevel="0" max="8469" min="8469" style="70" width="8"/>
    <col collapsed="false" customWidth="false" hidden="false" outlineLevel="0" max="8470" min="8470" style="70" width="42.57"/>
    <col collapsed="false" customWidth="true" hidden="false" outlineLevel="0" max="8471" min="8471" style="70" width="3.29"/>
    <col collapsed="false" customWidth="true" hidden="false" outlineLevel="0" max="8472" min="8472" style="70" width="8"/>
    <col collapsed="false" customWidth="false" hidden="false" outlineLevel="0" max="8473" min="8473" style="70" width="42.57"/>
    <col collapsed="false" customWidth="true" hidden="false" outlineLevel="0" max="8474" min="8474" style="70" width="3.29"/>
    <col collapsed="false" customWidth="true" hidden="false" outlineLevel="0" max="8475" min="8475" style="70" width="8"/>
    <col collapsed="false" customWidth="false" hidden="false" outlineLevel="0" max="8476" min="8476" style="70" width="42.57"/>
    <col collapsed="false" customWidth="true" hidden="false" outlineLevel="0" max="8477" min="8477" style="70" width="3.29"/>
    <col collapsed="false" customWidth="true" hidden="false" outlineLevel="0" max="8478" min="8478" style="70" width="8"/>
    <col collapsed="false" customWidth="false" hidden="false" outlineLevel="0" max="8479" min="8479" style="70" width="42.57"/>
    <col collapsed="false" customWidth="true" hidden="false" outlineLevel="0" max="8480" min="8480" style="70" width="3.29"/>
    <col collapsed="false" customWidth="true" hidden="false" outlineLevel="0" max="8481" min="8481" style="70" width="8"/>
    <col collapsed="false" customWidth="false" hidden="false" outlineLevel="0" max="8482" min="8482" style="70" width="42.57"/>
    <col collapsed="false" customWidth="true" hidden="false" outlineLevel="0" max="8483" min="8483" style="70" width="3.29"/>
    <col collapsed="false" customWidth="true" hidden="false" outlineLevel="0" max="8484" min="8484" style="70" width="8"/>
    <col collapsed="false" customWidth="false" hidden="false" outlineLevel="0" max="8485" min="8485" style="70" width="42.57"/>
    <col collapsed="false" customWidth="true" hidden="false" outlineLevel="0" max="8486" min="8486" style="70" width="3.29"/>
    <col collapsed="false" customWidth="true" hidden="false" outlineLevel="0" max="8487" min="8487" style="70" width="8"/>
    <col collapsed="false" customWidth="false" hidden="false" outlineLevel="0" max="8488" min="8488" style="70" width="42.57"/>
    <col collapsed="false" customWidth="true" hidden="false" outlineLevel="0" max="8489" min="8489" style="70" width="3.29"/>
    <col collapsed="false" customWidth="true" hidden="false" outlineLevel="0" max="8490" min="8490" style="70" width="8"/>
    <col collapsed="false" customWidth="false" hidden="false" outlineLevel="0" max="8491" min="8491" style="70" width="42.57"/>
    <col collapsed="false" customWidth="true" hidden="false" outlineLevel="0" max="8492" min="8492" style="70" width="3.29"/>
    <col collapsed="false" customWidth="true" hidden="false" outlineLevel="0" max="8493" min="8493" style="70" width="8"/>
    <col collapsed="false" customWidth="false" hidden="false" outlineLevel="0" max="8494" min="8494" style="70" width="42.57"/>
    <col collapsed="false" customWidth="true" hidden="false" outlineLevel="0" max="8495" min="8495" style="70" width="3.29"/>
    <col collapsed="false" customWidth="true" hidden="false" outlineLevel="0" max="8496" min="8496" style="70" width="8"/>
    <col collapsed="false" customWidth="false" hidden="false" outlineLevel="0" max="8497" min="8497" style="70" width="42.57"/>
    <col collapsed="false" customWidth="true" hidden="false" outlineLevel="0" max="8498" min="8498" style="70" width="3.29"/>
    <col collapsed="false" customWidth="true" hidden="false" outlineLevel="0" max="8499" min="8499" style="70" width="8"/>
    <col collapsed="false" customWidth="false" hidden="false" outlineLevel="0" max="8500" min="8500" style="70" width="42.57"/>
    <col collapsed="false" customWidth="true" hidden="false" outlineLevel="0" max="8501" min="8501" style="70" width="3.29"/>
    <col collapsed="false" customWidth="true" hidden="false" outlineLevel="0" max="8502" min="8502" style="70" width="8"/>
    <col collapsed="false" customWidth="false" hidden="false" outlineLevel="0" max="8503" min="8503" style="70" width="42.57"/>
    <col collapsed="false" customWidth="true" hidden="false" outlineLevel="0" max="8504" min="8504" style="70" width="3.29"/>
    <col collapsed="false" customWidth="true" hidden="false" outlineLevel="0" max="8505" min="8505" style="70" width="8"/>
    <col collapsed="false" customWidth="false" hidden="false" outlineLevel="0" max="8506" min="8506" style="70" width="42.57"/>
    <col collapsed="false" customWidth="true" hidden="false" outlineLevel="0" max="8507" min="8507" style="70" width="3.29"/>
    <col collapsed="false" customWidth="true" hidden="false" outlineLevel="0" max="8508" min="8508" style="70" width="8"/>
    <col collapsed="false" customWidth="false" hidden="false" outlineLevel="0" max="8509" min="8509" style="70" width="42.57"/>
    <col collapsed="false" customWidth="true" hidden="false" outlineLevel="0" max="8510" min="8510" style="70" width="3.29"/>
    <col collapsed="false" customWidth="true" hidden="false" outlineLevel="0" max="8511" min="8511" style="70" width="8"/>
    <col collapsed="false" customWidth="false" hidden="false" outlineLevel="0" max="8512" min="8512" style="70" width="42.57"/>
    <col collapsed="false" customWidth="true" hidden="false" outlineLevel="0" max="8513" min="8513" style="70" width="3.29"/>
    <col collapsed="false" customWidth="true" hidden="false" outlineLevel="0" max="8514" min="8514" style="70" width="8"/>
    <col collapsed="false" customWidth="false" hidden="false" outlineLevel="0" max="8515" min="8515" style="70" width="42.57"/>
    <col collapsed="false" customWidth="true" hidden="false" outlineLevel="0" max="8516" min="8516" style="70" width="3.29"/>
    <col collapsed="false" customWidth="true" hidden="false" outlineLevel="0" max="8517" min="8517" style="70" width="8"/>
    <col collapsed="false" customWidth="false" hidden="false" outlineLevel="0" max="8518" min="8518" style="70" width="42.57"/>
    <col collapsed="false" customWidth="true" hidden="false" outlineLevel="0" max="8519" min="8519" style="70" width="3.29"/>
    <col collapsed="false" customWidth="true" hidden="false" outlineLevel="0" max="8520" min="8520" style="70" width="8"/>
    <col collapsed="false" customWidth="false" hidden="false" outlineLevel="0" max="8521" min="8521" style="70" width="42.57"/>
    <col collapsed="false" customWidth="true" hidden="false" outlineLevel="0" max="8522" min="8522" style="70" width="3.29"/>
    <col collapsed="false" customWidth="true" hidden="false" outlineLevel="0" max="8523" min="8523" style="70" width="8"/>
    <col collapsed="false" customWidth="false" hidden="false" outlineLevel="0" max="8524" min="8524" style="70" width="42.57"/>
    <col collapsed="false" customWidth="true" hidden="false" outlineLevel="0" max="8525" min="8525" style="70" width="3.29"/>
    <col collapsed="false" customWidth="true" hidden="false" outlineLevel="0" max="8526" min="8526" style="70" width="8"/>
    <col collapsed="false" customWidth="false" hidden="false" outlineLevel="0" max="8527" min="8527" style="70" width="42.57"/>
    <col collapsed="false" customWidth="true" hidden="false" outlineLevel="0" max="8528" min="8528" style="70" width="3.29"/>
    <col collapsed="false" customWidth="true" hidden="false" outlineLevel="0" max="8529" min="8529" style="70" width="8"/>
    <col collapsed="false" customWidth="false" hidden="false" outlineLevel="0" max="8530" min="8530" style="70" width="42.57"/>
    <col collapsed="false" customWidth="true" hidden="false" outlineLevel="0" max="8531" min="8531" style="70" width="3.29"/>
    <col collapsed="false" customWidth="true" hidden="false" outlineLevel="0" max="8532" min="8532" style="70" width="8"/>
    <col collapsed="false" customWidth="false" hidden="false" outlineLevel="0" max="8533" min="8533" style="70" width="42.57"/>
    <col collapsed="false" customWidth="true" hidden="false" outlineLevel="0" max="8534" min="8534" style="70" width="3.29"/>
    <col collapsed="false" customWidth="true" hidden="false" outlineLevel="0" max="8535" min="8535" style="70" width="8"/>
    <col collapsed="false" customWidth="false" hidden="false" outlineLevel="0" max="8536" min="8536" style="70" width="42.57"/>
    <col collapsed="false" customWidth="true" hidden="false" outlineLevel="0" max="8537" min="8537" style="70" width="3.29"/>
    <col collapsed="false" customWidth="true" hidden="false" outlineLevel="0" max="8538" min="8538" style="70" width="8"/>
    <col collapsed="false" customWidth="false" hidden="false" outlineLevel="0" max="8539" min="8539" style="70" width="42.57"/>
    <col collapsed="false" customWidth="true" hidden="false" outlineLevel="0" max="8540" min="8540" style="70" width="3.29"/>
    <col collapsed="false" customWidth="true" hidden="false" outlineLevel="0" max="8541" min="8541" style="70" width="8"/>
    <col collapsed="false" customWidth="false" hidden="false" outlineLevel="0" max="8542" min="8542" style="70" width="42.57"/>
    <col collapsed="false" customWidth="true" hidden="false" outlineLevel="0" max="8543" min="8543" style="70" width="3.29"/>
    <col collapsed="false" customWidth="true" hidden="false" outlineLevel="0" max="8544" min="8544" style="70" width="8"/>
    <col collapsed="false" customWidth="false" hidden="false" outlineLevel="0" max="8545" min="8545" style="70" width="42.57"/>
    <col collapsed="false" customWidth="true" hidden="false" outlineLevel="0" max="8546" min="8546" style="70" width="3.29"/>
    <col collapsed="false" customWidth="true" hidden="false" outlineLevel="0" max="8547" min="8547" style="70" width="8"/>
    <col collapsed="false" customWidth="false" hidden="false" outlineLevel="0" max="8548" min="8548" style="70" width="42.57"/>
    <col collapsed="false" customWidth="true" hidden="false" outlineLevel="0" max="8549" min="8549" style="70" width="3.29"/>
    <col collapsed="false" customWidth="true" hidden="false" outlineLevel="0" max="8550" min="8550" style="70" width="8"/>
    <col collapsed="false" customWidth="false" hidden="false" outlineLevel="0" max="8551" min="8551" style="70" width="42.57"/>
    <col collapsed="false" customWidth="true" hidden="false" outlineLevel="0" max="8552" min="8552" style="70" width="3.29"/>
    <col collapsed="false" customWidth="true" hidden="false" outlineLevel="0" max="8553" min="8553" style="70" width="8"/>
    <col collapsed="false" customWidth="false" hidden="false" outlineLevel="0" max="8554" min="8554" style="70" width="42.57"/>
    <col collapsed="false" customWidth="true" hidden="false" outlineLevel="0" max="8555" min="8555" style="70" width="3.29"/>
    <col collapsed="false" customWidth="true" hidden="false" outlineLevel="0" max="8556" min="8556" style="70" width="8"/>
    <col collapsed="false" customWidth="false" hidden="false" outlineLevel="0" max="8557" min="8557" style="70" width="42.57"/>
    <col collapsed="false" customWidth="true" hidden="false" outlineLevel="0" max="8558" min="8558" style="70" width="3.29"/>
    <col collapsed="false" customWidth="true" hidden="false" outlineLevel="0" max="8559" min="8559" style="70" width="8"/>
    <col collapsed="false" customWidth="false" hidden="false" outlineLevel="0" max="8560" min="8560" style="70" width="42.57"/>
    <col collapsed="false" customWidth="true" hidden="false" outlineLevel="0" max="8561" min="8561" style="70" width="3.29"/>
    <col collapsed="false" customWidth="true" hidden="false" outlineLevel="0" max="8562" min="8562" style="70" width="8"/>
    <col collapsed="false" customWidth="false" hidden="false" outlineLevel="0" max="8563" min="8563" style="70" width="42.57"/>
    <col collapsed="false" customWidth="true" hidden="false" outlineLevel="0" max="8564" min="8564" style="70" width="3.29"/>
    <col collapsed="false" customWidth="true" hidden="false" outlineLevel="0" max="8565" min="8565" style="70" width="8"/>
    <col collapsed="false" customWidth="false" hidden="false" outlineLevel="0" max="8566" min="8566" style="70" width="42.57"/>
    <col collapsed="false" customWidth="true" hidden="false" outlineLevel="0" max="8567" min="8567" style="70" width="3.29"/>
    <col collapsed="false" customWidth="true" hidden="false" outlineLevel="0" max="8568" min="8568" style="70" width="8"/>
    <col collapsed="false" customWidth="false" hidden="false" outlineLevel="0" max="8569" min="8569" style="70" width="42.57"/>
    <col collapsed="false" customWidth="true" hidden="false" outlineLevel="0" max="8570" min="8570" style="70" width="3.29"/>
    <col collapsed="false" customWidth="true" hidden="false" outlineLevel="0" max="8571" min="8571" style="70" width="8"/>
    <col collapsed="false" customWidth="false" hidden="false" outlineLevel="0" max="8572" min="8572" style="70" width="42.57"/>
    <col collapsed="false" customWidth="true" hidden="false" outlineLevel="0" max="8573" min="8573" style="70" width="3.29"/>
    <col collapsed="false" customWidth="true" hidden="false" outlineLevel="0" max="8574" min="8574" style="70" width="8"/>
    <col collapsed="false" customWidth="false" hidden="false" outlineLevel="0" max="8575" min="8575" style="70" width="42.57"/>
    <col collapsed="false" customWidth="true" hidden="false" outlineLevel="0" max="8576" min="8576" style="70" width="3.29"/>
    <col collapsed="false" customWidth="true" hidden="false" outlineLevel="0" max="8577" min="8577" style="70" width="8"/>
    <col collapsed="false" customWidth="false" hidden="false" outlineLevel="0" max="8578" min="8578" style="70" width="42.57"/>
    <col collapsed="false" customWidth="true" hidden="false" outlineLevel="0" max="8579" min="8579" style="70" width="3.29"/>
    <col collapsed="false" customWidth="true" hidden="false" outlineLevel="0" max="8580" min="8580" style="70" width="8"/>
    <col collapsed="false" customWidth="false" hidden="false" outlineLevel="0" max="8581" min="8581" style="70" width="42.57"/>
    <col collapsed="false" customWidth="true" hidden="false" outlineLevel="0" max="8582" min="8582" style="70" width="3.29"/>
    <col collapsed="false" customWidth="true" hidden="false" outlineLevel="0" max="8583" min="8583" style="70" width="8"/>
    <col collapsed="false" customWidth="false" hidden="false" outlineLevel="0" max="8584" min="8584" style="70" width="42.57"/>
    <col collapsed="false" customWidth="true" hidden="false" outlineLevel="0" max="8585" min="8585" style="70" width="3.29"/>
    <col collapsed="false" customWidth="true" hidden="false" outlineLevel="0" max="8586" min="8586" style="70" width="8"/>
    <col collapsed="false" customWidth="false" hidden="false" outlineLevel="0" max="8587" min="8587" style="70" width="42.57"/>
    <col collapsed="false" customWidth="true" hidden="false" outlineLevel="0" max="8588" min="8588" style="70" width="3.29"/>
    <col collapsed="false" customWidth="true" hidden="false" outlineLevel="0" max="8589" min="8589" style="70" width="8"/>
    <col collapsed="false" customWidth="false" hidden="false" outlineLevel="0" max="8590" min="8590" style="70" width="42.57"/>
    <col collapsed="false" customWidth="true" hidden="false" outlineLevel="0" max="8591" min="8591" style="70" width="3.29"/>
    <col collapsed="false" customWidth="true" hidden="false" outlineLevel="0" max="8592" min="8592" style="70" width="8"/>
    <col collapsed="false" customWidth="false" hidden="false" outlineLevel="0" max="8593" min="8593" style="70" width="42.57"/>
    <col collapsed="false" customWidth="true" hidden="false" outlineLevel="0" max="8594" min="8594" style="70" width="3.29"/>
    <col collapsed="false" customWidth="true" hidden="false" outlineLevel="0" max="8595" min="8595" style="70" width="8"/>
    <col collapsed="false" customWidth="false" hidden="false" outlineLevel="0" max="8596" min="8596" style="70" width="42.57"/>
    <col collapsed="false" customWidth="true" hidden="false" outlineLevel="0" max="8597" min="8597" style="70" width="3.29"/>
    <col collapsed="false" customWidth="true" hidden="false" outlineLevel="0" max="8598" min="8598" style="70" width="8"/>
    <col collapsed="false" customWidth="false" hidden="false" outlineLevel="0" max="8599" min="8599" style="70" width="42.57"/>
    <col collapsed="false" customWidth="true" hidden="false" outlineLevel="0" max="8600" min="8600" style="70" width="3.29"/>
    <col collapsed="false" customWidth="true" hidden="false" outlineLevel="0" max="8601" min="8601" style="70" width="8"/>
    <col collapsed="false" customWidth="false" hidden="false" outlineLevel="0" max="8602" min="8602" style="70" width="42.57"/>
    <col collapsed="false" customWidth="true" hidden="false" outlineLevel="0" max="8603" min="8603" style="70" width="3.29"/>
    <col collapsed="false" customWidth="true" hidden="false" outlineLevel="0" max="8604" min="8604" style="70" width="8"/>
    <col collapsed="false" customWidth="false" hidden="false" outlineLevel="0" max="8605" min="8605" style="70" width="42.57"/>
    <col collapsed="false" customWidth="true" hidden="false" outlineLevel="0" max="8606" min="8606" style="70" width="3.29"/>
    <col collapsed="false" customWidth="true" hidden="false" outlineLevel="0" max="8607" min="8607" style="70" width="8"/>
    <col collapsed="false" customWidth="false" hidden="false" outlineLevel="0" max="8608" min="8608" style="70" width="42.57"/>
    <col collapsed="false" customWidth="true" hidden="false" outlineLevel="0" max="8609" min="8609" style="70" width="3.29"/>
    <col collapsed="false" customWidth="true" hidden="false" outlineLevel="0" max="8610" min="8610" style="70" width="8"/>
    <col collapsed="false" customWidth="false" hidden="false" outlineLevel="0" max="8611" min="8611" style="70" width="42.57"/>
    <col collapsed="false" customWidth="true" hidden="false" outlineLevel="0" max="8612" min="8612" style="70" width="3.29"/>
    <col collapsed="false" customWidth="true" hidden="false" outlineLevel="0" max="8613" min="8613" style="70" width="8"/>
    <col collapsed="false" customWidth="false" hidden="false" outlineLevel="0" max="8614" min="8614" style="70" width="42.57"/>
    <col collapsed="false" customWidth="true" hidden="false" outlineLevel="0" max="8615" min="8615" style="70" width="3.29"/>
    <col collapsed="false" customWidth="true" hidden="false" outlineLevel="0" max="8616" min="8616" style="70" width="8"/>
    <col collapsed="false" customWidth="false" hidden="false" outlineLevel="0" max="8617" min="8617" style="70" width="42.57"/>
    <col collapsed="false" customWidth="true" hidden="false" outlineLevel="0" max="8618" min="8618" style="70" width="3.29"/>
    <col collapsed="false" customWidth="true" hidden="false" outlineLevel="0" max="8619" min="8619" style="70" width="8"/>
    <col collapsed="false" customWidth="false" hidden="false" outlineLevel="0" max="8620" min="8620" style="70" width="42.57"/>
    <col collapsed="false" customWidth="true" hidden="false" outlineLevel="0" max="8621" min="8621" style="70" width="3.29"/>
    <col collapsed="false" customWidth="true" hidden="false" outlineLevel="0" max="8622" min="8622" style="70" width="8"/>
    <col collapsed="false" customWidth="false" hidden="false" outlineLevel="0" max="8623" min="8623" style="70" width="42.57"/>
    <col collapsed="false" customWidth="true" hidden="false" outlineLevel="0" max="8624" min="8624" style="70" width="3.29"/>
    <col collapsed="false" customWidth="true" hidden="false" outlineLevel="0" max="8625" min="8625" style="70" width="8"/>
    <col collapsed="false" customWidth="false" hidden="false" outlineLevel="0" max="8626" min="8626" style="70" width="42.57"/>
    <col collapsed="false" customWidth="true" hidden="false" outlineLevel="0" max="8627" min="8627" style="70" width="3.29"/>
    <col collapsed="false" customWidth="true" hidden="false" outlineLevel="0" max="8628" min="8628" style="70" width="8"/>
    <col collapsed="false" customWidth="false" hidden="false" outlineLevel="0" max="8629" min="8629" style="70" width="42.57"/>
    <col collapsed="false" customWidth="true" hidden="false" outlineLevel="0" max="8630" min="8630" style="70" width="3.29"/>
    <col collapsed="false" customWidth="true" hidden="false" outlineLevel="0" max="8631" min="8631" style="70" width="8"/>
    <col collapsed="false" customWidth="false" hidden="false" outlineLevel="0" max="8632" min="8632" style="70" width="42.57"/>
    <col collapsed="false" customWidth="true" hidden="false" outlineLevel="0" max="8633" min="8633" style="70" width="3.29"/>
    <col collapsed="false" customWidth="true" hidden="false" outlineLevel="0" max="8634" min="8634" style="70" width="8"/>
    <col collapsed="false" customWidth="false" hidden="false" outlineLevel="0" max="8635" min="8635" style="70" width="42.57"/>
    <col collapsed="false" customWidth="true" hidden="false" outlineLevel="0" max="8636" min="8636" style="70" width="3.29"/>
    <col collapsed="false" customWidth="true" hidden="false" outlineLevel="0" max="8637" min="8637" style="70" width="8"/>
    <col collapsed="false" customWidth="false" hidden="false" outlineLevel="0" max="8638" min="8638" style="70" width="42.57"/>
    <col collapsed="false" customWidth="true" hidden="false" outlineLevel="0" max="8639" min="8639" style="70" width="3.29"/>
    <col collapsed="false" customWidth="true" hidden="false" outlineLevel="0" max="8640" min="8640" style="70" width="8"/>
    <col collapsed="false" customWidth="false" hidden="false" outlineLevel="0" max="8641" min="8641" style="70" width="42.57"/>
    <col collapsed="false" customWidth="true" hidden="false" outlineLevel="0" max="8642" min="8642" style="70" width="3.29"/>
    <col collapsed="false" customWidth="true" hidden="false" outlineLevel="0" max="8643" min="8643" style="70" width="8"/>
    <col collapsed="false" customWidth="false" hidden="false" outlineLevel="0" max="8644" min="8644" style="70" width="42.57"/>
    <col collapsed="false" customWidth="true" hidden="false" outlineLevel="0" max="8645" min="8645" style="70" width="3.29"/>
    <col collapsed="false" customWidth="true" hidden="false" outlineLevel="0" max="8646" min="8646" style="70" width="8"/>
    <col collapsed="false" customWidth="false" hidden="false" outlineLevel="0" max="8647" min="8647" style="70" width="42.57"/>
    <col collapsed="false" customWidth="true" hidden="false" outlineLevel="0" max="8648" min="8648" style="70" width="3.29"/>
    <col collapsed="false" customWidth="true" hidden="false" outlineLevel="0" max="8649" min="8649" style="70" width="8"/>
    <col collapsed="false" customWidth="false" hidden="false" outlineLevel="0" max="8650" min="8650" style="70" width="42.57"/>
    <col collapsed="false" customWidth="true" hidden="false" outlineLevel="0" max="8651" min="8651" style="70" width="3.29"/>
    <col collapsed="false" customWidth="true" hidden="false" outlineLevel="0" max="8652" min="8652" style="70" width="8"/>
    <col collapsed="false" customWidth="false" hidden="false" outlineLevel="0" max="8653" min="8653" style="70" width="42.57"/>
    <col collapsed="false" customWidth="true" hidden="false" outlineLevel="0" max="8654" min="8654" style="70" width="3.29"/>
    <col collapsed="false" customWidth="true" hidden="false" outlineLevel="0" max="8655" min="8655" style="70" width="8"/>
    <col collapsed="false" customWidth="false" hidden="false" outlineLevel="0" max="8656" min="8656" style="70" width="42.57"/>
    <col collapsed="false" customWidth="true" hidden="false" outlineLevel="0" max="8657" min="8657" style="70" width="3.29"/>
    <col collapsed="false" customWidth="true" hidden="false" outlineLevel="0" max="8658" min="8658" style="70" width="8"/>
    <col collapsed="false" customWidth="false" hidden="false" outlineLevel="0" max="8659" min="8659" style="70" width="42.57"/>
    <col collapsed="false" customWidth="true" hidden="false" outlineLevel="0" max="8660" min="8660" style="70" width="3.29"/>
    <col collapsed="false" customWidth="true" hidden="false" outlineLevel="0" max="8661" min="8661" style="70" width="8"/>
    <col collapsed="false" customWidth="false" hidden="false" outlineLevel="0" max="8662" min="8662" style="70" width="42.57"/>
    <col collapsed="false" customWidth="true" hidden="false" outlineLevel="0" max="8663" min="8663" style="70" width="3.29"/>
    <col collapsed="false" customWidth="true" hidden="false" outlineLevel="0" max="8664" min="8664" style="70" width="8"/>
    <col collapsed="false" customWidth="false" hidden="false" outlineLevel="0" max="8665" min="8665" style="70" width="42.57"/>
    <col collapsed="false" customWidth="true" hidden="false" outlineLevel="0" max="8666" min="8666" style="70" width="3.29"/>
    <col collapsed="false" customWidth="true" hidden="false" outlineLevel="0" max="8667" min="8667" style="70" width="8"/>
    <col collapsed="false" customWidth="false" hidden="false" outlineLevel="0" max="8668" min="8668" style="70" width="42.57"/>
    <col collapsed="false" customWidth="true" hidden="false" outlineLevel="0" max="8669" min="8669" style="70" width="3.29"/>
    <col collapsed="false" customWidth="true" hidden="false" outlineLevel="0" max="8670" min="8670" style="70" width="8"/>
    <col collapsed="false" customWidth="false" hidden="false" outlineLevel="0" max="8671" min="8671" style="70" width="42.57"/>
    <col collapsed="false" customWidth="true" hidden="false" outlineLevel="0" max="8672" min="8672" style="70" width="3.29"/>
    <col collapsed="false" customWidth="true" hidden="false" outlineLevel="0" max="8673" min="8673" style="70" width="8"/>
    <col collapsed="false" customWidth="false" hidden="false" outlineLevel="0" max="8674" min="8674" style="70" width="42.57"/>
    <col collapsed="false" customWidth="true" hidden="false" outlineLevel="0" max="8675" min="8675" style="70" width="3.29"/>
    <col collapsed="false" customWidth="true" hidden="false" outlineLevel="0" max="8676" min="8676" style="70" width="8"/>
    <col collapsed="false" customWidth="false" hidden="false" outlineLevel="0" max="8677" min="8677" style="70" width="42.57"/>
    <col collapsed="false" customWidth="true" hidden="false" outlineLevel="0" max="8678" min="8678" style="70" width="3.29"/>
    <col collapsed="false" customWidth="true" hidden="false" outlineLevel="0" max="8679" min="8679" style="70" width="8"/>
    <col collapsed="false" customWidth="false" hidden="false" outlineLevel="0" max="8680" min="8680" style="70" width="42.57"/>
    <col collapsed="false" customWidth="true" hidden="false" outlineLevel="0" max="8681" min="8681" style="70" width="3.29"/>
    <col collapsed="false" customWidth="true" hidden="false" outlineLevel="0" max="8682" min="8682" style="70" width="8"/>
    <col collapsed="false" customWidth="false" hidden="false" outlineLevel="0" max="8683" min="8683" style="70" width="42.57"/>
    <col collapsed="false" customWidth="true" hidden="false" outlineLevel="0" max="8684" min="8684" style="70" width="3.29"/>
    <col collapsed="false" customWidth="true" hidden="false" outlineLevel="0" max="8685" min="8685" style="70" width="8"/>
    <col collapsed="false" customWidth="false" hidden="false" outlineLevel="0" max="8686" min="8686" style="70" width="42.57"/>
    <col collapsed="false" customWidth="true" hidden="false" outlineLevel="0" max="8687" min="8687" style="70" width="3.29"/>
    <col collapsed="false" customWidth="true" hidden="false" outlineLevel="0" max="8688" min="8688" style="70" width="8"/>
    <col collapsed="false" customWidth="false" hidden="false" outlineLevel="0" max="8689" min="8689" style="70" width="42.57"/>
    <col collapsed="false" customWidth="true" hidden="false" outlineLevel="0" max="8690" min="8690" style="70" width="3.29"/>
    <col collapsed="false" customWidth="true" hidden="false" outlineLevel="0" max="8691" min="8691" style="70" width="8"/>
    <col collapsed="false" customWidth="false" hidden="false" outlineLevel="0" max="8692" min="8692" style="70" width="42.57"/>
    <col collapsed="false" customWidth="true" hidden="false" outlineLevel="0" max="8693" min="8693" style="70" width="3.29"/>
    <col collapsed="false" customWidth="true" hidden="false" outlineLevel="0" max="8694" min="8694" style="70" width="8"/>
    <col collapsed="false" customWidth="false" hidden="false" outlineLevel="0" max="8695" min="8695" style="70" width="42.57"/>
    <col collapsed="false" customWidth="true" hidden="false" outlineLevel="0" max="8696" min="8696" style="70" width="3.29"/>
    <col collapsed="false" customWidth="true" hidden="false" outlineLevel="0" max="8697" min="8697" style="70" width="8"/>
    <col collapsed="false" customWidth="false" hidden="false" outlineLevel="0" max="8698" min="8698" style="70" width="42.57"/>
    <col collapsed="false" customWidth="true" hidden="false" outlineLevel="0" max="8699" min="8699" style="70" width="3.29"/>
    <col collapsed="false" customWidth="true" hidden="false" outlineLevel="0" max="8700" min="8700" style="70" width="8"/>
    <col collapsed="false" customWidth="false" hidden="false" outlineLevel="0" max="8701" min="8701" style="70" width="42.57"/>
    <col collapsed="false" customWidth="true" hidden="false" outlineLevel="0" max="8702" min="8702" style="70" width="3.29"/>
    <col collapsed="false" customWidth="true" hidden="false" outlineLevel="0" max="8703" min="8703" style="70" width="8"/>
    <col collapsed="false" customWidth="false" hidden="false" outlineLevel="0" max="8704" min="8704" style="70" width="42.57"/>
    <col collapsed="false" customWidth="true" hidden="false" outlineLevel="0" max="8705" min="8705" style="70" width="3.29"/>
    <col collapsed="false" customWidth="true" hidden="false" outlineLevel="0" max="8706" min="8706" style="70" width="8"/>
    <col collapsed="false" customWidth="false" hidden="false" outlineLevel="0" max="8707" min="8707" style="70" width="42.57"/>
    <col collapsed="false" customWidth="true" hidden="false" outlineLevel="0" max="8708" min="8708" style="70" width="3.29"/>
    <col collapsed="false" customWidth="true" hidden="false" outlineLevel="0" max="8709" min="8709" style="70" width="8"/>
    <col collapsed="false" customWidth="false" hidden="false" outlineLevel="0" max="8710" min="8710" style="70" width="42.57"/>
    <col collapsed="false" customWidth="true" hidden="false" outlineLevel="0" max="8711" min="8711" style="70" width="3.29"/>
    <col collapsed="false" customWidth="true" hidden="false" outlineLevel="0" max="8712" min="8712" style="70" width="8"/>
    <col collapsed="false" customWidth="false" hidden="false" outlineLevel="0" max="8713" min="8713" style="70" width="42.57"/>
    <col collapsed="false" customWidth="true" hidden="false" outlineLevel="0" max="8714" min="8714" style="70" width="3.29"/>
    <col collapsed="false" customWidth="true" hidden="false" outlineLevel="0" max="8715" min="8715" style="70" width="8"/>
    <col collapsed="false" customWidth="false" hidden="false" outlineLevel="0" max="8716" min="8716" style="70" width="42.57"/>
    <col collapsed="false" customWidth="true" hidden="false" outlineLevel="0" max="8717" min="8717" style="70" width="3.29"/>
    <col collapsed="false" customWidth="true" hidden="false" outlineLevel="0" max="8718" min="8718" style="70" width="8"/>
    <col collapsed="false" customWidth="false" hidden="false" outlineLevel="0" max="8719" min="8719" style="70" width="42.57"/>
    <col collapsed="false" customWidth="true" hidden="false" outlineLevel="0" max="8720" min="8720" style="70" width="3.29"/>
    <col collapsed="false" customWidth="true" hidden="false" outlineLevel="0" max="8721" min="8721" style="70" width="8"/>
    <col collapsed="false" customWidth="false" hidden="false" outlineLevel="0" max="8722" min="8722" style="70" width="42.57"/>
    <col collapsed="false" customWidth="true" hidden="false" outlineLevel="0" max="8723" min="8723" style="70" width="3.29"/>
    <col collapsed="false" customWidth="true" hidden="false" outlineLevel="0" max="8724" min="8724" style="70" width="8"/>
    <col collapsed="false" customWidth="false" hidden="false" outlineLevel="0" max="8725" min="8725" style="70" width="42.57"/>
    <col collapsed="false" customWidth="true" hidden="false" outlineLevel="0" max="8726" min="8726" style="70" width="3.29"/>
    <col collapsed="false" customWidth="true" hidden="false" outlineLevel="0" max="8727" min="8727" style="70" width="8"/>
    <col collapsed="false" customWidth="false" hidden="false" outlineLevel="0" max="8728" min="8728" style="70" width="42.57"/>
    <col collapsed="false" customWidth="true" hidden="false" outlineLevel="0" max="8729" min="8729" style="70" width="3.29"/>
    <col collapsed="false" customWidth="true" hidden="false" outlineLevel="0" max="8730" min="8730" style="70" width="8"/>
    <col collapsed="false" customWidth="false" hidden="false" outlineLevel="0" max="8731" min="8731" style="70" width="42.57"/>
    <col collapsed="false" customWidth="true" hidden="false" outlineLevel="0" max="8732" min="8732" style="70" width="3.29"/>
    <col collapsed="false" customWidth="true" hidden="false" outlineLevel="0" max="8733" min="8733" style="70" width="8"/>
    <col collapsed="false" customWidth="false" hidden="false" outlineLevel="0" max="8734" min="8734" style="70" width="42.57"/>
    <col collapsed="false" customWidth="true" hidden="false" outlineLevel="0" max="8735" min="8735" style="70" width="3.29"/>
    <col collapsed="false" customWidth="true" hidden="false" outlineLevel="0" max="8736" min="8736" style="70" width="8"/>
    <col collapsed="false" customWidth="false" hidden="false" outlineLevel="0" max="8737" min="8737" style="70" width="42.57"/>
    <col collapsed="false" customWidth="true" hidden="false" outlineLevel="0" max="8738" min="8738" style="70" width="3.29"/>
    <col collapsed="false" customWidth="true" hidden="false" outlineLevel="0" max="8739" min="8739" style="70" width="8"/>
    <col collapsed="false" customWidth="false" hidden="false" outlineLevel="0" max="8740" min="8740" style="70" width="42.57"/>
    <col collapsed="false" customWidth="true" hidden="false" outlineLevel="0" max="8741" min="8741" style="70" width="3.29"/>
    <col collapsed="false" customWidth="true" hidden="false" outlineLevel="0" max="8742" min="8742" style="70" width="8"/>
    <col collapsed="false" customWidth="false" hidden="false" outlineLevel="0" max="8743" min="8743" style="70" width="42.57"/>
    <col collapsed="false" customWidth="true" hidden="false" outlineLevel="0" max="8744" min="8744" style="70" width="3.29"/>
    <col collapsed="false" customWidth="true" hidden="false" outlineLevel="0" max="8745" min="8745" style="70" width="8"/>
    <col collapsed="false" customWidth="false" hidden="false" outlineLevel="0" max="8746" min="8746" style="70" width="42.57"/>
    <col collapsed="false" customWidth="true" hidden="false" outlineLevel="0" max="8747" min="8747" style="70" width="3.29"/>
    <col collapsed="false" customWidth="true" hidden="false" outlineLevel="0" max="8748" min="8748" style="70" width="8"/>
    <col collapsed="false" customWidth="false" hidden="false" outlineLevel="0" max="8749" min="8749" style="70" width="42.57"/>
    <col collapsed="false" customWidth="true" hidden="false" outlineLevel="0" max="8750" min="8750" style="70" width="3.29"/>
    <col collapsed="false" customWidth="true" hidden="false" outlineLevel="0" max="8751" min="8751" style="70" width="8"/>
    <col collapsed="false" customWidth="false" hidden="false" outlineLevel="0" max="8752" min="8752" style="70" width="42.57"/>
    <col collapsed="false" customWidth="true" hidden="false" outlineLevel="0" max="8753" min="8753" style="70" width="3.29"/>
    <col collapsed="false" customWidth="true" hidden="false" outlineLevel="0" max="8754" min="8754" style="70" width="8"/>
    <col collapsed="false" customWidth="false" hidden="false" outlineLevel="0" max="8755" min="8755" style="70" width="42.57"/>
    <col collapsed="false" customWidth="true" hidden="false" outlineLevel="0" max="8756" min="8756" style="70" width="3.29"/>
    <col collapsed="false" customWidth="true" hidden="false" outlineLevel="0" max="8757" min="8757" style="70" width="8"/>
    <col collapsed="false" customWidth="false" hidden="false" outlineLevel="0" max="8758" min="8758" style="70" width="42.57"/>
    <col collapsed="false" customWidth="true" hidden="false" outlineLevel="0" max="8759" min="8759" style="70" width="3.29"/>
    <col collapsed="false" customWidth="true" hidden="false" outlineLevel="0" max="8760" min="8760" style="70" width="8"/>
    <col collapsed="false" customWidth="false" hidden="false" outlineLevel="0" max="8761" min="8761" style="70" width="42.57"/>
    <col collapsed="false" customWidth="true" hidden="false" outlineLevel="0" max="8762" min="8762" style="70" width="3.29"/>
    <col collapsed="false" customWidth="true" hidden="false" outlineLevel="0" max="8763" min="8763" style="70" width="8"/>
    <col collapsed="false" customWidth="false" hidden="false" outlineLevel="0" max="8764" min="8764" style="70" width="42.57"/>
    <col collapsed="false" customWidth="true" hidden="false" outlineLevel="0" max="8765" min="8765" style="70" width="3.29"/>
    <col collapsed="false" customWidth="true" hidden="false" outlineLevel="0" max="8766" min="8766" style="70" width="8"/>
    <col collapsed="false" customWidth="false" hidden="false" outlineLevel="0" max="8767" min="8767" style="70" width="42.57"/>
    <col collapsed="false" customWidth="true" hidden="false" outlineLevel="0" max="8768" min="8768" style="70" width="3.29"/>
    <col collapsed="false" customWidth="true" hidden="false" outlineLevel="0" max="8769" min="8769" style="70" width="8"/>
    <col collapsed="false" customWidth="false" hidden="false" outlineLevel="0" max="8770" min="8770" style="70" width="42.57"/>
    <col collapsed="false" customWidth="true" hidden="false" outlineLevel="0" max="8771" min="8771" style="70" width="3.29"/>
    <col collapsed="false" customWidth="true" hidden="false" outlineLevel="0" max="8772" min="8772" style="70" width="8"/>
    <col collapsed="false" customWidth="false" hidden="false" outlineLevel="0" max="8773" min="8773" style="70" width="42.57"/>
    <col collapsed="false" customWidth="true" hidden="false" outlineLevel="0" max="8774" min="8774" style="70" width="3.29"/>
    <col collapsed="false" customWidth="true" hidden="false" outlineLevel="0" max="8775" min="8775" style="70" width="8"/>
    <col collapsed="false" customWidth="false" hidden="false" outlineLevel="0" max="8776" min="8776" style="70" width="42.57"/>
    <col collapsed="false" customWidth="true" hidden="false" outlineLevel="0" max="8777" min="8777" style="70" width="3.29"/>
    <col collapsed="false" customWidth="true" hidden="false" outlineLevel="0" max="8778" min="8778" style="70" width="8"/>
    <col collapsed="false" customWidth="false" hidden="false" outlineLevel="0" max="8779" min="8779" style="70" width="42.57"/>
    <col collapsed="false" customWidth="true" hidden="false" outlineLevel="0" max="8780" min="8780" style="70" width="3.29"/>
    <col collapsed="false" customWidth="true" hidden="false" outlineLevel="0" max="8781" min="8781" style="70" width="8"/>
    <col collapsed="false" customWidth="false" hidden="false" outlineLevel="0" max="8782" min="8782" style="70" width="42.57"/>
    <col collapsed="false" customWidth="true" hidden="false" outlineLevel="0" max="8783" min="8783" style="70" width="3.29"/>
    <col collapsed="false" customWidth="true" hidden="false" outlineLevel="0" max="8784" min="8784" style="70" width="8"/>
    <col collapsed="false" customWidth="false" hidden="false" outlineLevel="0" max="8785" min="8785" style="70" width="42.57"/>
    <col collapsed="false" customWidth="true" hidden="false" outlineLevel="0" max="8786" min="8786" style="70" width="3.29"/>
    <col collapsed="false" customWidth="true" hidden="false" outlineLevel="0" max="8787" min="8787" style="70" width="8"/>
    <col collapsed="false" customWidth="false" hidden="false" outlineLevel="0" max="8788" min="8788" style="70" width="42.57"/>
    <col collapsed="false" customWidth="true" hidden="false" outlineLevel="0" max="8789" min="8789" style="70" width="3.29"/>
    <col collapsed="false" customWidth="true" hidden="false" outlineLevel="0" max="8790" min="8790" style="70" width="8"/>
    <col collapsed="false" customWidth="false" hidden="false" outlineLevel="0" max="8791" min="8791" style="70" width="42.57"/>
    <col collapsed="false" customWidth="true" hidden="false" outlineLevel="0" max="8792" min="8792" style="70" width="3.29"/>
    <col collapsed="false" customWidth="true" hidden="false" outlineLevel="0" max="8793" min="8793" style="70" width="8"/>
    <col collapsed="false" customWidth="false" hidden="false" outlineLevel="0" max="8794" min="8794" style="70" width="42.57"/>
    <col collapsed="false" customWidth="true" hidden="false" outlineLevel="0" max="8795" min="8795" style="70" width="3.29"/>
    <col collapsed="false" customWidth="true" hidden="false" outlineLevel="0" max="8796" min="8796" style="70" width="8"/>
    <col collapsed="false" customWidth="false" hidden="false" outlineLevel="0" max="8797" min="8797" style="70" width="42.57"/>
    <col collapsed="false" customWidth="true" hidden="false" outlineLevel="0" max="8798" min="8798" style="70" width="3.29"/>
    <col collapsed="false" customWidth="true" hidden="false" outlineLevel="0" max="8799" min="8799" style="70" width="8"/>
    <col collapsed="false" customWidth="false" hidden="false" outlineLevel="0" max="8800" min="8800" style="70" width="42.57"/>
    <col collapsed="false" customWidth="true" hidden="false" outlineLevel="0" max="8801" min="8801" style="70" width="3.29"/>
    <col collapsed="false" customWidth="true" hidden="false" outlineLevel="0" max="8802" min="8802" style="70" width="8"/>
    <col collapsed="false" customWidth="false" hidden="false" outlineLevel="0" max="8803" min="8803" style="70" width="42.57"/>
    <col collapsed="false" customWidth="true" hidden="false" outlineLevel="0" max="8804" min="8804" style="70" width="3.29"/>
    <col collapsed="false" customWidth="true" hidden="false" outlineLevel="0" max="8805" min="8805" style="70" width="8"/>
    <col collapsed="false" customWidth="false" hidden="false" outlineLevel="0" max="8806" min="8806" style="70" width="42.57"/>
    <col collapsed="false" customWidth="true" hidden="false" outlineLevel="0" max="8807" min="8807" style="70" width="3.29"/>
    <col collapsed="false" customWidth="true" hidden="false" outlineLevel="0" max="8808" min="8808" style="70" width="8"/>
    <col collapsed="false" customWidth="false" hidden="false" outlineLevel="0" max="8809" min="8809" style="70" width="42.57"/>
    <col collapsed="false" customWidth="true" hidden="false" outlineLevel="0" max="8810" min="8810" style="70" width="3.29"/>
    <col collapsed="false" customWidth="true" hidden="false" outlineLevel="0" max="8811" min="8811" style="70" width="8"/>
    <col collapsed="false" customWidth="false" hidden="false" outlineLevel="0" max="8812" min="8812" style="70" width="42.57"/>
    <col collapsed="false" customWidth="true" hidden="false" outlineLevel="0" max="8813" min="8813" style="70" width="3.29"/>
    <col collapsed="false" customWidth="true" hidden="false" outlineLevel="0" max="8814" min="8814" style="70" width="8"/>
    <col collapsed="false" customWidth="false" hidden="false" outlineLevel="0" max="8815" min="8815" style="70" width="42.57"/>
    <col collapsed="false" customWidth="true" hidden="false" outlineLevel="0" max="8816" min="8816" style="70" width="3.29"/>
    <col collapsed="false" customWidth="true" hidden="false" outlineLevel="0" max="8817" min="8817" style="70" width="8"/>
    <col collapsed="false" customWidth="false" hidden="false" outlineLevel="0" max="8818" min="8818" style="70" width="42.57"/>
    <col collapsed="false" customWidth="true" hidden="false" outlineLevel="0" max="8819" min="8819" style="70" width="3.29"/>
    <col collapsed="false" customWidth="true" hidden="false" outlineLevel="0" max="8820" min="8820" style="70" width="8"/>
    <col collapsed="false" customWidth="false" hidden="false" outlineLevel="0" max="8821" min="8821" style="70" width="42.57"/>
    <col collapsed="false" customWidth="true" hidden="false" outlineLevel="0" max="8822" min="8822" style="70" width="3.29"/>
    <col collapsed="false" customWidth="true" hidden="false" outlineLevel="0" max="8823" min="8823" style="70" width="8"/>
    <col collapsed="false" customWidth="false" hidden="false" outlineLevel="0" max="8824" min="8824" style="70" width="42.57"/>
    <col collapsed="false" customWidth="true" hidden="false" outlineLevel="0" max="8825" min="8825" style="70" width="3.29"/>
    <col collapsed="false" customWidth="true" hidden="false" outlineLevel="0" max="8826" min="8826" style="70" width="8"/>
    <col collapsed="false" customWidth="false" hidden="false" outlineLevel="0" max="8827" min="8827" style="70" width="42.57"/>
    <col collapsed="false" customWidth="true" hidden="false" outlineLevel="0" max="8828" min="8828" style="70" width="3.29"/>
    <col collapsed="false" customWidth="true" hidden="false" outlineLevel="0" max="8829" min="8829" style="70" width="8"/>
    <col collapsed="false" customWidth="false" hidden="false" outlineLevel="0" max="8830" min="8830" style="70" width="42.57"/>
    <col collapsed="false" customWidth="true" hidden="false" outlineLevel="0" max="8831" min="8831" style="70" width="3.29"/>
    <col collapsed="false" customWidth="true" hidden="false" outlineLevel="0" max="8832" min="8832" style="70" width="8"/>
    <col collapsed="false" customWidth="false" hidden="false" outlineLevel="0" max="8833" min="8833" style="70" width="42.57"/>
    <col collapsed="false" customWidth="true" hidden="false" outlineLevel="0" max="8834" min="8834" style="70" width="3.29"/>
    <col collapsed="false" customWidth="true" hidden="false" outlineLevel="0" max="8835" min="8835" style="70" width="8"/>
    <col collapsed="false" customWidth="false" hidden="false" outlineLevel="0" max="8836" min="8836" style="70" width="42.57"/>
    <col collapsed="false" customWidth="true" hidden="false" outlineLevel="0" max="8837" min="8837" style="70" width="3.29"/>
    <col collapsed="false" customWidth="true" hidden="false" outlineLevel="0" max="8838" min="8838" style="70" width="8"/>
    <col collapsed="false" customWidth="false" hidden="false" outlineLevel="0" max="8839" min="8839" style="70" width="42.57"/>
    <col collapsed="false" customWidth="true" hidden="false" outlineLevel="0" max="8840" min="8840" style="70" width="3.29"/>
    <col collapsed="false" customWidth="true" hidden="false" outlineLevel="0" max="8841" min="8841" style="70" width="8"/>
    <col collapsed="false" customWidth="false" hidden="false" outlineLevel="0" max="8842" min="8842" style="70" width="42.57"/>
    <col collapsed="false" customWidth="true" hidden="false" outlineLevel="0" max="8843" min="8843" style="70" width="3.29"/>
    <col collapsed="false" customWidth="true" hidden="false" outlineLevel="0" max="8844" min="8844" style="70" width="8"/>
    <col collapsed="false" customWidth="false" hidden="false" outlineLevel="0" max="8845" min="8845" style="70" width="42.57"/>
    <col collapsed="false" customWidth="true" hidden="false" outlineLevel="0" max="8846" min="8846" style="70" width="3.29"/>
    <col collapsed="false" customWidth="true" hidden="false" outlineLevel="0" max="8847" min="8847" style="70" width="8"/>
    <col collapsed="false" customWidth="false" hidden="false" outlineLevel="0" max="8848" min="8848" style="70" width="42.57"/>
    <col collapsed="false" customWidth="true" hidden="false" outlineLevel="0" max="8849" min="8849" style="70" width="3.29"/>
    <col collapsed="false" customWidth="true" hidden="false" outlineLevel="0" max="8850" min="8850" style="70" width="8"/>
    <col collapsed="false" customWidth="false" hidden="false" outlineLevel="0" max="8851" min="8851" style="70" width="42.57"/>
    <col collapsed="false" customWidth="true" hidden="false" outlineLevel="0" max="8852" min="8852" style="70" width="3.29"/>
    <col collapsed="false" customWidth="true" hidden="false" outlineLevel="0" max="8853" min="8853" style="70" width="8"/>
    <col collapsed="false" customWidth="false" hidden="false" outlineLevel="0" max="8854" min="8854" style="70" width="42.57"/>
    <col collapsed="false" customWidth="true" hidden="false" outlineLevel="0" max="8855" min="8855" style="70" width="3.29"/>
    <col collapsed="false" customWidth="true" hidden="false" outlineLevel="0" max="8856" min="8856" style="70" width="8"/>
    <col collapsed="false" customWidth="false" hidden="false" outlineLevel="0" max="8857" min="8857" style="70" width="42.57"/>
    <col collapsed="false" customWidth="true" hidden="false" outlineLevel="0" max="8858" min="8858" style="70" width="3.29"/>
    <col collapsed="false" customWidth="true" hidden="false" outlineLevel="0" max="8859" min="8859" style="70" width="8"/>
    <col collapsed="false" customWidth="false" hidden="false" outlineLevel="0" max="8860" min="8860" style="70" width="42.57"/>
    <col collapsed="false" customWidth="true" hidden="false" outlineLevel="0" max="8861" min="8861" style="70" width="3.29"/>
    <col collapsed="false" customWidth="true" hidden="false" outlineLevel="0" max="8862" min="8862" style="70" width="8"/>
    <col collapsed="false" customWidth="false" hidden="false" outlineLevel="0" max="8863" min="8863" style="70" width="42.57"/>
    <col collapsed="false" customWidth="true" hidden="false" outlineLevel="0" max="8864" min="8864" style="70" width="3.29"/>
    <col collapsed="false" customWidth="true" hidden="false" outlineLevel="0" max="8865" min="8865" style="70" width="8"/>
    <col collapsed="false" customWidth="false" hidden="false" outlineLevel="0" max="8866" min="8866" style="70" width="42.57"/>
    <col collapsed="false" customWidth="true" hidden="false" outlineLevel="0" max="8867" min="8867" style="70" width="3.29"/>
    <col collapsed="false" customWidth="true" hidden="false" outlineLevel="0" max="8868" min="8868" style="70" width="8"/>
    <col collapsed="false" customWidth="false" hidden="false" outlineLevel="0" max="8869" min="8869" style="70" width="42.57"/>
    <col collapsed="false" customWidth="true" hidden="false" outlineLevel="0" max="8870" min="8870" style="70" width="3.29"/>
    <col collapsed="false" customWidth="true" hidden="false" outlineLevel="0" max="8871" min="8871" style="70" width="8"/>
    <col collapsed="false" customWidth="false" hidden="false" outlineLevel="0" max="8872" min="8872" style="70" width="42.57"/>
    <col collapsed="false" customWidth="true" hidden="false" outlineLevel="0" max="8873" min="8873" style="70" width="3.29"/>
    <col collapsed="false" customWidth="true" hidden="false" outlineLevel="0" max="8874" min="8874" style="70" width="8"/>
    <col collapsed="false" customWidth="false" hidden="false" outlineLevel="0" max="8875" min="8875" style="70" width="42.57"/>
    <col collapsed="false" customWidth="true" hidden="false" outlineLevel="0" max="8876" min="8876" style="70" width="3.29"/>
    <col collapsed="false" customWidth="true" hidden="false" outlineLevel="0" max="8877" min="8877" style="70" width="8"/>
    <col collapsed="false" customWidth="false" hidden="false" outlineLevel="0" max="8878" min="8878" style="70" width="42.57"/>
    <col collapsed="false" customWidth="true" hidden="false" outlineLevel="0" max="8879" min="8879" style="70" width="3.29"/>
    <col collapsed="false" customWidth="true" hidden="false" outlineLevel="0" max="8880" min="8880" style="70" width="8"/>
    <col collapsed="false" customWidth="false" hidden="false" outlineLevel="0" max="8881" min="8881" style="70" width="42.57"/>
    <col collapsed="false" customWidth="true" hidden="false" outlineLevel="0" max="8882" min="8882" style="70" width="3.29"/>
    <col collapsed="false" customWidth="true" hidden="false" outlineLevel="0" max="8883" min="8883" style="70" width="8"/>
    <col collapsed="false" customWidth="false" hidden="false" outlineLevel="0" max="8884" min="8884" style="70" width="42.57"/>
    <col collapsed="false" customWidth="true" hidden="false" outlineLevel="0" max="8885" min="8885" style="70" width="3.29"/>
    <col collapsed="false" customWidth="true" hidden="false" outlineLevel="0" max="8886" min="8886" style="70" width="8"/>
    <col collapsed="false" customWidth="false" hidden="false" outlineLevel="0" max="8887" min="8887" style="70" width="42.57"/>
    <col collapsed="false" customWidth="true" hidden="false" outlineLevel="0" max="8888" min="8888" style="70" width="3.29"/>
    <col collapsed="false" customWidth="true" hidden="false" outlineLevel="0" max="8889" min="8889" style="70" width="8"/>
    <col collapsed="false" customWidth="false" hidden="false" outlineLevel="0" max="8890" min="8890" style="70" width="42.57"/>
    <col collapsed="false" customWidth="true" hidden="false" outlineLevel="0" max="8891" min="8891" style="70" width="3.29"/>
    <col collapsed="false" customWidth="true" hidden="false" outlineLevel="0" max="8892" min="8892" style="70" width="8"/>
    <col collapsed="false" customWidth="false" hidden="false" outlineLevel="0" max="8893" min="8893" style="70" width="42.57"/>
    <col collapsed="false" customWidth="true" hidden="false" outlineLevel="0" max="8894" min="8894" style="70" width="3.29"/>
    <col collapsed="false" customWidth="true" hidden="false" outlineLevel="0" max="8895" min="8895" style="70" width="8"/>
    <col collapsed="false" customWidth="false" hidden="false" outlineLevel="0" max="8896" min="8896" style="70" width="42.57"/>
    <col collapsed="false" customWidth="true" hidden="false" outlineLevel="0" max="8897" min="8897" style="70" width="3.29"/>
    <col collapsed="false" customWidth="true" hidden="false" outlineLevel="0" max="8898" min="8898" style="70" width="8"/>
    <col collapsed="false" customWidth="false" hidden="false" outlineLevel="0" max="8899" min="8899" style="70" width="42.57"/>
    <col collapsed="false" customWidth="true" hidden="false" outlineLevel="0" max="8900" min="8900" style="70" width="3.29"/>
    <col collapsed="false" customWidth="true" hidden="false" outlineLevel="0" max="8901" min="8901" style="70" width="8"/>
    <col collapsed="false" customWidth="false" hidden="false" outlineLevel="0" max="8902" min="8902" style="70" width="42.57"/>
    <col collapsed="false" customWidth="true" hidden="false" outlineLevel="0" max="8903" min="8903" style="70" width="3.29"/>
    <col collapsed="false" customWidth="true" hidden="false" outlineLevel="0" max="8904" min="8904" style="70" width="8"/>
    <col collapsed="false" customWidth="false" hidden="false" outlineLevel="0" max="8905" min="8905" style="70" width="42.57"/>
    <col collapsed="false" customWidth="true" hidden="false" outlineLevel="0" max="8906" min="8906" style="70" width="3.29"/>
    <col collapsed="false" customWidth="true" hidden="false" outlineLevel="0" max="8907" min="8907" style="70" width="8"/>
    <col collapsed="false" customWidth="false" hidden="false" outlineLevel="0" max="8908" min="8908" style="70" width="42.57"/>
    <col collapsed="false" customWidth="true" hidden="false" outlineLevel="0" max="8909" min="8909" style="70" width="3.29"/>
    <col collapsed="false" customWidth="true" hidden="false" outlineLevel="0" max="8910" min="8910" style="70" width="8"/>
    <col collapsed="false" customWidth="false" hidden="false" outlineLevel="0" max="8911" min="8911" style="70" width="42.57"/>
    <col collapsed="false" customWidth="true" hidden="false" outlineLevel="0" max="8912" min="8912" style="70" width="3.29"/>
    <col collapsed="false" customWidth="true" hidden="false" outlineLevel="0" max="8913" min="8913" style="70" width="8"/>
    <col collapsed="false" customWidth="false" hidden="false" outlineLevel="0" max="8914" min="8914" style="70" width="42.57"/>
    <col collapsed="false" customWidth="true" hidden="false" outlineLevel="0" max="8915" min="8915" style="70" width="3.29"/>
    <col collapsed="false" customWidth="true" hidden="false" outlineLevel="0" max="8916" min="8916" style="70" width="8"/>
    <col collapsed="false" customWidth="false" hidden="false" outlineLevel="0" max="8917" min="8917" style="70" width="42.57"/>
    <col collapsed="false" customWidth="true" hidden="false" outlineLevel="0" max="8918" min="8918" style="70" width="3.29"/>
    <col collapsed="false" customWidth="true" hidden="false" outlineLevel="0" max="8919" min="8919" style="70" width="8"/>
    <col collapsed="false" customWidth="false" hidden="false" outlineLevel="0" max="8920" min="8920" style="70" width="42.57"/>
    <col collapsed="false" customWidth="true" hidden="false" outlineLevel="0" max="8921" min="8921" style="70" width="3.29"/>
    <col collapsed="false" customWidth="true" hidden="false" outlineLevel="0" max="8922" min="8922" style="70" width="8"/>
    <col collapsed="false" customWidth="false" hidden="false" outlineLevel="0" max="8923" min="8923" style="70" width="42.57"/>
    <col collapsed="false" customWidth="true" hidden="false" outlineLevel="0" max="8924" min="8924" style="70" width="3.29"/>
    <col collapsed="false" customWidth="true" hidden="false" outlineLevel="0" max="8925" min="8925" style="70" width="8"/>
    <col collapsed="false" customWidth="false" hidden="false" outlineLevel="0" max="8926" min="8926" style="70" width="42.57"/>
    <col collapsed="false" customWidth="true" hidden="false" outlineLevel="0" max="8927" min="8927" style="70" width="3.29"/>
    <col collapsed="false" customWidth="true" hidden="false" outlineLevel="0" max="8928" min="8928" style="70" width="8"/>
    <col collapsed="false" customWidth="false" hidden="false" outlineLevel="0" max="8929" min="8929" style="70" width="42.57"/>
    <col collapsed="false" customWidth="true" hidden="false" outlineLevel="0" max="8930" min="8930" style="70" width="3.29"/>
    <col collapsed="false" customWidth="true" hidden="false" outlineLevel="0" max="8931" min="8931" style="70" width="8"/>
    <col collapsed="false" customWidth="false" hidden="false" outlineLevel="0" max="8932" min="8932" style="70" width="42.57"/>
    <col collapsed="false" customWidth="true" hidden="false" outlineLevel="0" max="8933" min="8933" style="70" width="3.29"/>
    <col collapsed="false" customWidth="true" hidden="false" outlineLevel="0" max="8934" min="8934" style="70" width="8"/>
    <col collapsed="false" customWidth="false" hidden="false" outlineLevel="0" max="8935" min="8935" style="70" width="42.57"/>
    <col collapsed="false" customWidth="true" hidden="false" outlineLevel="0" max="8936" min="8936" style="70" width="3.29"/>
    <col collapsed="false" customWidth="true" hidden="false" outlineLevel="0" max="8937" min="8937" style="70" width="8"/>
    <col collapsed="false" customWidth="false" hidden="false" outlineLevel="0" max="8938" min="8938" style="70" width="42.57"/>
    <col collapsed="false" customWidth="true" hidden="false" outlineLevel="0" max="8939" min="8939" style="70" width="3.29"/>
    <col collapsed="false" customWidth="true" hidden="false" outlineLevel="0" max="8940" min="8940" style="70" width="8"/>
    <col collapsed="false" customWidth="false" hidden="false" outlineLevel="0" max="8941" min="8941" style="70" width="42.57"/>
    <col collapsed="false" customWidth="true" hidden="false" outlineLevel="0" max="8942" min="8942" style="70" width="3.29"/>
    <col collapsed="false" customWidth="true" hidden="false" outlineLevel="0" max="8943" min="8943" style="70" width="8"/>
    <col collapsed="false" customWidth="false" hidden="false" outlineLevel="0" max="8944" min="8944" style="70" width="42.57"/>
    <col collapsed="false" customWidth="true" hidden="false" outlineLevel="0" max="8945" min="8945" style="70" width="3.29"/>
    <col collapsed="false" customWidth="true" hidden="false" outlineLevel="0" max="8946" min="8946" style="70" width="8"/>
    <col collapsed="false" customWidth="false" hidden="false" outlineLevel="0" max="8947" min="8947" style="70" width="42.57"/>
    <col collapsed="false" customWidth="true" hidden="false" outlineLevel="0" max="8948" min="8948" style="70" width="3.29"/>
    <col collapsed="false" customWidth="true" hidden="false" outlineLevel="0" max="8949" min="8949" style="70" width="8"/>
    <col collapsed="false" customWidth="false" hidden="false" outlineLevel="0" max="8950" min="8950" style="70" width="42.57"/>
    <col collapsed="false" customWidth="true" hidden="false" outlineLevel="0" max="8951" min="8951" style="70" width="3.29"/>
    <col collapsed="false" customWidth="true" hidden="false" outlineLevel="0" max="8952" min="8952" style="70" width="8"/>
    <col collapsed="false" customWidth="false" hidden="false" outlineLevel="0" max="8953" min="8953" style="70" width="42.57"/>
    <col collapsed="false" customWidth="true" hidden="false" outlineLevel="0" max="8954" min="8954" style="70" width="3.29"/>
    <col collapsed="false" customWidth="true" hidden="false" outlineLevel="0" max="8955" min="8955" style="70" width="8"/>
    <col collapsed="false" customWidth="false" hidden="false" outlineLevel="0" max="8956" min="8956" style="70" width="42.57"/>
    <col collapsed="false" customWidth="true" hidden="false" outlineLevel="0" max="8957" min="8957" style="70" width="3.29"/>
    <col collapsed="false" customWidth="true" hidden="false" outlineLevel="0" max="8958" min="8958" style="70" width="8"/>
    <col collapsed="false" customWidth="false" hidden="false" outlineLevel="0" max="8959" min="8959" style="70" width="42.57"/>
    <col collapsed="false" customWidth="true" hidden="false" outlineLevel="0" max="8960" min="8960" style="70" width="3.29"/>
    <col collapsed="false" customWidth="true" hidden="false" outlineLevel="0" max="8961" min="8961" style="70" width="8"/>
    <col collapsed="false" customWidth="false" hidden="false" outlineLevel="0" max="8962" min="8962" style="70" width="42.57"/>
    <col collapsed="false" customWidth="true" hidden="false" outlineLevel="0" max="8963" min="8963" style="70" width="3.29"/>
    <col collapsed="false" customWidth="true" hidden="false" outlineLevel="0" max="8964" min="8964" style="70" width="8"/>
    <col collapsed="false" customWidth="false" hidden="false" outlineLevel="0" max="8965" min="8965" style="70" width="42.57"/>
    <col collapsed="false" customWidth="true" hidden="false" outlineLevel="0" max="8966" min="8966" style="70" width="3.29"/>
    <col collapsed="false" customWidth="true" hidden="false" outlineLevel="0" max="8967" min="8967" style="70" width="8"/>
    <col collapsed="false" customWidth="false" hidden="false" outlineLevel="0" max="8968" min="8968" style="70" width="42.57"/>
    <col collapsed="false" customWidth="true" hidden="false" outlineLevel="0" max="8969" min="8969" style="70" width="3.29"/>
    <col collapsed="false" customWidth="true" hidden="false" outlineLevel="0" max="8970" min="8970" style="70" width="8"/>
    <col collapsed="false" customWidth="false" hidden="false" outlineLevel="0" max="8971" min="8971" style="70" width="42.57"/>
    <col collapsed="false" customWidth="true" hidden="false" outlineLevel="0" max="8972" min="8972" style="70" width="3.29"/>
    <col collapsed="false" customWidth="true" hidden="false" outlineLevel="0" max="8973" min="8973" style="70" width="8"/>
    <col collapsed="false" customWidth="false" hidden="false" outlineLevel="0" max="8974" min="8974" style="70" width="42.57"/>
    <col collapsed="false" customWidth="true" hidden="false" outlineLevel="0" max="8975" min="8975" style="70" width="3.29"/>
    <col collapsed="false" customWidth="true" hidden="false" outlineLevel="0" max="8976" min="8976" style="70" width="8"/>
    <col collapsed="false" customWidth="false" hidden="false" outlineLevel="0" max="8977" min="8977" style="70" width="42.57"/>
    <col collapsed="false" customWidth="true" hidden="false" outlineLevel="0" max="8978" min="8978" style="70" width="3.29"/>
    <col collapsed="false" customWidth="true" hidden="false" outlineLevel="0" max="8979" min="8979" style="70" width="8"/>
    <col collapsed="false" customWidth="false" hidden="false" outlineLevel="0" max="8980" min="8980" style="70" width="42.57"/>
    <col collapsed="false" customWidth="true" hidden="false" outlineLevel="0" max="8981" min="8981" style="70" width="3.29"/>
    <col collapsed="false" customWidth="true" hidden="false" outlineLevel="0" max="8982" min="8982" style="70" width="8"/>
    <col collapsed="false" customWidth="false" hidden="false" outlineLevel="0" max="8983" min="8983" style="70" width="42.57"/>
    <col collapsed="false" customWidth="true" hidden="false" outlineLevel="0" max="8984" min="8984" style="70" width="3.29"/>
    <col collapsed="false" customWidth="true" hidden="false" outlineLevel="0" max="8985" min="8985" style="70" width="8"/>
    <col collapsed="false" customWidth="false" hidden="false" outlineLevel="0" max="8986" min="8986" style="70" width="42.57"/>
    <col collapsed="false" customWidth="true" hidden="false" outlineLevel="0" max="8987" min="8987" style="70" width="3.29"/>
    <col collapsed="false" customWidth="true" hidden="false" outlineLevel="0" max="8988" min="8988" style="70" width="8"/>
    <col collapsed="false" customWidth="false" hidden="false" outlineLevel="0" max="8989" min="8989" style="70" width="42.57"/>
    <col collapsed="false" customWidth="true" hidden="false" outlineLevel="0" max="8990" min="8990" style="70" width="3.29"/>
    <col collapsed="false" customWidth="true" hidden="false" outlineLevel="0" max="8991" min="8991" style="70" width="8"/>
    <col collapsed="false" customWidth="false" hidden="false" outlineLevel="0" max="8992" min="8992" style="70" width="42.57"/>
    <col collapsed="false" customWidth="true" hidden="false" outlineLevel="0" max="8993" min="8993" style="70" width="3.29"/>
    <col collapsed="false" customWidth="true" hidden="false" outlineLevel="0" max="8994" min="8994" style="70" width="8"/>
    <col collapsed="false" customWidth="false" hidden="false" outlineLevel="0" max="8995" min="8995" style="70" width="42.57"/>
    <col collapsed="false" customWidth="true" hidden="false" outlineLevel="0" max="8996" min="8996" style="70" width="3.29"/>
    <col collapsed="false" customWidth="true" hidden="false" outlineLevel="0" max="8997" min="8997" style="70" width="8"/>
    <col collapsed="false" customWidth="false" hidden="false" outlineLevel="0" max="8998" min="8998" style="70" width="42.57"/>
    <col collapsed="false" customWidth="true" hidden="false" outlineLevel="0" max="8999" min="8999" style="70" width="3.29"/>
    <col collapsed="false" customWidth="true" hidden="false" outlineLevel="0" max="9000" min="9000" style="70" width="8"/>
    <col collapsed="false" customWidth="false" hidden="false" outlineLevel="0" max="9001" min="9001" style="70" width="42.57"/>
    <col collapsed="false" customWidth="true" hidden="false" outlineLevel="0" max="9002" min="9002" style="70" width="3.29"/>
    <col collapsed="false" customWidth="true" hidden="false" outlineLevel="0" max="9003" min="9003" style="70" width="8"/>
    <col collapsed="false" customWidth="false" hidden="false" outlineLevel="0" max="9004" min="9004" style="70" width="42.57"/>
    <col collapsed="false" customWidth="true" hidden="false" outlineLevel="0" max="9005" min="9005" style="70" width="3.29"/>
    <col collapsed="false" customWidth="true" hidden="false" outlineLevel="0" max="9006" min="9006" style="70" width="8"/>
    <col collapsed="false" customWidth="false" hidden="false" outlineLevel="0" max="9007" min="9007" style="70" width="42.57"/>
    <col collapsed="false" customWidth="true" hidden="false" outlineLevel="0" max="9008" min="9008" style="70" width="3.29"/>
    <col collapsed="false" customWidth="true" hidden="false" outlineLevel="0" max="9009" min="9009" style="70" width="8"/>
    <col collapsed="false" customWidth="false" hidden="false" outlineLevel="0" max="9010" min="9010" style="70" width="42.57"/>
    <col collapsed="false" customWidth="true" hidden="false" outlineLevel="0" max="9011" min="9011" style="70" width="3.29"/>
    <col collapsed="false" customWidth="true" hidden="false" outlineLevel="0" max="9012" min="9012" style="70" width="8"/>
    <col collapsed="false" customWidth="false" hidden="false" outlineLevel="0" max="9013" min="9013" style="70" width="42.57"/>
    <col collapsed="false" customWidth="true" hidden="false" outlineLevel="0" max="9014" min="9014" style="70" width="3.29"/>
    <col collapsed="false" customWidth="true" hidden="false" outlineLevel="0" max="9015" min="9015" style="70" width="8"/>
    <col collapsed="false" customWidth="false" hidden="false" outlineLevel="0" max="9016" min="9016" style="70" width="42.57"/>
    <col collapsed="false" customWidth="true" hidden="false" outlineLevel="0" max="9017" min="9017" style="70" width="3.29"/>
    <col collapsed="false" customWidth="true" hidden="false" outlineLevel="0" max="9018" min="9018" style="70" width="8"/>
    <col collapsed="false" customWidth="false" hidden="false" outlineLevel="0" max="9019" min="9019" style="70" width="42.57"/>
    <col collapsed="false" customWidth="true" hidden="false" outlineLevel="0" max="9020" min="9020" style="70" width="3.29"/>
    <col collapsed="false" customWidth="true" hidden="false" outlineLevel="0" max="9021" min="9021" style="70" width="8"/>
    <col collapsed="false" customWidth="false" hidden="false" outlineLevel="0" max="9022" min="9022" style="70" width="42.57"/>
    <col collapsed="false" customWidth="true" hidden="false" outlineLevel="0" max="9023" min="9023" style="70" width="3.29"/>
    <col collapsed="false" customWidth="true" hidden="false" outlineLevel="0" max="9024" min="9024" style="70" width="8"/>
    <col collapsed="false" customWidth="false" hidden="false" outlineLevel="0" max="9025" min="9025" style="70" width="42.57"/>
    <col collapsed="false" customWidth="true" hidden="false" outlineLevel="0" max="9026" min="9026" style="70" width="3.29"/>
    <col collapsed="false" customWidth="true" hidden="false" outlineLevel="0" max="9027" min="9027" style="70" width="8"/>
    <col collapsed="false" customWidth="false" hidden="false" outlineLevel="0" max="9028" min="9028" style="70" width="42.57"/>
    <col collapsed="false" customWidth="true" hidden="false" outlineLevel="0" max="9029" min="9029" style="70" width="3.29"/>
    <col collapsed="false" customWidth="true" hidden="false" outlineLevel="0" max="9030" min="9030" style="70" width="8"/>
    <col collapsed="false" customWidth="false" hidden="false" outlineLevel="0" max="9031" min="9031" style="70" width="42.57"/>
    <col collapsed="false" customWidth="true" hidden="false" outlineLevel="0" max="9032" min="9032" style="70" width="3.29"/>
    <col collapsed="false" customWidth="true" hidden="false" outlineLevel="0" max="9033" min="9033" style="70" width="8"/>
    <col collapsed="false" customWidth="false" hidden="false" outlineLevel="0" max="9034" min="9034" style="70" width="42.57"/>
    <col collapsed="false" customWidth="true" hidden="false" outlineLevel="0" max="9035" min="9035" style="70" width="3.29"/>
    <col collapsed="false" customWidth="true" hidden="false" outlineLevel="0" max="9036" min="9036" style="70" width="8"/>
    <col collapsed="false" customWidth="false" hidden="false" outlineLevel="0" max="9037" min="9037" style="70" width="42.57"/>
    <col collapsed="false" customWidth="true" hidden="false" outlineLevel="0" max="9038" min="9038" style="70" width="3.29"/>
    <col collapsed="false" customWidth="true" hidden="false" outlineLevel="0" max="9039" min="9039" style="70" width="8"/>
    <col collapsed="false" customWidth="false" hidden="false" outlineLevel="0" max="9040" min="9040" style="70" width="42.57"/>
    <col collapsed="false" customWidth="true" hidden="false" outlineLevel="0" max="9041" min="9041" style="70" width="3.29"/>
    <col collapsed="false" customWidth="true" hidden="false" outlineLevel="0" max="9042" min="9042" style="70" width="8"/>
    <col collapsed="false" customWidth="false" hidden="false" outlineLevel="0" max="9043" min="9043" style="70" width="42.57"/>
    <col collapsed="false" customWidth="true" hidden="false" outlineLevel="0" max="9044" min="9044" style="70" width="3.29"/>
    <col collapsed="false" customWidth="true" hidden="false" outlineLevel="0" max="9045" min="9045" style="70" width="8"/>
    <col collapsed="false" customWidth="false" hidden="false" outlineLevel="0" max="9046" min="9046" style="70" width="42.57"/>
    <col collapsed="false" customWidth="true" hidden="false" outlineLevel="0" max="9047" min="9047" style="70" width="3.29"/>
    <col collapsed="false" customWidth="true" hidden="false" outlineLevel="0" max="9048" min="9048" style="70" width="8"/>
    <col collapsed="false" customWidth="false" hidden="false" outlineLevel="0" max="9049" min="9049" style="70" width="42.57"/>
    <col collapsed="false" customWidth="true" hidden="false" outlineLevel="0" max="9050" min="9050" style="70" width="3.29"/>
    <col collapsed="false" customWidth="true" hidden="false" outlineLevel="0" max="9051" min="9051" style="70" width="8"/>
    <col collapsed="false" customWidth="false" hidden="false" outlineLevel="0" max="9052" min="9052" style="70" width="42.57"/>
    <col collapsed="false" customWidth="true" hidden="false" outlineLevel="0" max="9053" min="9053" style="70" width="3.29"/>
    <col collapsed="false" customWidth="true" hidden="false" outlineLevel="0" max="9054" min="9054" style="70" width="8"/>
    <col collapsed="false" customWidth="false" hidden="false" outlineLevel="0" max="9055" min="9055" style="70" width="42.57"/>
    <col collapsed="false" customWidth="true" hidden="false" outlineLevel="0" max="9056" min="9056" style="70" width="3.29"/>
    <col collapsed="false" customWidth="true" hidden="false" outlineLevel="0" max="9057" min="9057" style="70" width="8"/>
    <col collapsed="false" customWidth="false" hidden="false" outlineLevel="0" max="9058" min="9058" style="70" width="42.57"/>
    <col collapsed="false" customWidth="true" hidden="false" outlineLevel="0" max="9059" min="9059" style="70" width="3.29"/>
    <col collapsed="false" customWidth="true" hidden="false" outlineLevel="0" max="9060" min="9060" style="70" width="8"/>
    <col collapsed="false" customWidth="false" hidden="false" outlineLevel="0" max="9061" min="9061" style="70" width="42.57"/>
    <col collapsed="false" customWidth="true" hidden="false" outlineLevel="0" max="9062" min="9062" style="70" width="3.29"/>
    <col collapsed="false" customWidth="true" hidden="false" outlineLevel="0" max="9063" min="9063" style="70" width="8"/>
    <col collapsed="false" customWidth="false" hidden="false" outlineLevel="0" max="9064" min="9064" style="70" width="42.57"/>
    <col collapsed="false" customWidth="true" hidden="false" outlineLevel="0" max="9065" min="9065" style="70" width="3.29"/>
    <col collapsed="false" customWidth="true" hidden="false" outlineLevel="0" max="9066" min="9066" style="70" width="8"/>
    <col collapsed="false" customWidth="false" hidden="false" outlineLevel="0" max="9067" min="9067" style="70" width="42.57"/>
    <col collapsed="false" customWidth="true" hidden="false" outlineLevel="0" max="9068" min="9068" style="70" width="3.29"/>
    <col collapsed="false" customWidth="true" hidden="false" outlineLevel="0" max="9069" min="9069" style="70" width="8"/>
    <col collapsed="false" customWidth="false" hidden="false" outlineLevel="0" max="9070" min="9070" style="70" width="42.57"/>
    <col collapsed="false" customWidth="true" hidden="false" outlineLevel="0" max="9071" min="9071" style="70" width="3.29"/>
    <col collapsed="false" customWidth="true" hidden="false" outlineLevel="0" max="9072" min="9072" style="70" width="8"/>
    <col collapsed="false" customWidth="false" hidden="false" outlineLevel="0" max="9073" min="9073" style="70" width="42.57"/>
    <col collapsed="false" customWidth="true" hidden="false" outlineLevel="0" max="9074" min="9074" style="70" width="3.29"/>
    <col collapsed="false" customWidth="true" hidden="false" outlineLevel="0" max="9075" min="9075" style="70" width="8"/>
    <col collapsed="false" customWidth="false" hidden="false" outlineLevel="0" max="9076" min="9076" style="70" width="42.57"/>
    <col collapsed="false" customWidth="true" hidden="false" outlineLevel="0" max="9077" min="9077" style="70" width="3.29"/>
    <col collapsed="false" customWidth="true" hidden="false" outlineLevel="0" max="9078" min="9078" style="70" width="8"/>
    <col collapsed="false" customWidth="false" hidden="false" outlineLevel="0" max="9079" min="9079" style="70" width="42.57"/>
    <col collapsed="false" customWidth="true" hidden="false" outlineLevel="0" max="9080" min="9080" style="70" width="3.29"/>
    <col collapsed="false" customWidth="true" hidden="false" outlineLevel="0" max="9081" min="9081" style="70" width="8"/>
    <col collapsed="false" customWidth="false" hidden="false" outlineLevel="0" max="9082" min="9082" style="70" width="42.57"/>
    <col collapsed="false" customWidth="true" hidden="false" outlineLevel="0" max="9083" min="9083" style="70" width="3.29"/>
    <col collapsed="false" customWidth="true" hidden="false" outlineLevel="0" max="9084" min="9084" style="70" width="8"/>
    <col collapsed="false" customWidth="false" hidden="false" outlineLevel="0" max="9085" min="9085" style="70" width="42.57"/>
    <col collapsed="false" customWidth="true" hidden="false" outlineLevel="0" max="9086" min="9086" style="70" width="3.29"/>
    <col collapsed="false" customWidth="true" hidden="false" outlineLevel="0" max="9087" min="9087" style="70" width="8"/>
    <col collapsed="false" customWidth="false" hidden="false" outlineLevel="0" max="9088" min="9088" style="70" width="42.57"/>
    <col collapsed="false" customWidth="true" hidden="false" outlineLevel="0" max="9089" min="9089" style="70" width="3.29"/>
    <col collapsed="false" customWidth="true" hidden="false" outlineLevel="0" max="9090" min="9090" style="70" width="8"/>
    <col collapsed="false" customWidth="false" hidden="false" outlineLevel="0" max="9091" min="9091" style="70" width="42.57"/>
    <col collapsed="false" customWidth="true" hidden="false" outlineLevel="0" max="9092" min="9092" style="70" width="3.29"/>
    <col collapsed="false" customWidth="true" hidden="false" outlineLevel="0" max="9093" min="9093" style="70" width="8"/>
    <col collapsed="false" customWidth="false" hidden="false" outlineLevel="0" max="9094" min="9094" style="70" width="42.57"/>
    <col collapsed="false" customWidth="true" hidden="false" outlineLevel="0" max="9095" min="9095" style="70" width="3.29"/>
    <col collapsed="false" customWidth="true" hidden="false" outlineLevel="0" max="9096" min="9096" style="70" width="8"/>
    <col collapsed="false" customWidth="false" hidden="false" outlineLevel="0" max="9097" min="9097" style="70" width="42.57"/>
    <col collapsed="false" customWidth="true" hidden="false" outlineLevel="0" max="9098" min="9098" style="70" width="3.29"/>
    <col collapsed="false" customWidth="true" hidden="false" outlineLevel="0" max="9099" min="9099" style="70" width="8"/>
    <col collapsed="false" customWidth="false" hidden="false" outlineLevel="0" max="9100" min="9100" style="70" width="42.57"/>
    <col collapsed="false" customWidth="true" hidden="false" outlineLevel="0" max="9101" min="9101" style="70" width="3.29"/>
    <col collapsed="false" customWidth="true" hidden="false" outlineLevel="0" max="9102" min="9102" style="70" width="8"/>
    <col collapsed="false" customWidth="false" hidden="false" outlineLevel="0" max="9103" min="9103" style="70" width="42.57"/>
    <col collapsed="false" customWidth="true" hidden="false" outlineLevel="0" max="9104" min="9104" style="70" width="3.29"/>
    <col collapsed="false" customWidth="true" hidden="false" outlineLevel="0" max="9105" min="9105" style="70" width="8"/>
    <col collapsed="false" customWidth="false" hidden="false" outlineLevel="0" max="9106" min="9106" style="70" width="42.57"/>
    <col collapsed="false" customWidth="true" hidden="false" outlineLevel="0" max="9107" min="9107" style="70" width="3.29"/>
    <col collapsed="false" customWidth="true" hidden="false" outlineLevel="0" max="9108" min="9108" style="70" width="8"/>
    <col collapsed="false" customWidth="false" hidden="false" outlineLevel="0" max="9109" min="9109" style="70" width="42.57"/>
    <col collapsed="false" customWidth="true" hidden="false" outlineLevel="0" max="9110" min="9110" style="70" width="3.29"/>
    <col collapsed="false" customWidth="true" hidden="false" outlineLevel="0" max="9111" min="9111" style="70" width="8"/>
    <col collapsed="false" customWidth="false" hidden="false" outlineLevel="0" max="9112" min="9112" style="70" width="42.57"/>
    <col collapsed="false" customWidth="true" hidden="false" outlineLevel="0" max="9113" min="9113" style="70" width="3.29"/>
    <col collapsed="false" customWidth="true" hidden="false" outlineLevel="0" max="9114" min="9114" style="70" width="8"/>
    <col collapsed="false" customWidth="false" hidden="false" outlineLevel="0" max="9115" min="9115" style="70" width="42.57"/>
    <col collapsed="false" customWidth="true" hidden="false" outlineLevel="0" max="9116" min="9116" style="70" width="3.29"/>
    <col collapsed="false" customWidth="true" hidden="false" outlineLevel="0" max="9117" min="9117" style="70" width="8"/>
    <col collapsed="false" customWidth="false" hidden="false" outlineLevel="0" max="9118" min="9118" style="70" width="42.57"/>
    <col collapsed="false" customWidth="true" hidden="false" outlineLevel="0" max="9119" min="9119" style="70" width="3.29"/>
    <col collapsed="false" customWidth="true" hidden="false" outlineLevel="0" max="9120" min="9120" style="70" width="8"/>
    <col collapsed="false" customWidth="false" hidden="false" outlineLevel="0" max="9121" min="9121" style="70" width="42.57"/>
    <col collapsed="false" customWidth="true" hidden="false" outlineLevel="0" max="9122" min="9122" style="70" width="3.29"/>
    <col collapsed="false" customWidth="true" hidden="false" outlineLevel="0" max="9123" min="9123" style="70" width="8"/>
    <col collapsed="false" customWidth="false" hidden="false" outlineLevel="0" max="9124" min="9124" style="70" width="42.57"/>
    <col collapsed="false" customWidth="true" hidden="false" outlineLevel="0" max="9125" min="9125" style="70" width="3.29"/>
    <col collapsed="false" customWidth="true" hidden="false" outlineLevel="0" max="9126" min="9126" style="70" width="8"/>
    <col collapsed="false" customWidth="false" hidden="false" outlineLevel="0" max="9127" min="9127" style="70" width="42.57"/>
    <col collapsed="false" customWidth="true" hidden="false" outlineLevel="0" max="9128" min="9128" style="70" width="3.29"/>
    <col collapsed="false" customWidth="true" hidden="false" outlineLevel="0" max="9129" min="9129" style="70" width="8"/>
    <col collapsed="false" customWidth="false" hidden="false" outlineLevel="0" max="9130" min="9130" style="70" width="42.57"/>
    <col collapsed="false" customWidth="true" hidden="false" outlineLevel="0" max="9131" min="9131" style="70" width="3.29"/>
    <col collapsed="false" customWidth="true" hidden="false" outlineLevel="0" max="9132" min="9132" style="70" width="8"/>
    <col collapsed="false" customWidth="false" hidden="false" outlineLevel="0" max="9133" min="9133" style="70" width="42.57"/>
    <col collapsed="false" customWidth="true" hidden="false" outlineLevel="0" max="9134" min="9134" style="70" width="3.29"/>
    <col collapsed="false" customWidth="true" hidden="false" outlineLevel="0" max="9135" min="9135" style="70" width="8"/>
    <col collapsed="false" customWidth="false" hidden="false" outlineLevel="0" max="9136" min="9136" style="70" width="42.57"/>
    <col collapsed="false" customWidth="true" hidden="false" outlineLevel="0" max="9137" min="9137" style="70" width="3.29"/>
    <col collapsed="false" customWidth="true" hidden="false" outlineLevel="0" max="9138" min="9138" style="70" width="8"/>
    <col collapsed="false" customWidth="false" hidden="false" outlineLevel="0" max="9139" min="9139" style="70" width="42.57"/>
    <col collapsed="false" customWidth="true" hidden="false" outlineLevel="0" max="9140" min="9140" style="70" width="3.29"/>
    <col collapsed="false" customWidth="true" hidden="false" outlineLevel="0" max="9141" min="9141" style="70" width="8"/>
    <col collapsed="false" customWidth="false" hidden="false" outlineLevel="0" max="9142" min="9142" style="70" width="42.57"/>
    <col collapsed="false" customWidth="true" hidden="false" outlineLevel="0" max="9143" min="9143" style="70" width="3.29"/>
    <col collapsed="false" customWidth="true" hidden="false" outlineLevel="0" max="9144" min="9144" style="70" width="8"/>
    <col collapsed="false" customWidth="false" hidden="false" outlineLevel="0" max="9145" min="9145" style="70" width="42.57"/>
    <col collapsed="false" customWidth="true" hidden="false" outlineLevel="0" max="9146" min="9146" style="70" width="3.29"/>
    <col collapsed="false" customWidth="true" hidden="false" outlineLevel="0" max="9147" min="9147" style="70" width="8"/>
    <col collapsed="false" customWidth="false" hidden="false" outlineLevel="0" max="9148" min="9148" style="70" width="42.57"/>
    <col collapsed="false" customWidth="true" hidden="false" outlineLevel="0" max="9149" min="9149" style="70" width="3.29"/>
    <col collapsed="false" customWidth="true" hidden="false" outlineLevel="0" max="9150" min="9150" style="70" width="8"/>
    <col collapsed="false" customWidth="false" hidden="false" outlineLevel="0" max="9151" min="9151" style="70" width="42.57"/>
    <col collapsed="false" customWidth="true" hidden="false" outlineLevel="0" max="9152" min="9152" style="70" width="3.29"/>
    <col collapsed="false" customWidth="true" hidden="false" outlineLevel="0" max="9153" min="9153" style="70" width="8"/>
    <col collapsed="false" customWidth="false" hidden="false" outlineLevel="0" max="9154" min="9154" style="70" width="42.57"/>
    <col collapsed="false" customWidth="true" hidden="false" outlineLevel="0" max="9155" min="9155" style="70" width="3.29"/>
    <col collapsed="false" customWidth="true" hidden="false" outlineLevel="0" max="9156" min="9156" style="70" width="8"/>
    <col collapsed="false" customWidth="false" hidden="false" outlineLevel="0" max="9157" min="9157" style="70" width="42.57"/>
    <col collapsed="false" customWidth="true" hidden="false" outlineLevel="0" max="9158" min="9158" style="70" width="3.29"/>
    <col collapsed="false" customWidth="true" hidden="false" outlineLevel="0" max="9159" min="9159" style="70" width="8"/>
    <col collapsed="false" customWidth="false" hidden="false" outlineLevel="0" max="9160" min="9160" style="70" width="42.57"/>
    <col collapsed="false" customWidth="true" hidden="false" outlineLevel="0" max="9161" min="9161" style="70" width="3.29"/>
    <col collapsed="false" customWidth="true" hidden="false" outlineLevel="0" max="9162" min="9162" style="70" width="8"/>
    <col collapsed="false" customWidth="false" hidden="false" outlineLevel="0" max="9163" min="9163" style="70" width="42.57"/>
    <col collapsed="false" customWidth="true" hidden="false" outlineLevel="0" max="9164" min="9164" style="70" width="3.29"/>
    <col collapsed="false" customWidth="true" hidden="false" outlineLevel="0" max="9165" min="9165" style="70" width="8"/>
    <col collapsed="false" customWidth="false" hidden="false" outlineLevel="0" max="9166" min="9166" style="70" width="42.57"/>
    <col collapsed="false" customWidth="true" hidden="false" outlineLevel="0" max="9167" min="9167" style="70" width="3.29"/>
    <col collapsed="false" customWidth="true" hidden="false" outlineLevel="0" max="9168" min="9168" style="70" width="8"/>
    <col collapsed="false" customWidth="false" hidden="false" outlineLevel="0" max="9169" min="9169" style="70" width="42.57"/>
    <col collapsed="false" customWidth="true" hidden="false" outlineLevel="0" max="9170" min="9170" style="70" width="3.29"/>
    <col collapsed="false" customWidth="true" hidden="false" outlineLevel="0" max="9171" min="9171" style="70" width="8"/>
    <col collapsed="false" customWidth="false" hidden="false" outlineLevel="0" max="9172" min="9172" style="70" width="42.57"/>
    <col collapsed="false" customWidth="true" hidden="false" outlineLevel="0" max="9173" min="9173" style="70" width="3.29"/>
    <col collapsed="false" customWidth="true" hidden="false" outlineLevel="0" max="9174" min="9174" style="70" width="8"/>
    <col collapsed="false" customWidth="false" hidden="false" outlineLevel="0" max="9175" min="9175" style="70" width="42.57"/>
    <col collapsed="false" customWidth="true" hidden="false" outlineLevel="0" max="9176" min="9176" style="70" width="3.29"/>
    <col collapsed="false" customWidth="true" hidden="false" outlineLevel="0" max="9177" min="9177" style="70" width="8"/>
    <col collapsed="false" customWidth="false" hidden="false" outlineLevel="0" max="9178" min="9178" style="70" width="42.57"/>
    <col collapsed="false" customWidth="true" hidden="false" outlineLevel="0" max="9179" min="9179" style="70" width="3.29"/>
    <col collapsed="false" customWidth="true" hidden="false" outlineLevel="0" max="9180" min="9180" style="70" width="8"/>
    <col collapsed="false" customWidth="false" hidden="false" outlineLevel="0" max="9181" min="9181" style="70" width="42.57"/>
    <col collapsed="false" customWidth="true" hidden="false" outlineLevel="0" max="9182" min="9182" style="70" width="3.29"/>
    <col collapsed="false" customWidth="true" hidden="false" outlineLevel="0" max="9183" min="9183" style="70" width="8"/>
    <col collapsed="false" customWidth="false" hidden="false" outlineLevel="0" max="9184" min="9184" style="70" width="42.57"/>
    <col collapsed="false" customWidth="true" hidden="false" outlineLevel="0" max="9185" min="9185" style="70" width="3.29"/>
    <col collapsed="false" customWidth="true" hidden="false" outlineLevel="0" max="9186" min="9186" style="70" width="8"/>
    <col collapsed="false" customWidth="false" hidden="false" outlineLevel="0" max="9187" min="9187" style="70" width="42.57"/>
    <col collapsed="false" customWidth="true" hidden="false" outlineLevel="0" max="9188" min="9188" style="70" width="3.29"/>
    <col collapsed="false" customWidth="true" hidden="false" outlineLevel="0" max="9189" min="9189" style="70" width="8"/>
    <col collapsed="false" customWidth="false" hidden="false" outlineLevel="0" max="9190" min="9190" style="70" width="42.57"/>
    <col collapsed="false" customWidth="true" hidden="false" outlineLevel="0" max="9191" min="9191" style="70" width="3.29"/>
    <col collapsed="false" customWidth="true" hidden="false" outlineLevel="0" max="9192" min="9192" style="70" width="8"/>
    <col collapsed="false" customWidth="false" hidden="false" outlineLevel="0" max="9193" min="9193" style="70" width="42.57"/>
    <col collapsed="false" customWidth="true" hidden="false" outlineLevel="0" max="9194" min="9194" style="70" width="3.29"/>
    <col collapsed="false" customWidth="true" hidden="false" outlineLevel="0" max="9195" min="9195" style="70" width="8"/>
    <col collapsed="false" customWidth="false" hidden="false" outlineLevel="0" max="9196" min="9196" style="70" width="42.57"/>
    <col collapsed="false" customWidth="true" hidden="false" outlineLevel="0" max="9197" min="9197" style="70" width="3.29"/>
    <col collapsed="false" customWidth="true" hidden="false" outlineLevel="0" max="9198" min="9198" style="70" width="8"/>
    <col collapsed="false" customWidth="false" hidden="false" outlineLevel="0" max="9199" min="9199" style="70" width="42.57"/>
    <col collapsed="false" customWidth="true" hidden="false" outlineLevel="0" max="9200" min="9200" style="70" width="3.29"/>
    <col collapsed="false" customWidth="true" hidden="false" outlineLevel="0" max="9201" min="9201" style="70" width="8"/>
    <col collapsed="false" customWidth="false" hidden="false" outlineLevel="0" max="9202" min="9202" style="70" width="42.57"/>
    <col collapsed="false" customWidth="true" hidden="false" outlineLevel="0" max="9203" min="9203" style="70" width="3.29"/>
    <col collapsed="false" customWidth="true" hidden="false" outlineLevel="0" max="9204" min="9204" style="70" width="8"/>
    <col collapsed="false" customWidth="false" hidden="false" outlineLevel="0" max="9205" min="9205" style="70" width="42.57"/>
    <col collapsed="false" customWidth="true" hidden="false" outlineLevel="0" max="9206" min="9206" style="70" width="3.29"/>
    <col collapsed="false" customWidth="true" hidden="false" outlineLevel="0" max="9207" min="9207" style="70" width="8"/>
    <col collapsed="false" customWidth="false" hidden="false" outlineLevel="0" max="9208" min="9208" style="70" width="42.57"/>
    <col collapsed="false" customWidth="true" hidden="false" outlineLevel="0" max="9209" min="9209" style="70" width="3.29"/>
    <col collapsed="false" customWidth="true" hidden="false" outlineLevel="0" max="9210" min="9210" style="70" width="8"/>
    <col collapsed="false" customWidth="false" hidden="false" outlineLevel="0" max="9211" min="9211" style="70" width="42.57"/>
    <col collapsed="false" customWidth="true" hidden="false" outlineLevel="0" max="9212" min="9212" style="70" width="3.29"/>
    <col collapsed="false" customWidth="true" hidden="false" outlineLevel="0" max="9213" min="9213" style="70" width="8"/>
    <col collapsed="false" customWidth="false" hidden="false" outlineLevel="0" max="9214" min="9214" style="70" width="42.57"/>
    <col collapsed="false" customWidth="true" hidden="false" outlineLevel="0" max="9215" min="9215" style="70" width="3.29"/>
    <col collapsed="false" customWidth="true" hidden="false" outlineLevel="0" max="9216" min="9216" style="70" width="8"/>
    <col collapsed="false" customWidth="false" hidden="false" outlineLevel="0" max="9217" min="9217" style="70" width="42.57"/>
    <col collapsed="false" customWidth="true" hidden="false" outlineLevel="0" max="9218" min="9218" style="70" width="3.29"/>
    <col collapsed="false" customWidth="true" hidden="false" outlineLevel="0" max="9219" min="9219" style="70" width="8"/>
    <col collapsed="false" customWidth="false" hidden="false" outlineLevel="0" max="9220" min="9220" style="70" width="42.57"/>
    <col collapsed="false" customWidth="true" hidden="false" outlineLevel="0" max="9221" min="9221" style="70" width="3.29"/>
    <col collapsed="false" customWidth="true" hidden="false" outlineLevel="0" max="9222" min="9222" style="70" width="8"/>
    <col collapsed="false" customWidth="false" hidden="false" outlineLevel="0" max="9223" min="9223" style="70" width="42.57"/>
    <col collapsed="false" customWidth="true" hidden="false" outlineLevel="0" max="9224" min="9224" style="70" width="3.29"/>
    <col collapsed="false" customWidth="true" hidden="false" outlineLevel="0" max="9225" min="9225" style="70" width="8"/>
    <col collapsed="false" customWidth="false" hidden="false" outlineLevel="0" max="9226" min="9226" style="70" width="42.57"/>
    <col collapsed="false" customWidth="true" hidden="false" outlineLevel="0" max="9227" min="9227" style="70" width="3.29"/>
    <col collapsed="false" customWidth="true" hidden="false" outlineLevel="0" max="9228" min="9228" style="70" width="8"/>
    <col collapsed="false" customWidth="false" hidden="false" outlineLevel="0" max="9229" min="9229" style="70" width="42.57"/>
    <col collapsed="false" customWidth="true" hidden="false" outlineLevel="0" max="9230" min="9230" style="70" width="3.29"/>
    <col collapsed="false" customWidth="true" hidden="false" outlineLevel="0" max="9231" min="9231" style="70" width="8"/>
    <col collapsed="false" customWidth="false" hidden="false" outlineLevel="0" max="9232" min="9232" style="70" width="42.57"/>
    <col collapsed="false" customWidth="true" hidden="false" outlineLevel="0" max="9233" min="9233" style="70" width="3.29"/>
    <col collapsed="false" customWidth="true" hidden="false" outlineLevel="0" max="9234" min="9234" style="70" width="8"/>
    <col collapsed="false" customWidth="false" hidden="false" outlineLevel="0" max="9235" min="9235" style="70" width="42.57"/>
    <col collapsed="false" customWidth="true" hidden="false" outlineLevel="0" max="9236" min="9236" style="70" width="3.29"/>
    <col collapsed="false" customWidth="true" hidden="false" outlineLevel="0" max="9237" min="9237" style="70" width="8"/>
    <col collapsed="false" customWidth="false" hidden="false" outlineLevel="0" max="9238" min="9238" style="70" width="42.57"/>
    <col collapsed="false" customWidth="true" hidden="false" outlineLevel="0" max="9239" min="9239" style="70" width="3.29"/>
    <col collapsed="false" customWidth="true" hidden="false" outlineLevel="0" max="9240" min="9240" style="70" width="8"/>
    <col collapsed="false" customWidth="false" hidden="false" outlineLevel="0" max="9241" min="9241" style="70" width="42.57"/>
    <col collapsed="false" customWidth="true" hidden="false" outlineLevel="0" max="9242" min="9242" style="70" width="3.29"/>
    <col collapsed="false" customWidth="true" hidden="false" outlineLevel="0" max="9243" min="9243" style="70" width="8"/>
    <col collapsed="false" customWidth="false" hidden="false" outlineLevel="0" max="9244" min="9244" style="70" width="42.57"/>
    <col collapsed="false" customWidth="true" hidden="false" outlineLevel="0" max="9245" min="9245" style="70" width="3.29"/>
    <col collapsed="false" customWidth="true" hidden="false" outlineLevel="0" max="9246" min="9246" style="70" width="8"/>
    <col collapsed="false" customWidth="false" hidden="false" outlineLevel="0" max="9247" min="9247" style="70" width="42.57"/>
    <col collapsed="false" customWidth="true" hidden="false" outlineLevel="0" max="9248" min="9248" style="70" width="3.29"/>
    <col collapsed="false" customWidth="true" hidden="false" outlineLevel="0" max="9249" min="9249" style="70" width="8"/>
    <col collapsed="false" customWidth="false" hidden="false" outlineLevel="0" max="9250" min="9250" style="70" width="42.57"/>
    <col collapsed="false" customWidth="true" hidden="false" outlineLevel="0" max="9251" min="9251" style="70" width="3.29"/>
    <col collapsed="false" customWidth="true" hidden="false" outlineLevel="0" max="9252" min="9252" style="70" width="8"/>
    <col collapsed="false" customWidth="false" hidden="false" outlineLevel="0" max="9253" min="9253" style="70" width="42.57"/>
    <col collapsed="false" customWidth="true" hidden="false" outlineLevel="0" max="9254" min="9254" style="70" width="3.29"/>
    <col collapsed="false" customWidth="true" hidden="false" outlineLevel="0" max="9255" min="9255" style="70" width="8"/>
    <col collapsed="false" customWidth="false" hidden="false" outlineLevel="0" max="9256" min="9256" style="70" width="42.57"/>
    <col collapsed="false" customWidth="true" hidden="false" outlineLevel="0" max="9257" min="9257" style="70" width="3.29"/>
    <col collapsed="false" customWidth="true" hidden="false" outlineLevel="0" max="9258" min="9258" style="70" width="8"/>
    <col collapsed="false" customWidth="false" hidden="false" outlineLevel="0" max="9259" min="9259" style="70" width="42.57"/>
    <col collapsed="false" customWidth="true" hidden="false" outlineLevel="0" max="9260" min="9260" style="70" width="3.29"/>
    <col collapsed="false" customWidth="true" hidden="false" outlineLevel="0" max="9261" min="9261" style="70" width="8"/>
    <col collapsed="false" customWidth="false" hidden="false" outlineLevel="0" max="9262" min="9262" style="70" width="42.57"/>
    <col collapsed="false" customWidth="true" hidden="false" outlineLevel="0" max="9263" min="9263" style="70" width="3.29"/>
    <col collapsed="false" customWidth="true" hidden="false" outlineLevel="0" max="9264" min="9264" style="70" width="8"/>
    <col collapsed="false" customWidth="false" hidden="false" outlineLevel="0" max="9265" min="9265" style="70" width="42.57"/>
    <col collapsed="false" customWidth="true" hidden="false" outlineLevel="0" max="9266" min="9266" style="70" width="3.29"/>
    <col collapsed="false" customWidth="true" hidden="false" outlineLevel="0" max="9267" min="9267" style="70" width="8"/>
    <col collapsed="false" customWidth="false" hidden="false" outlineLevel="0" max="9268" min="9268" style="70" width="42.57"/>
    <col collapsed="false" customWidth="true" hidden="false" outlineLevel="0" max="9269" min="9269" style="70" width="3.29"/>
    <col collapsed="false" customWidth="true" hidden="false" outlineLevel="0" max="9270" min="9270" style="70" width="8"/>
    <col collapsed="false" customWidth="false" hidden="false" outlineLevel="0" max="9271" min="9271" style="70" width="42.57"/>
    <col collapsed="false" customWidth="true" hidden="false" outlineLevel="0" max="9272" min="9272" style="70" width="3.29"/>
    <col collapsed="false" customWidth="true" hidden="false" outlineLevel="0" max="9273" min="9273" style="70" width="8"/>
    <col collapsed="false" customWidth="false" hidden="false" outlineLevel="0" max="9274" min="9274" style="70" width="42.57"/>
    <col collapsed="false" customWidth="true" hidden="false" outlineLevel="0" max="9275" min="9275" style="70" width="3.29"/>
    <col collapsed="false" customWidth="true" hidden="false" outlineLevel="0" max="9276" min="9276" style="70" width="8"/>
    <col collapsed="false" customWidth="false" hidden="false" outlineLevel="0" max="9277" min="9277" style="70" width="42.57"/>
    <col collapsed="false" customWidth="true" hidden="false" outlineLevel="0" max="9278" min="9278" style="70" width="3.29"/>
    <col collapsed="false" customWidth="true" hidden="false" outlineLevel="0" max="9279" min="9279" style="70" width="8"/>
    <col collapsed="false" customWidth="false" hidden="false" outlineLevel="0" max="9280" min="9280" style="70" width="42.57"/>
    <col collapsed="false" customWidth="true" hidden="false" outlineLevel="0" max="9281" min="9281" style="70" width="3.29"/>
    <col collapsed="false" customWidth="true" hidden="false" outlineLevel="0" max="9282" min="9282" style="70" width="8"/>
    <col collapsed="false" customWidth="false" hidden="false" outlineLevel="0" max="9283" min="9283" style="70" width="42.57"/>
    <col collapsed="false" customWidth="true" hidden="false" outlineLevel="0" max="9284" min="9284" style="70" width="3.29"/>
    <col collapsed="false" customWidth="true" hidden="false" outlineLevel="0" max="9285" min="9285" style="70" width="8"/>
    <col collapsed="false" customWidth="false" hidden="false" outlineLevel="0" max="9286" min="9286" style="70" width="42.57"/>
    <col collapsed="false" customWidth="true" hidden="false" outlineLevel="0" max="9287" min="9287" style="70" width="3.29"/>
    <col collapsed="false" customWidth="true" hidden="false" outlineLevel="0" max="9288" min="9288" style="70" width="8"/>
    <col collapsed="false" customWidth="false" hidden="false" outlineLevel="0" max="9289" min="9289" style="70" width="42.57"/>
    <col collapsed="false" customWidth="true" hidden="false" outlineLevel="0" max="9290" min="9290" style="70" width="3.29"/>
    <col collapsed="false" customWidth="true" hidden="false" outlineLevel="0" max="9291" min="9291" style="70" width="8"/>
    <col collapsed="false" customWidth="false" hidden="false" outlineLevel="0" max="9292" min="9292" style="70" width="42.57"/>
    <col collapsed="false" customWidth="true" hidden="false" outlineLevel="0" max="9293" min="9293" style="70" width="3.29"/>
    <col collapsed="false" customWidth="true" hidden="false" outlineLevel="0" max="9294" min="9294" style="70" width="8"/>
    <col collapsed="false" customWidth="false" hidden="false" outlineLevel="0" max="9295" min="9295" style="70" width="42.57"/>
    <col collapsed="false" customWidth="true" hidden="false" outlineLevel="0" max="9296" min="9296" style="70" width="3.29"/>
    <col collapsed="false" customWidth="true" hidden="false" outlineLevel="0" max="9297" min="9297" style="70" width="8"/>
    <col collapsed="false" customWidth="false" hidden="false" outlineLevel="0" max="9298" min="9298" style="70" width="42.57"/>
    <col collapsed="false" customWidth="true" hidden="false" outlineLevel="0" max="9299" min="9299" style="70" width="3.29"/>
    <col collapsed="false" customWidth="true" hidden="false" outlineLevel="0" max="9300" min="9300" style="70" width="8"/>
    <col collapsed="false" customWidth="false" hidden="false" outlineLevel="0" max="9301" min="9301" style="70" width="42.57"/>
    <col collapsed="false" customWidth="true" hidden="false" outlineLevel="0" max="9302" min="9302" style="70" width="3.29"/>
    <col collapsed="false" customWidth="true" hidden="false" outlineLevel="0" max="9303" min="9303" style="70" width="8"/>
    <col collapsed="false" customWidth="false" hidden="false" outlineLevel="0" max="9304" min="9304" style="70" width="42.57"/>
    <col collapsed="false" customWidth="true" hidden="false" outlineLevel="0" max="9305" min="9305" style="70" width="3.29"/>
    <col collapsed="false" customWidth="true" hidden="false" outlineLevel="0" max="9306" min="9306" style="70" width="8"/>
    <col collapsed="false" customWidth="false" hidden="false" outlineLevel="0" max="9307" min="9307" style="70" width="42.57"/>
    <col collapsed="false" customWidth="true" hidden="false" outlineLevel="0" max="9308" min="9308" style="70" width="3.29"/>
    <col collapsed="false" customWidth="true" hidden="false" outlineLevel="0" max="9309" min="9309" style="70" width="8"/>
    <col collapsed="false" customWidth="false" hidden="false" outlineLevel="0" max="9310" min="9310" style="70" width="42.57"/>
    <col collapsed="false" customWidth="true" hidden="false" outlineLevel="0" max="9311" min="9311" style="70" width="3.29"/>
    <col collapsed="false" customWidth="true" hidden="false" outlineLevel="0" max="9312" min="9312" style="70" width="8"/>
    <col collapsed="false" customWidth="false" hidden="false" outlineLevel="0" max="9313" min="9313" style="70" width="42.57"/>
    <col collapsed="false" customWidth="true" hidden="false" outlineLevel="0" max="9314" min="9314" style="70" width="3.29"/>
    <col collapsed="false" customWidth="true" hidden="false" outlineLevel="0" max="9315" min="9315" style="70" width="8"/>
    <col collapsed="false" customWidth="false" hidden="false" outlineLevel="0" max="9316" min="9316" style="70" width="42.57"/>
    <col collapsed="false" customWidth="true" hidden="false" outlineLevel="0" max="9317" min="9317" style="70" width="3.29"/>
    <col collapsed="false" customWidth="true" hidden="false" outlineLevel="0" max="9318" min="9318" style="70" width="8"/>
    <col collapsed="false" customWidth="false" hidden="false" outlineLevel="0" max="9319" min="9319" style="70" width="42.57"/>
    <col collapsed="false" customWidth="true" hidden="false" outlineLevel="0" max="9320" min="9320" style="70" width="3.29"/>
    <col collapsed="false" customWidth="true" hidden="false" outlineLevel="0" max="9321" min="9321" style="70" width="8"/>
    <col collapsed="false" customWidth="false" hidden="false" outlineLevel="0" max="9322" min="9322" style="70" width="42.57"/>
    <col collapsed="false" customWidth="true" hidden="false" outlineLevel="0" max="9323" min="9323" style="70" width="3.29"/>
    <col collapsed="false" customWidth="true" hidden="false" outlineLevel="0" max="9324" min="9324" style="70" width="8"/>
    <col collapsed="false" customWidth="false" hidden="false" outlineLevel="0" max="9325" min="9325" style="70" width="42.57"/>
    <col collapsed="false" customWidth="true" hidden="false" outlineLevel="0" max="9326" min="9326" style="70" width="3.29"/>
    <col collapsed="false" customWidth="true" hidden="false" outlineLevel="0" max="9327" min="9327" style="70" width="8"/>
    <col collapsed="false" customWidth="false" hidden="false" outlineLevel="0" max="9328" min="9328" style="70" width="42.57"/>
    <col collapsed="false" customWidth="true" hidden="false" outlineLevel="0" max="9329" min="9329" style="70" width="3.29"/>
    <col collapsed="false" customWidth="true" hidden="false" outlineLevel="0" max="9330" min="9330" style="70" width="8"/>
    <col collapsed="false" customWidth="false" hidden="false" outlineLevel="0" max="9331" min="9331" style="70" width="42.57"/>
    <col collapsed="false" customWidth="true" hidden="false" outlineLevel="0" max="9332" min="9332" style="70" width="3.29"/>
    <col collapsed="false" customWidth="true" hidden="false" outlineLevel="0" max="9333" min="9333" style="70" width="8"/>
    <col collapsed="false" customWidth="false" hidden="false" outlineLevel="0" max="9334" min="9334" style="70" width="42.57"/>
    <col collapsed="false" customWidth="true" hidden="false" outlineLevel="0" max="9335" min="9335" style="70" width="3.29"/>
    <col collapsed="false" customWidth="true" hidden="false" outlineLevel="0" max="9336" min="9336" style="70" width="8"/>
    <col collapsed="false" customWidth="false" hidden="false" outlineLevel="0" max="9337" min="9337" style="70" width="42.57"/>
    <col collapsed="false" customWidth="true" hidden="false" outlineLevel="0" max="9338" min="9338" style="70" width="3.29"/>
    <col collapsed="false" customWidth="true" hidden="false" outlineLevel="0" max="9339" min="9339" style="70" width="8"/>
    <col collapsed="false" customWidth="false" hidden="false" outlineLevel="0" max="9340" min="9340" style="70" width="42.57"/>
    <col collapsed="false" customWidth="true" hidden="false" outlineLevel="0" max="9341" min="9341" style="70" width="3.29"/>
    <col collapsed="false" customWidth="true" hidden="false" outlineLevel="0" max="9342" min="9342" style="70" width="8"/>
    <col collapsed="false" customWidth="false" hidden="false" outlineLevel="0" max="9343" min="9343" style="70" width="42.57"/>
    <col collapsed="false" customWidth="true" hidden="false" outlineLevel="0" max="9344" min="9344" style="70" width="3.29"/>
    <col collapsed="false" customWidth="true" hidden="false" outlineLevel="0" max="9345" min="9345" style="70" width="8"/>
    <col collapsed="false" customWidth="false" hidden="false" outlineLevel="0" max="9346" min="9346" style="70" width="42.57"/>
    <col collapsed="false" customWidth="true" hidden="false" outlineLevel="0" max="9347" min="9347" style="70" width="3.29"/>
    <col collapsed="false" customWidth="true" hidden="false" outlineLevel="0" max="9348" min="9348" style="70" width="8"/>
    <col collapsed="false" customWidth="false" hidden="false" outlineLevel="0" max="9349" min="9349" style="70" width="42.57"/>
    <col collapsed="false" customWidth="true" hidden="false" outlineLevel="0" max="9350" min="9350" style="70" width="3.29"/>
    <col collapsed="false" customWidth="true" hidden="false" outlineLevel="0" max="9351" min="9351" style="70" width="8"/>
    <col collapsed="false" customWidth="false" hidden="false" outlineLevel="0" max="9352" min="9352" style="70" width="42.57"/>
    <col collapsed="false" customWidth="true" hidden="false" outlineLevel="0" max="9353" min="9353" style="70" width="3.29"/>
    <col collapsed="false" customWidth="true" hidden="false" outlineLevel="0" max="9354" min="9354" style="70" width="8"/>
    <col collapsed="false" customWidth="false" hidden="false" outlineLevel="0" max="9355" min="9355" style="70" width="42.57"/>
    <col collapsed="false" customWidth="true" hidden="false" outlineLevel="0" max="9356" min="9356" style="70" width="3.29"/>
    <col collapsed="false" customWidth="true" hidden="false" outlineLevel="0" max="9357" min="9357" style="70" width="8"/>
    <col collapsed="false" customWidth="false" hidden="false" outlineLevel="0" max="9358" min="9358" style="70" width="42.57"/>
    <col collapsed="false" customWidth="true" hidden="false" outlineLevel="0" max="9359" min="9359" style="70" width="3.29"/>
    <col collapsed="false" customWidth="true" hidden="false" outlineLevel="0" max="9360" min="9360" style="70" width="8"/>
    <col collapsed="false" customWidth="false" hidden="false" outlineLevel="0" max="9361" min="9361" style="70" width="42.57"/>
    <col collapsed="false" customWidth="true" hidden="false" outlineLevel="0" max="9362" min="9362" style="70" width="3.29"/>
    <col collapsed="false" customWidth="true" hidden="false" outlineLevel="0" max="9363" min="9363" style="70" width="8"/>
    <col collapsed="false" customWidth="false" hidden="false" outlineLevel="0" max="9364" min="9364" style="70" width="42.57"/>
    <col collapsed="false" customWidth="true" hidden="false" outlineLevel="0" max="9365" min="9365" style="70" width="3.29"/>
    <col collapsed="false" customWidth="true" hidden="false" outlineLevel="0" max="9366" min="9366" style="70" width="8"/>
    <col collapsed="false" customWidth="false" hidden="false" outlineLevel="0" max="9367" min="9367" style="70" width="42.57"/>
    <col collapsed="false" customWidth="true" hidden="false" outlineLevel="0" max="9368" min="9368" style="70" width="3.29"/>
    <col collapsed="false" customWidth="true" hidden="false" outlineLevel="0" max="9369" min="9369" style="70" width="8"/>
    <col collapsed="false" customWidth="false" hidden="false" outlineLevel="0" max="9370" min="9370" style="70" width="42.57"/>
    <col collapsed="false" customWidth="true" hidden="false" outlineLevel="0" max="9371" min="9371" style="70" width="3.29"/>
    <col collapsed="false" customWidth="true" hidden="false" outlineLevel="0" max="9372" min="9372" style="70" width="8"/>
    <col collapsed="false" customWidth="false" hidden="false" outlineLevel="0" max="9373" min="9373" style="70" width="42.57"/>
    <col collapsed="false" customWidth="true" hidden="false" outlineLevel="0" max="9374" min="9374" style="70" width="3.29"/>
    <col collapsed="false" customWidth="true" hidden="false" outlineLevel="0" max="9375" min="9375" style="70" width="8"/>
    <col collapsed="false" customWidth="false" hidden="false" outlineLevel="0" max="9376" min="9376" style="70" width="42.57"/>
    <col collapsed="false" customWidth="true" hidden="false" outlineLevel="0" max="9377" min="9377" style="70" width="3.29"/>
    <col collapsed="false" customWidth="true" hidden="false" outlineLevel="0" max="9378" min="9378" style="70" width="8"/>
    <col collapsed="false" customWidth="false" hidden="false" outlineLevel="0" max="9379" min="9379" style="70" width="42.57"/>
    <col collapsed="false" customWidth="true" hidden="false" outlineLevel="0" max="9380" min="9380" style="70" width="3.29"/>
    <col collapsed="false" customWidth="true" hidden="false" outlineLevel="0" max="9381" min="9381" style="70" width="8"/>
    <col collapsed="false" customWidth="false" hidden="false" outlineLevel="0" max="9382" min="9382" style="70" width="42.57"/>
    <col collapsed="false" customWidth="true" hidden="false" outlineLevel="0" max="9383" min="9383" style="70" width="3.29"/>
    <col collapsed="false" customWidth="true" hidden="false" outlineLevel="0" max="9384" min="9384" style="70" width="8"/>
    <col collapsed="false" customWidth="false" hidden="false" outlineLevel="0" max="9385" min="9385" style="70" width="42.57"/>
    <col collapsed="false" customWidth="true" hidden="false" outlineLevel="0" max="9386" min="9386" style="70" width="3.29"/>
    <col collapsed="false" customWidth="true" hidden="false" outlineLevel="0" max="9387" min="9387" style="70" width="8"/>
    <col collapsed="false" customWidth="false" hidden="false" outlineLevel="0" max="9388" min="9388" style="70" width="42.57"/>
    <col collapsed="false" customWidth="true" hidden="false" outlineLevel="0" max="9389" min="9389" style="70" width="3.29"/>
    <col collapsed="false" customWidth="true" hidden="false" outlineLevel="0" max="9390" min="9390" style="70" width="8"/>
    <col collapsed="false" customWidth="false" hidden="false" outlineLevel="0" max="9391" min="9391" style="70" width="42.57"/>
    <col collapsed="false" customWidth="true" hidden="false" outlineLevel="0" max="9392" min="9392" style="70" width="3.29"/>
    <col collapsed="false" customWidth="true" hidden="false" outlineLevel="0" max="9393" min="9393" style="70" width="8"/>
    <col collapsed="false" customWidth="false" hidden="false" outlineLevel="0" max="9394" min="9394" style="70" width="42.57"/>
    <col collapsed="false" customWidth="true" hidden="false" outlineLevel="0" max="9395" min="9395" style="70" width="3.29"/>
    <col collapsed="false" customWidth="true" hidden="false" outlineLevel="0" max="9396" min="9396" style="70" width="8"/>
    <col collapsed="false" customWidth="false" hidden="false" outlineLevel="0" max="9397" min="9397" style="70" width="42.57"/>
    <col collapsed="false" customWidth="true" hidden="false" outlineLevel="0" max="9398" min="9398" style="70" width="3.29"/>
    <col collapsed="false" customWidth="true" hidden="false" outlineLevel="0" max="9399" min="9399" style="70" width="8"/>
    <col collapsed="false" customWidth="false" hidden="false" outlineLevel="0" max="9400" min="9400" style="70" width="42.57"/>
    <col collapsed="false" customWidth="true" hidden="false" outlineLevel="0" max="9401" min="9401" style="70" width="3.29"/>
    <col collapsed="false" customWidth="true" hidden="false" outlineLevel="0" max="9402" min="9402" style="70" width="8"/>
    <col collapsed="false" customWidth="false" hidden="false" outlineLevel="0" max="9403" min="9403" style="70" width="42.57"/>
    <col collapsed="false" customWidth="true" hidden="false" outlineLevel="0" max="9404" min="9404" style="70" width="3.29"/>
    <col collapsed="false" customWidth="true" hidden="false" outlineLevel="0" max="9405" min="9405" style="70" width="8"/>
    <col collapsed="false" customWidth="false" hidden="false" outlineLevel="0" max="9406" min="9406" style="70" width="42.57"/>
    <col collapsed="false" customWidth="true" hidden="false" outlineLevel="0" max="9407" min="9407" style="70" width="3.29"/>
    <col collapsed="false" customWidth="true" hidden="false" outlineLevel="0" max="9408" min="9408" style="70" width="8"/>
    <col collapsed="false" customWidth="false" hidden="false" outlineLevel="0" max="9409" min="9409" style="70" width="42.57"/>
    <col collapsed="false" customWidth="true" hidden="false" outlineLevel="0" max="9410" min="9410" style="70" width="3.29"/>
    <col collapsed="false" customWidth="true" hidden="false" outlineLevel="0" max="9411" min="9411" style="70" width="8"/>
    <col collapsed="false" customWidth="false" hidden="false" outlineLevel="0" max="9412" min="9412" style="70" width="42.57"/>
    <col collapsed="false" customWidth="true" hidden="false" outlineLevel="0" max="9413" min="9413" style="70" width="3.29"/>
    <col collapsed="false" customWidth="true" hidden="false" outlineLevel="0" max="9414" min="9414" style="70" width="8"/>
    <col collapsed="false" customWidth="false" hidden="false" outlineLevel="0" max="9415" min="9415" style="70" width="42.57"/>
    <col collapsed="false" customWidth="true" hidden="false" outlineLevel="0" max="9416" min="9416" style="70" width="3.29"/>
    <col collapsed="false" customWidth="true" hidden="false" outlineLevel="0" max="9417" min="9417" style="70" width="8"/>
    <col collapsed="false" customWidth="false" hidden="false" outlineLevel="0" max="9418" min="9418" style="70" width="42.57"/>
    <col collapsed="false" customWidth="true" hidden="false" outlineLevel="0" max="9419" min="9419" style="70" width="3.29"/>
    <col collapsed="false" customWidth="true" hidden="false" outlineLevel="0" max="9420" min="9420" style="70" width="8"/>
    <col collapsed="false" customWidth="false" hidden="false" outlineLevel="0" max="9421" min="9421" style="70" width="42.57"/>
    <col collapsed="false" customWidth="true" hidden="false" outlineLevel="0" max="9422" min="9422" style="70" width="3.29"/>
    <col collapsed="false" customWidth="true" hidden="false" outlineLevel="0" max="9423" min="9423" style="70" width="8"/>
    <col collapsed="false" customWidth="false" hidden="false" outlineLevel="0" max="9424" min="9424" style="70" width="42.57"/>
    <col collapsed="false" customWidth="true" hidden="false" outlineLevel="0" max="9425" min="9425" style="70" width="3.29"/>
    <col collapsed="false" customWidth="true" hidden="false" outlineLevel="0" max="9426" min="9426" style="70" width="8"/>
    <col collapsed="false" customWidth="false" hidden="false" outlineLevel="0" max="9427" min="9427" style="70" width="42.57"/>
    <col collapsed="false" customWidth="true" hidden="false" outlineLevel="0" max="9428" min="9428" style="70" width="3.29"/>
    <col collapsed="false" customWidth="true" hidden="false" outlineLevel="0" max="9429" min="9429" style="70" width="8"/>
    <col collapsed="false" customWidth="false" hidden="false" outlineLevel="0" max="9430" min="9430" style="70" width="42.57"/>
    <col collapsed="false" customWidth="true" hidden="false" outlineLevel="0" max="9431" min="9431" style="70" width="3.29"/>
    <col collapsed="false" customWidth="true" hidden="false" outlineLevel="0" max="9432" min="9432" style="70" width="8"/>
    <col collapsed="false" customWidth="false" hidden="false" outlineLevel="0" max="9433" min="9433" style="70" width="42.57"/>
    <col collapsed="false" customWidth="true" hidden="false" outlineLevel="0" max="9434" min="9434" style="70" width="3.29"/>
    <col collapsed="false" customWidth="true" hidden="false" outlineLevel="0" max="9435" min="9435" style="70" width="8"/>
    <col collapsed="false" customWidth="false" hidden="false" outlineLevel="0" max="9436" min="9436" style="70" width="42.57"/>
    <col collapsed="false" customWidth="true" hidden="false" outlineLevel="0" max="9437" min="9437" style="70" width="3.29"/>
    <col collapsed="false" customWidth="true" hidden="false" outlineLevel="0" max="9438" min="9438" style="70" width="8"/>
    <col collapsed="false" customWidth="false" hidden="false" outlineLevel="0" max="9439" min="9439" style="70" width="42.57"/>
    <col collapsed="false" customWidth="true" hidden="false" outlineLevel="0" max="9440" min="9440" style="70" width="3.29"/>
    <col collapsed="false" customWidth="true" hidden="false" outlineLevel="0" max="9441" min="9441" style="70" width="8"/>
    <col collapsed="false" customWidth="false" hidden="false" outlineLevel="0" max="9442" min="9442" style="70" width="42.57"/>
    <col collapsed="false" customWidth="true" hidden="false" outlineLevel="0" max="9443" min="9443" style="70" width="3.29"/>
    <col collapsed="false" customWidth="true" hidden="false" outlineLevel="0" max="9444" min="9444" style="70" width="8"/>
    <col collapsed="false" customWidth="false" hidden="false" outlineLevel="0" max="9445" min="9445" style="70" width="42.57"/>
    <col collapsed="false" customWidth="true" hidden="false" outlineLevel="0" max="9446" min="9446" style="70" width="3.29"/>
    <col collapsed="false" customWidth="true" hidden="false" outlineLevel="0" max="9447" min="9447" style="70" width="8"/>
    <col collapsed="false" customWidth="false" hidden="false" outlineLevel="0" max="9448" min="9448" style="70" width="42.57"/>
    <col collapsed="false" customWidth="true" hidden="false" outlineLevel="0" max="9449" min="9449" style="70" width="3.29"/>
    <col collapsed="false" customWidth="true" hidden="false" outlineLevel="0" max="9450" min="9450" style="70" width="8"/>
    <col collapsed="false" customWidth="false" hidden="false" outlineLevel="0" max="9451" min="9451" style="70" width="42.57"/>
    <col collapsed="false" customWidth="true" hidden="false" outlineLevel="0" max="9452" min="9452" style="70" width="3.29"/>
    <col collapsed="false" customWidth="true" hidden="false" outlineLevel="0" max="9453" min="9453" style="70" width="8"/>
    <col collapsed="false" customWidth="false" hidden="false" outlineLevel="0" max="9454" min="9454" style="70" width="42.57"/>
    <col collapsed="false" customWidth="true" hidden="false" outlineLevel="0" max="9455" min="9455" style="70" width="3.29"/>
    <col collapsed="false" customWidth="true" hidden="false" outlineLevel="0" max="9456" min="9456" style="70" width="8"/>
    <col collapsed="false" customWidth="false" hidden="false" outlineLevel="0" max="9457" min="9457" style="70" width="42.57"/>
    <col collapsed="false" customWidth="true" hidden="false" outlineLevel="0" max="9458" min="9458" style="70" width="3.29"/>
    <col collapsed="false" customWidth="true" hidden="false" outlineLevel="0" max="9459" min="9459" style="70" width="8"/>
    <col collapsed="false" customWidth="false" hidden="false" outlineLevel="0" max="9460" min="9460" style="70" width="42.57"/>
    <col collapsed="false" customWidth="true" hidden="false" outlineLevel="0" max="9461" min="9461" style="70" width="3.29"/>
    <col collapsed="false" customWidth="true" hidden="false" outlineLevel="0" max="9462" min="9462" style="70" width="8"/>
    <col collapsed="false" customWidth="false" hidden="false" outlineLevel="0" max="9463" min="9463" style="70" width="42.57"/>
    <col collapsed="false" customWidth="true" hidden="false" outlineLevel="0" max="9464" min="9464" style="70" width="3.29"/>
    <col collapsed="false" customWidth="true" hidden="false" outlineLevel="0" max="9465" min="9465" style="70" width="8"/>
    <col collapsed="false" customWidth="false" hidden="false" outlineLevel="0" max="9466" min="9466" style="70" width="42.57"/>
    <col collapsed="false" customWidth="true" hidden="false" outlineLevel="0" max="9467" min="9467" style="70" width="3.29"/>
    <col collapsed="false" customWidth="true" hidden="false" outlineLevel="0" max="9468" min="9468" style="70" width="8"/>
    <col collapsed="false" customWidth="false" hidden="false" outlineLevel="0" max="9469" min="9469" style="70" width="42.57"/>
    <col collapsed="false" customWidth="true" hidden="false" outlineLevel="0" max="9470" min="9470" style="70" width="3.29"/>
    <col collapsed="false" customWidth="true" hidden="false" outlineLevel="0" max="9471" min="9471" style="70" width="8"/>
    <col collapsed="false" customWidth="false" hidden="false" outlineLevel="0" max="9472" min="9472" style="70" width="42.57"/>
    <col collapsed="false" customWidth="true" hidden="false" outlineLevel="0" max="9473" min="9473" style="70" width="3.29"/>
    <col collapsed="false" customWidth="true" hidden="false" outlineLevel="0" max="9474" min="9474" style="70" width="8"/>
    <col collapsed="false" customWidth="false" hidden="false" outlineLevel="0" max="9475" min="9475" style="70" width="42.57"/>
    <col collapsed="false" customWidth="true" hidden="false" outlineLevel="0" max="9476" min="9476" style="70" width="3.29"/>
    <col collapsed="false" customWidth="true" hidden="false" outlineLevel="0" max="9477" min="9477" style="70" width="8"/>
    <col collapsed="false" customWidth="false" hidden="false" outlineLevel="0" max="9478" min="9478" style="70" width="42.57"/>
    <col collapsed="false" customWidth="true" hidden="false" outlineLevel="0" max="9479" min="9479" style="70" width="3.29"/>
    <col collapsed="false" customWidth="true" hidden="false" outlineLevel="0" max="9480" min="9480" style="70" width="8"/>
    <col collapsed="false" customWidth="false" hidden="false" outlineLevel="0" max="9481" min="9481" style="70" width="42.57"/>
    <col collapsed="false" customWidth="true" hidden="false" outlineLevel="0" max="9482" min="9482" style="70" width="3.29"/>
    <col collapsed="false" customWidth="true" hidden="false" outlineLevel="0" max="9483" min="9483" style="70" width="8"/>
    <col collapsed="false" customWidth="false" hidden="false" outlineLevel="0" max="9484" min="9484" style="70" width="42.57"/>
    <col collapsed="false" customWidth="true" hidden="false" outlineLevel="0" max="9485" min="9485" style="70" width="3.29"/>
    <col collapsed="false" customWidth="true" hidden="false" outlineLevel="0" max="9486" min="9486" style="70" width="8"/>
    <col collapsed="false" customWidth="false" hidden="false" outlineLevel="0" max="9487" min="9487" style="70" width="42.57"/>
    <col collapsed="false" customWidth="true" hidden="false" outlineLevel="0" max="9488" min="9488" style="70" width="3.29"/>
    <col collapsed="false" customWidth="true" hidden="false" outlineLevel="0" max="9489" min="9489" style="70" width="8"/>
    <col collapsed="false" customWidth="false" hidden="false" outlineLevel="0" max="9490" min="9490" style="70" width="42.57"/>
    <col collapsed="false" customWidth="true" hidden="false" outlineLevel="0" max="9491" min="9491" style="70" width="3.29"/>
    <col collapsed="false" customWidth="true" hidden="false" outlineLevel="0" max="9492" min="9492" style="70" width="8"/>
    <col collapsed="false" customWidth="false" hidden="false" outlineLevel="0" max="9493" min="9493" style="70" width="42.57"/>
    <col collapsed="false" customWidth="true" hidden="false" outlineLevel="0" max="9494" min="9494" style="70" width="3.29"/>
    <col collapsed="false" customWidth="true" hidden="false" outlineLevel="0" max="9495" min="9495" style="70" width="8"/>
    <col collapsed="false" customWidth="false" hidden="false" outlineLevel="0" max="9496" min="9496" style="70" width="42.57"/>
    <col collapsed="false" customWidth="true" hidden="false" outlineLevel="0" max="9497" min="9497" style="70" width="3.29"/>
    <col collapsed="false" customWidth="true" hidden="false" outlineLevel="0" max="9498" min="9498" style="70" width="8"/>
    <col collapsed="false" customWidth="false" hidden="false" outlineLevel="0" max="9499" min="9499" style="70" width="42.57"/>
    <col collapsed="false" customWidth="true" hidden="false" outlineLevel="0" max="9500" min="9500" style="70" width="3.29"/>
    <col collapsed="false" customWidth="true" hidden="false" outlineLevel="0" max="9501" min="9501" style="70" width="8"/>
    <col collapsed="false" customWidth="false" hidden="false" outlineLevel="0" max="9502" min="9502" style="70" width="42.57"/>
    <col collapsed="false" customWidth="true" hidden="false" outlineLevel="0" max="9503" min="9503" style="70" width="3.29"/>
    <col collapsed="false" customWidth="true" hidden="false" outlineLevel="0" max="9504" min="9504" style="70" width="8"/>
    <col collapsed="false" customWidth="false" hidden="false" outlineLevel="0" max="9505" min="9505" style="70" width="42.57"/>
    <col collapsed="false" customWidth="true" hidden="false" outlineLevel="0" max="9506" min="9506" style="70" width="3.29"/>
    <col collapsed="false" customWidth="true" hidden="false" outlineLevel="0" max="9507" min="9507" style="70" width="8"/>
    <col collapsed="false" customWidth="false" hidden="false" outlineLevel="0" max="9508" min="9508" style="70" width="42.57"/>
    <col collapsed="false" customWidth="true" hidden="false" outlineLevel="0" max="9509" min="9509" style="70" width="3.29"/>
    <col collapsed="false" customWidth="true" hidden="false" outlineLevel="0" max="9510" min="9510" style="70" width="8"/>
    <col collapsed="false" customWidth="false" hidden="false" outlineLevel="0" max="9511" min="9511" style="70" width="42.57"/>
    <col collapsed="false" customWidth="true" hidden="false" outlineLevel="0" max="9512" min="9512" style="70" width="3.29"/>
    <col collapsed="false" customWidth="true" hidden="false" outlineLevel="0" max="9513" min="9513" style="70" width="8"/>
    <col collapsed="false" customWidth="false" hidden="false" outlineLevel="0" max="9514" min="9514" style="70" width="42.57"/>
    <col collapsed="false" customWidth="true" hidden="false" outlineLevel="0" max="9515" min="9515" style="70" width="3.29"/>
    <col collapsed="false" customWidth="true" hidden="false" outlineLevel="0" max="9516" min="9516" style="70" width="8"/>
    <col collapsed="false" customWidth="false" hidden="false" outlineLevel="0" max="9517" min="9517" style="70" width="42.57"/>
    <col collapsed="false" customWidth="true" hidden="false" outlineLevel="0" max="9518" min="9518" style="70" width="3.29"/>
    <col collapsed="false" customWidth="true" hidden="false" outlineLevel="0" max="9519" min="9519" style="70" width="8"/>
    <col collapsed="false" customWidth="false" hidden="false" outlineLevel="0" max="9520" min="9520" style="70" width="42.57"/>
    <col collapsed="false" customWidth="true" hidden="false" outlineLevel="0" max="9521" min="9521" style="70" width="3.29"/>
    <col collapsed="false" customWidth="true" hidden="false" outlineLevel="0" max="9522" min="9522" style="70" width="8"/>
    <col collapsed="false" customWidth="false" hidden="false" outlineLevel="0" max="9523" min="9523" style="70" width="42.57"/>
    <col collapsed="false" customWidth="true" hidden="false" outlineLevel="0" max="9524" min="9524" style="70" width="3.29"/>
    <col collapsed="false" customWidth="true" hidden="false" outlineLevel="0" max="9525" min="9525" style="70" width="8"/>
    <col collapsed="false" customWidth="false" hidden="false" outlineLevel="0" max="9526" min="9526" style="70" width="42.57"/>
    <col collapsed="false" customWidth="true" hidden="false" outlineLevel="0" max="9527" min="9527" style="70" width="3.29"/>
    <col collapsed="false" customWidth="true" hidden="false" outlineLevel="0" max="9528" min="9528" style="70" width="8"/>
    <col collapsed="false" customWidth="false" hidden="false" outlineLevel="0" max="9529" min="9529" style="70" width="42.57"/>
    <col collapsed="false" customWidth="true" hidden="false" outlineLevel="0" max="9530" min="9530" style="70" width="3.29"/>
    <col collapsed="false" customWidth="true" hidden="false" outlineLevel="0" max="9531" min="9531" style="70" width="8"/>
    <col collapsed="false" customWidth="false" hidden="false" outlineLevel="0" max="9532" min="9532" style="70" width="42.57"/>
    <col collapsed="false" customWidth="true" hidden="false" outlineLevel="0" max="9533" min="9533" style="70" width="3.29"/>
    <col collapsed="false" customWidth="true" hidden="false" outlineLevel="0" max="9534" min="9534" style="70" width="8"/>
    <col collapsed="false" customWidth="false" hidden="false" outlineLevel="0" max="9535" min="9535" style="70" width="42.57"/>
    <col collapsed="false" customWidth="true" hidden="false" outlineLevel="0" max="9536" min="9536" style="70" width="3.29"/>
    <col collapsed="false" customWidth="true" hidden="false" outlineLevel="0" max="9537" min="9537" style="70" width="8"/>
    <col collapsed="false" customWidth="false" hidden="false" outlineLevel="0" max="9538" min="9538" style="70" width="42.57"/>
    <col collapsed="false" customWidth="true" hidden="false" outlineLevel="0" max="9539" min="9539" style="70" width="3.29"/>
    <col collapsed="false" customWidth="true" hidden="false" outlineLevel="0" max="9540" min="9540" style="70" width="8"/>
    <col collapsed="false" customWidth="false" hidden="false" outlineLevel="0" max="9541" min="9541" style="70" width="42.57"/>
    <col collapsed="false" customWidth="true" hidden="false" outlineLevel="0" max="9542" min="9542" style="70" width="3.29"/>
    <col collapsed="false" customWidth="true" hidden="false" outlineLevel="0" max="9543" min="9543" style="70" width="8"/>
    <col collapsed="false" customWidth="false" hidden="false" outlineLevel="0" max="9544" min="9544" style="70" width="42.57"/>
    <col collapsed="false" customWidth="true" hidden="false" outlineLevel="0" max="9545" min="9545" style="70" width="3.29"/>
    <col collapsed="false" customWidth="true" hidden="false" outlineLevel="0" max="9546" min="9546" style="70" width="8"/>
    <col collapsed="false" customWidth="false" hidden="false" outlineLevel="0" max="9547" min="9547" style="70" width="42.57"/>
    <col collapsed="false" customWidth="true" hidden="false" outlineLevel="0" max="9548" min="9548" style="70" width="3.29"/>
    <col collapsed="false" customWidth="true" hidden="false" outlineLevel="0" max="9549" min="9549" style="70" width="8"/>
    <col collapsed="false" customWidth="false" hidden="false" outlineLevel="0" max="9550" min="9550" style="70" width="42.57"/>
    <col collapsed="false" customWidth="true" hidden="false" outlineLevel="0" max="9551" min="9551" style="70" width="3.29"/>
    <col collapsed="false" customWidth="true" hidden="false" outlineLevel="0" max="9552" min="9552" style="70" width="8"/>
    <col collapsed="false" customWidth="false" hidden="false" outlineLevel="0" max="9553" min="9553" style="70" width="42.57"/>
    <col collapsed="false" customWidth="true" hidden="false" outlineLevel="0" max="9554" min="9554" style="70" width="3.29"/>
    <col collapsed="false" customWidth="true" hidden="false" outlineLevel="0" max="9555" min="9555" style="70" width="8"/>
    <col collapsed="false" customWidth="false" hidden="false" outlineLevel="0" max="9556" min="9556" style="70" width="42.57"/>
    <col collapsed="false" customWidth="true" hidden="false" outlineLevel="0" max="9557" min="9557" style="70" width="3.29"/>
    <col collapsed="false" customWidth="true" hidden="false" outlineLevel="0" max="9558" min="9558" style="70" width="8"/>
    <col collapsed="false" customWidth="false" hidden="false" outlineLevel="0" max="9559" min="9559" style="70" width="42.57"/>
    <col collapsed="false" customWidth="true" hidden="false" outlineLevel="0" max="9560" min="9560" style="70" width="3.29"/>
    <col collapsed="false" customWidth="true" hidden="false" outlineLevel="0" max="9561" min="9561" style="70" width="8"/>
    <col collapsed="false" customWidth="false" hidden="false" outlineLevel="0" max="9562" min="9562" style="70" width="42.57"/>
    <col collapsed="false" customWidth="true" hidden="false" outlineLevel="0" max="9563" min="9563" style="70" width="3.29"/>
    <col collapsed="false" customWidth="true" hidden="false" outlineLevel="0" max="9564" min="9564" style="70" width="8"/>
    <col collapsed="false" customWidth="false" hidden="false" outlineLevel="0" max="9565" min="9565" style="70" width="42.57"/>
    <col collapsed="false" customWidth="true" hidden="false" outlineLevel="0" max="9566" min="9566" style="70" width="3.29"/>
    <col collapsed="false" customWidth="true" hidden="false" outlineLevel="0" max="9567" min="9567" style="70" width="8"/>
    <col collapsed="false" customWidth="false" hidden="false" outlineLevel="0" max="9568" min="9568" style="70" width="42.57"/>
    <col collapsed="false" customWidth="true" hidden="false" outlineLevel="0" max="9569" min="9569" style="70" width="3.29"/>
    <col collapsed="false" customWidth="true" hidden="false" outlineLevel="0" max="9570" min="9570" style="70" width="8"/>
    <col collapsed="false" customWidth="false" hidden="false" outlineLevel="0" max="9571" min="9571" style="70" width="42.57"/>
    <col collapsed="false" customWidth="true" hidden="false" outlineLevel="0" max="9572" min="9572" style="70" width="3.29"/>
    <col collapsed="false" customWidth="true" hidden="false" outlineLevel="0" max="9573" min="9573" style="70" width="8"/>
    <col collapsed="false" customWidth="false" hidden="false" outlineLevel="0" max="9574" min="9574" style="70" width="42.57"/>
    <col collapsed="false" customWidth="true" hidden="false" outlineLevel="0" max="9575" min="9575" style="70" width="3.29"/>
    <col collapsed="false" customWidth="true" hidden="false" outlineLevel="0" max="9576" min="9576" style="70" width="8"/>
    <col collapsed="false" customWidth="false" hidden="false" outlineLevel="0" max="9577" min="9577" style="70" width="42.57"/>
    <col collapsed="false" customWidth="true" hidden="false" outlineLevel="0" max="9578" min="9578" style="70" width="3.29"/>
    <col collapsed="false" customWidth="true" hidden="false" outlineLevel="0" max="9579" min="9579" style="70" width="8"/>
    <col collapsed="false" customWidth="false" hidden="false" outlineLevel="0" max="9580" min="9580" style="70" width="42.57"/>
    <col collapsed="false" customWidth="true" hidden="false" outlineLevel="0" max="9581" min="9581" style="70" width="3.29"/>
    <col collapsed="false" customWidth="true" hidden="false" outlineLevel="0" max="9582" min="9582" style="70" width="8"/>
    <col collapsed="false" customWidth="false" hidden="false" outlineLevel="0" max="9583" min="9583" style="70" width="42.57"/>
    <col collapsed="false" customWidth="true" hidden="false" outlineLevel="0" max="9584" min="9584" style="70" width="3.29"/>
    <col collapsed="false" customWidth="true" hidden="false" outlineLevel="0" max="9585" min="9585" style="70" width="8"/>
    <col collapsed="false" customWidth="false" hidden="false" outlineLevel="0" max="9586" min="9586" style="70" width="42.57"/>
    <col collapsed="false" customWidth="true" hidden="false" outlineLevel="0" max="9587" min="9587" style="70" width="3.29"/>
    <col collapsed="false" customWidth="true" hidden="false" outlineLevel="0" max="9588" min="9588" style="70" width="8"/>
    <col collapsed="false" customWidth="false" hidden="false" outlineLevel="0" max="9589" min="9589" style="70" width="42.57"/>
    <col collapsed="false" customWidth="true" hidden="false" outlineLevel="0" max="9590" min="9590" style="70" width="3.29"/>
    <col collapsed="false" customWidth="true" hidden="false" outlineLevel="0" max="9591" min="9591" style="70" width="8"/>
    <col collapsed="false" customWidth="false" hidden="false" outlineLevel="0" max="9592" min="9592" style="70" width="42.57"/>
    <col collapsed="false" customWidth="true" hidden="false" outlineLevel="0" max="9593" min="9593" style="70" width="3.29"/>
    <col collapsed="false" customWidth="true" hidden="false" outlineLevel="0" max="9594" min="9594" style="70" width="8"/>
    <col collapsed="false" customWidth="false" hidden="false" outlineLevel="0" max="9595" min="9595" style="70" width="42.57"/>
    <col collapsed="false" customWidth="true" hidden="false" outlineLevel="0" max="9596" min="9596" style="70" width="3.29"/>
    <col collapsed="false" customWidth="true" hidden="false" outlineLevel="0" max="9597" min="9597" style="70" width="8"/>
    <col collapsed="false" customWidth="false" hidden="false" outlineLevel="0" max="9598" min="9598" style="70" width="42.57"/>
    <col collapsed="false" customWidth="true" hidden="false" outlineLevel="0" max="9599" min="9599" style="70" width="3.29"/>
    <col collapsed="false" customWidth="true" hidden="false" outlineLevel="0" max="9600" min="9600" style="70" width="8"/>
    <col collapsed="false" customWidth="false" hidden="false" outlineLevel="0" max="9601" min="9601" style="70" width="42.57"/>
    <col collapsed="false" customWidth="true" hidden="false" outlineLevel="0" max="9602" min="9602" style="70" width="3.29"/>
    <col collapsed="false" customWidth="true" hidden="false" outlineLevel="0" max="9603" min="9603" style="70" width="8"/>
    <col collapsed="false" customWidth="false" hidden="false" outlineLevel="0" max="9604" min="9604" style="70" width="42.57"/>
    <col collapsed="false" customWidth="true" hidden="false" outlineLevel="0" max="9605" min="9605" style="70" width="3.29"/>
    <col collapsed="false" customWidth="true" hidden="false" outlineLevel="0" max="9606" min="9606" style="70" width="8"/>
    <col collapsed="false" customWidth="false" hidden="false" outlineLevel="0" max="9607" min="9607" style="70" width="42.57"/>
    <col collapsed="false" customWidth="true" hidden="false" outlineLevel="0" max="9608" min="9608" style="70" width="3.29"/>
    <col collapsed="false" customWidth="true" hidden="false" outlineLevel="0" max="9609" min="9609" style="70" width="8"/>
    <col collapsed="false" customWidth="false" hidden="false" outlineLevel="0" max="9610" min="9610" style="70" width="42.57"/>
    <col collapsed="false" customWidth="true" hidden="false" outlineLevel="0" max="9611" min="9611" style="70" width="3.29"/>
    <col collapsed="false" customWidth="true" hidden="false" outlineLevel="0" max="9612" min="9612" style="70" width="8"/>
    <col collapsed="false" customWidth="false" hidden="false" outlineLevel="0" max="9613" min="9613" style="70" width="42.57"/>
    <col collapsed="false" customWidth="true" hidden="false" outlineLevel="0" max="9614" min="9614" style="70" width="3.29"/>
    <col collapsed="false" customWidth="true" hidden="false" outlineLevel="0" max="9615" min="9615" style="70" width="8"/>
    <col collapsed="false" customWidth="false" hidden="false" outlineLevel="0" max="9616" min="9616" style="70" width="42.57"/>
    <col collapsed="false" customWidth="true" hidden="false" outlineLevel="0" max="9617" min="9617" style="70" width="3.29"/>
    <col collapsed="false" customWidth="true" hidden="false" outlineLevel="0" max="9618" min="9618" style="70" width="8"/>
    <col collapsed="false" customWidth="false" hidden="false" outlineLevel="0" max="9619" min="9619" style="70" width="42.57"/>
    <col collapsed="false" customWidth="true" hidden="false" outlineLevel="0" max="9620" min="9620" style="70" width="3.29"/>
    <col collapsed="false" customWidth="true" hidden="false" outlineLevel="0" max="9621" min="9621" style="70" width="8"/>
    <col collapsed="false" customWidth="false" hidden="false" outlineLevel="0" max="9622" min="9622" style="70" width="42.57"/>
    <col collapsed="false" customWidth="true" hidden="false" outlineLevel="0" max="9623" min="9623" style="70" width="3.29"/>
    <col collapsed="false" customWidth="true" hidden="false" outlineLevel="0" max="9624" min="9624" style="70" width="8"/>
    <col collapsed="false" customWidth="false" hidden="false" outlineLevel="0" max="9625" min="9625" style="70" width="42.57"/>
    <col collapsed="false" customWidth="true" hidden="false" outlineLevel="0" max="9626" min="9626" style="70" width="3.29"/>
    <col collapsed="false" customWidth="true" hidden="false" outlineLevel="0" max="9627" min="9627" style="70" width="8"/>
    <col collapsed="false" customWidth="false" hidden="false" outlineLevel="0" max="9628" min="9628" style="70" width="42.57"/>
    <col collapsed="false" customWidth="true" hidden="false" outlineLevel="0" max="9629" min="9629" style="70" width="3.29"/>
    <col collapsed="false" customWidth="true" hidden="false" outlineLevel="0" max="9630" min="9630" style="70" width="8"/>
    <col collapsed="false" customWidth="false" hidden="false" outlineLevel="0" max="9631" min="9631" style="70" width="42.57"/>
    <col collapsed="false" customWidth="true" hidden="false" outlineLevel="0" max="9632" min="9632" style="70" width="3.29"/>
    <col collapsed="false" customWidth="true" hidden="false" outlineLevel="0" max="9633" min="9633" style="70" width="8"/>
    <col collapsed="false" customWidth="false" hidden="false" outlineLevel="0" max="9634" min="9634" style="70" width="42.57"/>
    <col collapsed="false" customWidth="true" hidden="false" outlineLevel="0" max="9635" min="9635" style="70" width="3.29"/>
    <col collapsed="false" customWidth="true" hidden="false" outlineLevel="0" max="9636" min="9636" style="70" width="8"/>
    <col collapsed="false" customWidth="false" hidden="false" outlineLevel="0" max="9637" min="9637" style="70" width="42.57"/>
    <col collapsed="false" customWidth="true" hidden="false" outlineLevel="0" max="9638" min="9638" style="70" width="3.29"/>
    <col collapsed="false" customWidth="true" hidden="false" outlineLevel="0" max="9639" min="9639" style="70" width="8"/>
    <col collapsed="false" customWidth="false" hidden="false" outlineLevel="0" max="9640" min="9640" style="70" width="42.57"/>
    <col collapsed="false" customWidth="true" hidden="false" outlineLevel="0" max="9641" min="9641" style="70" width="3.29"/>
    <col collapsed="false" customWidth="true" hidden="false" outlineLevel="0" max="9642" min="9642" style="70" width="8"/>
    <col collapsed="false" customWidth="false" hidden="false" outlineLevel="0" max="9643" min="9643" style="70" width="42.57"/>
    <col collapsed="false" customWidth="true" hidden="false" outlineLevel="0" max="9644" min="9644" style="70" width="3.29"/>
    <col collapsed="false" customWidth="true" hidden="false" outlineLevel="0" max="9645" min="9645" style="70" width="8"/>
    <col collapsed="false" customWidth="false" hidden="false" outlineLevel="0" max="9646" min="9646" style="70" width="42.57"/>
    <col collapsed="false" customWidth="true" hidden="false" outlineLevel="0" max="9647" min="9647" style="70" width="3.29"/>
    <col collapsed="false" customWidth="true" hidden="false" outlineLevel="0" max="9648" min="9648" style="70" width="8"/>
    <col collapsed="false" customWidth="false" hidden="false" outlineLevel="0" max="9649" min="9649" style="70" width="42.57"/>
    <col collapsed="false" customWidth="true" hidden="false" outlineLevel="0" max="9650" min="9650" style="70" width="3.29"/>
    <col collapsed="false" customWidth="true" hidden="false" outlineLevel="0" max="9651" min="9651" style="70" width="8"/>
    <col collapsed="false" customWidth="false" hidden="false" outlineLevel="0" max="9652" min="9652" style="70" width="42.57"/>
    <col collapsed="false" customWidth="true" hidden="false" outlineLevel="0" max="9653" min="9653" style="70" width="3.29"/>
    <col collapsed="false" customWidth="true" hidden="false" outlineLevel="0" max="9654" min="9654" style="70" width="8"/>
    <col collapsed="false" customWidth="false" hidden="false" outlineLevel="0" max="9655" min="9655" style="70" width="42.57"/>
    <col collapsed="false" customWidth="true" hidden="false" outlineLevel="0" max="9656" min="9656" style="70" width="3.29"/>
    <col collapsed="false" customWidth="true" hidden="false" outlineLevel="0" max="9657" min="9657" style="70" width="8"/>
    <col collapsed="false" customWidth="false" hidden="false" outlineLevel="0" max="9658" min="9658" style="70" width="42.57"/>
    <col collapsed="false" customWidth="true" hidden="false" outlineLevel="0" max="9659" min="9659" style="70" width="3.29"/>
    <col collapsed="false" customWidth="true" hidden="false" outlineLevel="0" max="9660" min="9660" style="70" width="8"/>
    <col collapsed="false" customWidth="false" hidden="false" outlineLevel="0" max="9661" min="9661" style="70" width="42.57"/>
    <col collapsed="false" customWidth="true" hidden="false" outlineLevel="0" max="9662" min="9662" style="70" width="3.29"/>
    <col collapsed="false" customWidth="true" hidden="false" outlineLevel="0" max="9663" min="9663" style="70" width="8"/>
    <col collapsed="false" customWidth="false" hidden="false" outlineLevel="0" max="9664" min="9664" style="70" width="42.57"/>
    <col collapsed="false" customWidth="true" hidden="false" outlineLevel="0" max="9665" min="9665" style="70" width="3.29"/>
    <col collapsed="false" customWidth="true" hidden="false" outlineLevel="0" max="9666" min="9666" style="70" width="8"/>
    <col collapsed="false" customWidth="false" hidden="false" outlineLevel="0" max="9667" min="9667" style="70" width="42.57"/>
    <col collapsed="false" customWidth="true" hidden="false" outlineLevel="0" max="9668" min="9668" style="70" width="3.29"/>
    <col collapsed="false" customWidth="true" hidden="false" outlineLevel="0" max="9669" min="9669" style="70" width="8"/>
    <col collapsed="false" customWidth="false" hidden="false" outlineLevel="0" max="9670" min="9670" style="70" width="42.57"/>
    <col collapsed="false" customWidth="true" hidden="false" outlineLevel="0" max="9671" min="9671" style="70" width="3.29"/>
    <col collapsed="false" customWidth="true" hidden="false" outlineLevel="0" max="9672" min="9672" style="70" width="8"/>
    <col collapsed="false" customWidth="false" hidden="false" outlineLevel="0" max="9673" min="9673" style="70" width="42.57"/>
    <col collapsed="false" customWidth="true" hidden="false" outlineLevel="0" max="9674" min="9674" style="70" width="3.29"/>
    <col collapsed="false" customWidth="true" hidden="false" outlineLevel="0" max="9675" min="9675" style="70" width="8"/>
    <col collapsed="false" customWidth="false" hidden="false" outlineLevel="0" max="9676" min="9676" style="70" width="42.57"/>
    <col collapsed="false" customWidth="true" hidden="false" outlineLevel="0" max="9677" min="9677" style="70" width="3.29"/>
    <col collapsed="false" customWidth="true" hidden="false" outlineLevel="0" max="9678" min="9678" style="70" width="8"/>
    <col collapsed="false" customWidth="false" hidden="false" outlineLevel="0" max="9679" min="9679" style="70" width="42.57"/>
    <col collapsed="false" customWidth="true" hidden="false" outlineLevel="0" max="9680" min="9680" style="70" width="3.29"/>
    <col collapsed="false" customWidth="true" hidden="false" outlineLevel="0" max="9681" min="9681" style="70" width="8"/>
    <col collapsed="false" customWidth="false" hidden="false" outlineLevel="0" max="9682" min="9682" style="70" width="42.57"/>
    <col collapsed="false" customWidth="true" hidden="false" outlineLevel="0" max="9683" min="9683" style="70" width="3.29"/>
    <col collapsed="false" customWidth="true" hidden="false" outlineLevel="0" max="9684" min="9684" style="70" width="8"/>
    <col collapsed="false" customWidth="false" hidden="false" outlineLevel="0" max="9685" min="9685" style="70" width="42.57"/>
    <col collapsed="false" customWidth="true" hidden="false" outlineLevel="0" max="9686" min="9686" style="70" width="3.29"/>
    <col collapsed="false" customWidth="true" hidden="false" outlineLevel="0" max="9687" min="9687" style="70" width="8"/>
    <col collapsed="false" customWidth="false" hidden="false" outlineLevel="0" max="9688" min="9688" style="70" width="42.57"/>
    <col collapsed="false" customWidth="true" hidden="false" outlineLevel="0" max="9689" min="9689" style="70" width="3.29"/>
    <col collapsed="false" customWidth="true" hidden="false" outlineLevel="0" max="9690" min="9690" style="70" width="8"/>
    <col collapsed="false" customWidth="false" hidden="false" outlineLevel="0" max="9691" min="9691" style="70" width="42.57"/>
    <col collapsed="false" customWidth="true" hidden="false" outlineLevel="0" max="9692" min="9692" style="70" width="3.29"/>
    <col collapsed="false" customWidth="true" hidden="false" outlineLevel="0" max="9693" min="9693" style="70" width="8"/>
    <col collapsed="false" customWidth="false" hidden="false" outlineLevel="0" max="9694" min="9694" style="70" width="42.57"/>
    <col collapsed="false" customWidth="true" hidden="false" outlineLevel="0" max="9695" min="9695" style="70" width="3.29"/>
    <col collapsed="false" customWidth="true" hidden="false" outlineLevel="0" max="9696" min="9696" style="70" width="8"/>
    <col collapsed="false" customWidth="false" hidden="false" outlineLevel="0" max="9697" min="9697" style="70" width="42.57"/>
    <col collapsed="false" customWidth="true" hidden="false" outlineLevel="0" max="9698" min="9698" style="70" width="3.29"/>
    <col collapsed="false" customWidth="true" hidden="false" outlineLevel="0" max="9699" min="9699" style="70" width="8"/>
    <col collapsed="false" customWidth="false" hidden="false" outlineLevel="0" max="9700" min="9700" style="70" width="42.57"/>
    <col collapsed="false" customWidth="true" hidden="false" outlineLevel="0" max="9701" min="9701" style="70" width="3.29"/>
    <col collapsed="false" customWidth="true" hidden="false" outlineLevel="0" max="9702" min="9702" style="70" width="8"/>
    <col collapsed="false" customWidth="false" hidden="false" outlineLevel="0" max="9703" min="9703" style="70" width="42.57"/>
    <col collapsed="false" customWidth="true" hidden="false" outlineLevel="0" max="9704" min="9704" style="70" width="3.29"/>
    <col collapsed="false" customWidth="true" hidden="false" outlineLevel="0" max="9705" min="9705" style="70" width="8"/>
    <col collapsed="false" customWidth="false" hidden="false" outlineLevel="0" max="9706" min="9706" style="70" width="42.57"/>
    <col collapsed="false" customWidth="true" hidden="false" outlineLevel="0" max="9707" min="9707" style="70" width="3.29"/>
    <col collapsed="false" customWidth="true" hidden="false" outlineLevel="0" max="9708" min="9708" style="70" width="8"/>
    <col collapsed="false" customWidth="false" hidden="false" outlineLevel="0" max="9709" min="9709" style="70" width="42.57"/>
    <col collapsed="false" customWidth="true" hidden="false" outlineLevel="0" max="9710" min="9710" style="70" width="3.29"/>
    <col collapsed="false" customWidth="true" hidden="false" outlineLevel="0" max="9711" min="9711" style="70" width="8"/>
    <col collapsed="false" customWidth="false" hidden="false" outlineLevel="0" max="9712" min="9712" style="70" width="42.57"/>
    <col collapsed="false" customWidth="true" hidden="false" outlineLevel="0" max="9713" min="9713" style="70" width="3.29"/>
    <col collapsed="false" customWidth="true" hidden="false" outlineLevel="0" max="9714" min="9714" style="70" width="8"/>
    <col collapsed="false" customWidth="false" hidden="false" outlineLevel="0" max="9715" min="9715" style="70" width="42.57"/>
    <col collapsed="false" customWidth="true" hidden="false" outlineLevel="0" max="9716" min="9716" style="70" width="3.29"/>
    <col collapsed="false" customWidth="true" hidden="false" outlineLevel="0" max="9717" min="9717" style="70" width="8"/>
    <col collapsed="false" customWidth="false" hidden="false" outlineLevel="0" max="9718" min="9718" style="70" width="42.57"/>
    <col collapsed="false" customWidth="true" hidden="false" outlineLevel="0" max="9719" min="9719" style="70" width="3.29"/>
    <col collapsed="false" customWidth="true" hidden="false" outlineLevel="0" max="9720" min="9720" style="70" width="8"/>
    <col collapsed="false" customWidth="false" hidden="false" outlineLevel="0" max="9721" min="9721" style="70" width="42.57"/>
    <col collapsed="false" customWidth="true" hidden="false" outlineLevel="0" max="9722" min="9722" style="70" width="3.29"/>
    <col collapsed="false" customWidth="true" hidden="false" outlineLevel="0" max="9723" min="9723" style="70" width="8"/>
    <col collapsed="false" customWidth="false" hidden="false" outlineLevel="0" max="9724" min="9724" style="70" width="42.57"/>
    <col collapsed="false" customWidth="true" hidden="false" outlineLevel="0" max="9725" min="9725" style="70" width="3.29"/>
    <col collapsed="false" customWidth="true" hidden="false" outlineLevel="0" max="9726" min="9726" style="70" width="8"/>
    <col collapsed="false" customWidth="false" hidden="false" outlineLevel="0" max="9727" min="9727" style="70" width="42.57"/>
    <col collapsed="false" customWidth="true" hidden="false" outlineLevel="0" max="9728" min="9728" style="70" width="3.29"/>
    <col collapsed="false" customWidth="true" hidden="false" outlineLevel="0" max="9729" min="9729" style="70" width="8"/>
    <col collapsed="false" customWidth="false" hidden="false" outlineLevel="0" max="9730" min="9730" style="70" width="42.57"/>
    <col collapsed="false" customWidth="true" hidden="false" outlineLevel="0" max="9731" min="9731" style="70" width="3.29"/>
    <col collapsed="false" customWidth="true" hidden="false" outlineLevel="0" max="9732" min="9732" style="70" width="8"/>
    <col collapsed="false" customWidth="false" hidden="false" outlineLevel="0" max="9733" min="9733" style="70" width="42.57"/>
    <col collapsed="false" customWidth="true" hidden="false" outlineLevel="0" max="9734" min="9734" style="70" width="3.29"/>
    <col collapsed="false" customWidth="true" hidden="false" outlineLevel="0" max="9735" min="9735" style="70" width="8"/>
    <col collapsed="false" customWidth="false" hidden="false" outlineLevel="0" max="9736" min="9736" style="70" width="42.57"/>
    <col collapsed="false" customWidth="true" hidden="false" outlineLevel="0" max="9737" min="9737" style="70" width="3.29"/>
    <col collapsed="false" customWidth="true" hidden="false" outlineLevel="0" max="9738" min="9738" style="70" width="8"/>
    <col collapsed="false" customWidth="false" hidden="false" outlineLevel="0" max="9739" min="9739" style="70" width="42.57"/>
    <col collapsed="false" customWidth="true" hidden="false" outlineLevel="0" max="9740" min="9740" style="70" width="3.29"/>
    <col collapsed="false" customWidth="true" hidden="false" outlineLevel="0" max="9741" min="9741" style="70" width="8"/>
    <col collapsed="false" customWidth="false" hidden="false" outlineLevel="0" max="9742" min="9742" style="70" width="42.57"/>
    <col collapsed="false" customWidth="true" hidden="false" outlineLevel="0" max="9743" min="9743" style="70" width="3.29"/>
    <col collapsed="false" customWidth="true" hidden="false" outlineLevel="0" max="9744" min="9744" style="70" width="8"/>
    <col collapsed="false" customWidth="false" hidden="false" outlineLevel="0" max="9745" min="9745" style="70" width="42.57"/>
    <col collapsed="false" customWidth="true" hidden="false" outlineLevel="0" max="9746" min="9746" style="70" width="3.29"/>
    <col collapsed="false" customWidth="true" hidden="false" outlineLevel="0" max="9747" min="9747" style="70" width="8"/>
    <col collapsed="false" customWidth="false" hidden="false" outlineLevel="0" max="9748" min="9748" style="70" width="42.57"/>
    <col collapsed="false" customWidth="true" hidden="false" outlineLevel="0" max="9749" min="9749" style="70" width="3.29"/>
    <col collapsed="false" customWidth="true" hidden="false" outlineLevel="0" max="9750" min="9750" style="70" width="8"/>
    <col collapsed="false" customWidth="false" hidden="false" outlineLevel="0" max="9751" min="9751" style="70" width="42.57"/>
    <col collapsed="false" customWidth="true" hidden="false" outlineLevel="0" max="9752" min="9752" style="70" width="3.29"/>
    <col collapsed="false" customWidth="true" hidden="false" outlineLevel="0" max="9753" min="9753" style="70" width="8"/>
    <col collapsed="false" customWidth="false" hidden="false" outlineLevel="0" max="9754" min="9754" style="70" width="42.57"/>
    <col collapsed="false" customWidth="true" hidden="false" outlineLevel="0" max="9755" min="9755" style="70" width="3.29"/>
    <col collapsed="false" customWidth="true" hidden="false" outlineLevel="0" max="9756" min="9756" style="70" width="8"/>
    <col collapsed="false" customWidth="false" hidden="false" outlineLevel="0" max="9757" min="9757" style="70" width="42.57"/>
    <col collapsed="false" customWidth="true" hidden="false" outlineLevel="0" max="9758" min="9758" style="70" width="3.29"/>
    <col collapsed="false" customWidth="true" hidden="false" outlineLevel="0" max="9759" min="9759" style="70" width="8"/>
    <col collapsed="false" customWidth="false" hidden="false" outlineLevel="0" max="9760" min="9760" style="70" width="42.57"/>
    <col collapsed="false" customWidth="true" hidden="false" outlineLevel="0" max="9761" min="9761" style="70" width="3.29"/>
    <col collapsed="false" customWidth="true" hidden="false" outlineLevel="0" max="9762" min="9762" style="70" width="8"/>
    <col collapsed="false" customWidth="false" hidden="false" outlineLevel="0" max="9763" min="9763" style="70" width="42.57"/>
    <col collapsed="false" customWidth="true" hidden="false" outlineLevel="0" max="9764" min="9764" style="70" width="3.29"/>
    <col collapsed="false" customWidth="true" hidden="false" outlineLevel="0" max="9765" min="9765" style="70" width="8"/>
    <col collapsed="false" customWidth="false" hidden="false" outlineLevel="0" max="9766" min="9766" style="70" width="42.57"/>
    <col collapsed="false" customWidth="true" hidden="false" outlineLevel="0" max="9767" min="9767" style="70" width="3.29"/>
    <col collapsed="false" customWidth="true" hidden="false" outlineLevel="0" max="9768" min="9768" style="70" width="8"/>
    <col collapsed="false" customWidth="false" hidden="false" outlineLevel="0" max="9769" min="9769" style="70" width="42.57"/>
    <col collapsed="false" customWidth="true" hidden="false" outlineLevel="0" max="9770" min="9770" style="70" width="3.29"/>
    <col collapsed="false" customWidth="true" hidden="false" outlineLevel="0" max="9771" min="9771" style="70" width="8"/>
    <col collapsed="false" customWidth="false" hidden="false" outlineLevel="0" max="9772" min="9772" style="70" width="42.57"/>
    <col collapsed="false" customWidth="true" hidden="false" outlineLevel="0" max="9773" min="9773" style="70" width="3.29"/>
    <col collapsed="false" customWidth="true" hidden="false" outlineLevel="0" max="9774" min="9774" style="70" width="8"/>
    <col collapsed="false" customWidth="false" hidden="false" outlineLevel="0" max="9775" min="9775" style="70" width="42.57"/>
    <col collapsed="false" customWidth="true" hidden="false" outlineLevel="0" max="9776" min="9776" style="70" width="3.29"/>
    <col collapsed="false" customWidth="true" hidden="false" outlineLevel="0" max="9777" min="9777" style="70" width="8"/>
    <col collapsed="false" customWidth="false" hidden="false" outlineLevel="0" max="9778" min="9778" style="70" width="42.57"/>
    <col collapsed="false" customWidth="true" hidden="false" outlineLevel="0" max="9779" min="9779" style="70" width="3.29"/>
    <col collapsed="false" customWidth="true" hidden="false" outlineLevel="0" max="9780" min="9780" style="70" width="8"/>
    <col collapsed="false" customWidth="false" hidden="false" outlineLevel="0" max="9781" min="9781" style="70" width="42.57"/>
    <col collapsed="false" customWidth="true" hidden="false" outlineLevel="0" max="9782" min="9782" style="70" width="3.29"/>
    <col collapsed="false" customWidth="true" hidden="false" outlineLevel="0" max="9783" min="9783" style="70" width="8"/>
    <col collapsed="false" customWidth="false" hidden="false" outlineLevel="0" max="9784" min="9784" style="70" width="42.57"/>
    <col collapsed="false" customWidth="true" hidden="false" outlineLevel="0" max="9785" min="9785" style="70" width="3.29"/>
    <col collapsed="false" customWidth="true" hidden="false" outlineLevel="0" max="9786" min="9786" style="70" width="8"/>
    <col collapsed="false" customWidth="false" hidden="false" outlineLevel="0" max="9787" min="9787" style="70" width="42.57"/>
    <col collapsed="false" customWidth="true" hidden="false" outlineLevel="0" max="9788" min="9788" style="70" width="3.29"/>
    <col collapsed="false" customWidth="true" hidden="false" outlineLevel="0" max="9789" min="9789" style="70" width="8"/>
    <col collapsed="false" customWidth="false" hidden="false" outlineLevel="0" max="9790" min="9790" style="70" width="42.57"/>
    <col collapsed="false" customWidth="true" hidden="false" outlineLevel="0" max="9791" min="9791" style="70" width="3.29"/>
    <col collapsed="false" customWidth="true" hidden="false" outlineLevel="0" max="9792" min="9792" style="70" width="8"/>
    <col collapsed="false" customWidth="false" hidden="false" outlineLevel="0" max="9793" min="9793" style="70" width="42.57"/>
    <col collapsed="false" customWidth="true" hidden="false" outlineLevel="0" max="9794" min="9794" style="70" width="3.29"/>
    <col collapsed="false" customWidth="true" hidden="false" outlineLevel="0" max="9795" min="9795" style="70" width="8"/>
    <col collapsed="false" customWidth="false" hidden="false" outlineLevel="0" max="9796" min="9796" style="70" width="42.57"/>
    <col collapsed="false" customWidth="true" hidden="false" outlineLevel="0" max="9797" min="9797" style="70" width="3.29"/>
    <col collapsed="false" customWidth="true" hidden="false" outlineLevel="0" max="9798" min="9798" style="70" width="8"/>
    <col collapsed="false" customWidth="false" hidden="false" outlineLevel="0" max="9799" min="9799" style="70" width="42.57"/>
    <col collapsed="false" customWidth="true" hidden="false" outlineLevel="0" max="9800" min="9800" style="70" width="3.29"/>
    <col collapsed="false" customWidth="true" hidden="false" outlineLevel="0" max="9801" min="9801" style="70" width="8"/>
    <col collapsed="false" customWidth="false" hidden="false" outlineLevel="0" max="9802" min="9802" style="70" width="42.57"/>
    <col collapsed="false" customWidth="true" hidden="false" outlineLevel="0" max="9803" min="9803" style="70" width="3.29"/>
    <col collapsed="false" customWidth="true" hidden="false" outlineLevel="0" max="9804" min="9804" style="70" width="8"/>
    <col collapsed="false" customWidth="false" hidden="false" outlineLevel="0" max="9805" min="9805" style="70" width="42.57"/>
    <col collapsed="false" customWidth="true" hidden="false" outlineLevel="0" max="9806" min="9806" style="70" width="3.29"/>
    <col collapsed="false" customWidth="true" hidden="false" outlineLevel="0" max="9807" min="9807" style="70" width="8"/>
    <col collapsed="false" customWidth="false" hidden="false" outlineLevel="0" max="9808" min="9808" style="70" width="42.57"/>
    <col collapsed="false" customWidth="true" hidden="false" outlineLevel="0" max="9809" min="9809" style="70" width="3.29"/>
    <col collapsed="false" customWidth="true" hidden="false" outlineLevel="0" max="9810" min="9810" style="70" width="8"/>
    <col collapsed="false" customWidth="false" hidden="false" outlineLevel="0" max="9811" min="9811" style="70" width="42.57"/>
    <col collapsed="false" customWidth="true" hidden="false" outlineLevel="0" max="9812" min="9812" style="70" width="3.29"/>
    <col collapsed="false" customWidth="true" hidden="false" outlineLevel="0" max="9813" min="9813" style="70" width="8"/>
    <col collapsed="false" customWidth="false" hidden="false" outlineLevel="0" max="9814" min="9814" style="70" width="42.57"/>
    <col collapsed="false" customWidth="true" hidden="false" outlineLevel="0" max="9815" min="9815" style="70" width="3.29"/>
    <col collapsed="false" customWidth="true" hidden="false" outlineLevel="0" max="9816" min="9816" style="70" width="8"/>
    <col collapsed="false" customWidth="false" hidden="false" outlineLevel="0" max="9817" min="9817" style="70" width="42.57"/>
    <col collapsed="false" customWidth="true" hidden="false" outlineLevel="0" max="9818" min="9818" style="70" width="3.29"/>
    <col collapsed="false" customWidth="true" hidden="false" outlineLevel="0" max="9819" min="9819" style="70" width="8"/>
    <col collapsed="false" customWidth="false" hidden="false" outlineLevel="0" max="9820" min="9820" style="70" width="42.57"/>
    <col collapsed="false" customWidth="true" hidden="false" outlineLevel="0" max="9821" min="9821" style="70" width="3.29"/>
    <col collapsed="false" customWidth="true" hidden="false" outlineLevel="0" max="9822" min="9822" style="70" width="8"/>
    <col collapsed="false" customWidth="false" hidden="false" outlineLevel="0" max="9823" min="9823" style="70" width="42.57"/>
    <col collapsed="false" customWidth="true" hidden="false" outlineLevel="0" max="9824" min="9824" style="70" width="3.29"/>
    <col collapsed="false" customWidth="true" hidden="false" outlineLevel="0" max="9825" min="9825" style="70" width="8"/>
    <col collapsed="false" customWidth="false" hidden="false" outlineLevel="0" max="9826" min="9826" style="70" width="42.57"/>
    <col collapsed="false" customWidth="true" hidden="false" outlineLevel="0" max="9827" min="9827" style="70" width="3.29"/>
    <col collapsed="false" customWidth="true" hidden="false" outlineLevel="0" max="9828" min="9828" style="70" width="8"/>
    <col collapsed="false" customWidth="false" hidden="false" outlineLevel="0" max="9829" min="9829" style="70" width="42.57"/>
    <col collapsed="false" customWidth="true" hidden="false" outlineLevel="0" max="9830" min="9830" style="70" width="3.29"/>
    <col collapsed="false" customWidth="true" hidden="false" outlineLevel="0" max="9831" min="9831" style="70" width="8"/>
    <col collapsed="false" customWidth="false" hidden="false" outlineLevel="0" max="9832" min="9832" style="70" width="42.57"/>
    <col collapsed="false" customWidth="true" hidden="false" outlineLevel="0" max="9833" min="9833" style="70" width="3.29"/>
    <col collapsed="false" customWidth="true" hidden="false" outlineLevel="0" max="9834" min="9834" style="70" width="8"/>
    <col collapsed="false" customWidth="false" hidden="false" outlineLevel="0" max="9835" min="9835" style="70" width="42.57"/>
    <col collapsed="false" customWidth="true" hidden="false" outlineLevel="0" max="9836" min="9836" style="70" width="3.29"/>
    <col collapsed="false" customWidth="true" hidden="false" outlineLevel="0" max="9837" min="9837" style="70" width="8"/>
    <col collapsed="false" customWidth="false" hidden="false" outlineLevel="0" max="9838" min="9838" style="70" width="42.57"/>
    <col collapsed="false" customWidth="true" hidden="false" outlineLevel="0" max="9839" min="9839" style="70" width="3.29"/>
    <col collapsed="false" customWidth="true" hidden="false" outlineLevel="0" max="9840" min="9840" style="70" width="8"/>
    <col collapsed="false" customWidth="false" hidden="false" outlineLevel="0" max="9841" min="9841" style="70" width="42.57"/>
    <col collapsed="false" customWidth="true" hidden="false" outlineLevel="0" max="9842" min="9842" style="70" width="3.29"/>
    <col collapsed="false" customWidth="true" hidden="false" outlineLevel="0" max="9843" min="9843" style="70" width="8"/>
    <col collapsed="false" customWidth="false" hidden="false" outlineLevel="0" max="9844" min="9844" style="70" width="42.57"/>
    <col collapsed="false" customWidth="true" hidden="false" outlineLevel="0" max="9845" min="9845" style="70" width="3.29"/>
    <col collapsed="false" customWidth="true" hidden="false" outlineLevel="0" max="9846" min="9846" style="70" width="8"/>
    <col collapsed="false" customWidth="false" hidden="false" outlineLevel="0" max="9847" min="9847" style="70" width="42.57"/>
    <col collapsed="false" customWidth="true" hidden="false" outlineLevel="0" max="9848" min="9848" style="70" width="3.29"/>
    <col collapsed="false" customWidth="true" hidden="false" outlineLevel="0" max="9849" min="9849" style="70" width="8"/>
    <col collapsed="false" customWidth="false" hidden="false" outlineLevel="0" max="9850" min="9850" style="70" width="42.57"/>
    <col collapsed="false" customWidth="true" hidden="false" outlineLevel="0" max="9851" min="9851" style="70" width="3.29"/>
    <col collapsed="false" customWidth="true" hidden="false" outlineLevel="0" max="9852" min="9852" style="70" width="8"/>
    <col collapsed="false" customWidth="false" hidden="false" outlineLevel="0" max="9853" min="9853" style="70" width="42.57"/>
    <col collapsed="false" customWidth="true" hidden="false" outlineLevel="0" max="9854" min="9854" style="70" width="3.29"/>
    <col collapsed="false" customWidth="true" hidden="false" outlineLevel="0" max="9855" min="9855" style="70" width="8"/>
    <col collapsed="false" customWidth="false" hidden="false" outlineLevel="0" max="9856" min="9856" style="70" width="42.57"/>
    <col collapsed="false" customWidth="true" hidden="false" outlineLevel="0" max="9857" min="9857" style="70" width="3.29"/>
    <col collapsed="false" customWidth="true" hidden="false" outlineLevel="0" max="9858" min="9858" style="70" width="8"/>
    <col collapsed="false" customWidth="false" hidden="false" outlineLevel="0" max="9859" min="9859" style="70" width="42.57"/>
    <col collapsed="false" customWidth="true" hidden="false" outlineLevel="0" max="9860" min="9860" style="70" width="3.29"/>
    <col collapsed="false" customWidth="true" hidden="false" outlineLevel="0" max="9861" min="9861" style="70" width="8"/>
    <col collapsed="false" customWidth="false" hidden="false" outlineLevel="0" max="9862" min="9862" style="70" width="42.57"/>
    <col collapsed="false" customWidth="true" hidden="false" outlineLevel="0" max="9863" min="9863" style="70" width="3.29"/>
    <col collapsed="false" customWidth="true" hidden="false" outlineLevel="0" max="9864" min="9864" style="70" width="8"/>
    <col collapsed="false" customWidth="false" hidden="false" outlineLevel="0" max="9865" min="9865" style="70" width="42.57"/>
    <col collapsed="false" customWidth="true" hidden="false" outlineLevel="0" max="9866" min="9866" style="70" width="3.29"/>
    <col collapsed="false" customWidth="true" hidden="false" outlineLevel="0" max="9867" min="9867" style="70" width="8"/>
    <col collapsed="false" customWidth="false" hidden="false" outlineLevel="0" max="9868" min="9868" style="70" width="42.57"/>
    <col collapsed="false" customWidth="true" hidden="false" outlineLevel="0" max="9869" min="9869" style="70" width="3.29"/>
    <col collapsed="false" customWidth="true" hidden="false" outlineLevel="0" max="9870" min="9870" style="70" width="8"/>
    <col collapsed="false" customWidth="false" hidden="false" outlineLevel="0" max="9871" min="9871" style="70" width="42.57"/>
    <col collapsed="false" customWidth="true" hidden="false" outlineLevel="0" max="9872" min="9872" style="70" width="3.29"/>
    <col collapsed="false" customWidth="true" hidden="false" outlineLevel="0" max="9873" min="9873" style="70" width="8"/>
    <col collapsed="false" customWidth="false" hidden="false" outlineLevel="0" max="9874" min="9874" style="70" width="42.57"/>
    <col collapsed="false" customWidth="true" hidden="false" outlineLevel="0" max="9875" min="9875" style="70" width="3.29"/>
    <col collapsed="false" customWidth="true" hidden="false" outlineLevel="0" max="9876" min="9876" style="70" width="8"/>
    <col collapsed="false" customWidth="false" hidden="false" outlineLevel="0" max="9877" min="9877" style="70" width="42.57"/>
    <col collapsed="false" customWidth="true" hidden="false" outlineLevel="0" max="9878" min="9878" style="70" width="3.29"/>
    <col collapsed="false" customWidth="true" hidden="false" outlineLevel="0" max="9879" min="9879" style="70" width="8"/>
    <col collapsed="false" customWidth="false" hidden="false" outlineLevel="0" max="9880" min="9880" style="70" width="42.57"/>
    <col collapsed="false" customWidth="true" hidden="false" outlineLevel="0" max="9881" min="9881" style="70" width="3.29"/>
    <col collapsed="false" customWidth="true" hidden="false" outlineLevel="0" max="9882" min="9882" style="70" width="8"/>
    <col collapsed="false" customWidth="false" hidden="false" outlineLevel="0" max="9883" min="9883" style="70" width="42.57"/>
    <col collapsed="false" customWidth="true" hidden="false" outlineLevel="0" max="9884" min="9884" style="70" width="3.29"/>
    <col collapsed="false" customWidth="true" hidden="false" outlineLevel="0" max="9885" min="9885" style="70" width="8"/>
    <col collapsed="false" customWidth="false" hidden="false" outlineLevel="0" max="9886" min="9886" style="70" width="42.57"/>
    <col collapsed="false" customWidth="true" hidden="false" outlineLevel="0" max="9887" min="9887" style="70" width="3.29"/>
    <col collapsed="false" customWidth="true" hidden="false" outlineLevel="0" max="9888" min="9888" style="70" width="8"/>
    <col collapsed="false" customWidth="false" hidden="false" outlineLevel="0" max="9889" min="9889" style="70" width="42.57"/>
    <col collapsed="false" customWidth="true" hidden="false" outlineLevel="0" max="9890" min="9890" style="70" width="3.29"/>
    <col collapsed="false" customWidth="true" hidden="false" outlineLevel="0" max="9891" min="9891" style="70" width="8"/>
    <col collapsed="false" customWidth="false" hidden="false" outlineLevel="0" max="9892" min="9892" style="70" width="42.57"/>
    <col collapsed="false" customWidth="true" hidden="false" outlineLevel="0" max="9893" min="9893" style="70" width="3.29"/>
    <col collapsed="false" customWidth="true" hidden="false" outlineLevel="0" max="9894" min="9894" style="70" width="8"/>
    <col collapsed="false" customWidth="false" hidden="false" outlineLevel="0" max="9895" min="9895" style="70" width="42.57"/>
    <col collapsed="false" customWidth="true" hidden="false" outlineLevel="0" max="9896" min="9896" style="70" width="3.29"/>
    <col collapsed="false" customWidth="true" hidden="false" outlineLevel="0" max="9897" min="9897" style="70" width="8"/>
    <col collapsed="false" customWidth="false" hidden="false" outlineLevel="0" max="9898" min="9898" style="70" width="42.57"/>
    <col collapsed="false" customWidth="true" hidden="false" outlineLevel="0" max="9899" min="9899" style="70" width="3.29"/>
    <col collapsed="false" customWidth="true" hidden="false" outlineLevel="0" max="9900" min="9900" style="70" width="8"/>
    <col collapsed="false" customWidth="false" hidden="false" outlineLevel="0" max="9901" min="9901" style="70" width="42.57"/>
    <col collapsed="false" customWidth="true" hidden="false" outlineLevel="0" max="9902" min="9902" style="70" width="3.29"/>
    <col collapsed="false" customWidth="true" hidden="false" outlineLevel="0" max="9903" min="9903" style="70" width="8"/>
    <col collapsed="false" customWidth="false" hidden="false" outlineLevel="0" max="9904" min="9904" style="70" width="42.57"/>
    <col collapsed="false" customWidth="true" hidden="false" outlineLevel="0" max="9905" min="9905" style="70" width="3.29"/>
    <col collapsed="false" customWidth="true" hidden="false" outlineLevel="0" max="9906" min="9906" style="70" width="8"/>
    <col collapsed="false" customWidth="false" hidden="false" outlineLevel="0" max="9907" min="9907" style="70" width="42.57"/>
    <col collapsed="false" customWidth="true" hidden="false" outlineLevel="0" max="9908" min="9908" style="70" width="3.29"/>
    <col collapsed="false" customWidth="true" hidden="false" outlineLevel="0" max="9909" min="9909" style="70" width="8"/>
    <col collapsed="false" customWidth="false" hidden="false" outlineLevel="0" max="9910" min="9910" style="70" width="42.57"/>
    <col collapsed="false" customWidth="true" hidden="false" outlineLevel="0" max="9911" min="9911" style="70" width="3.29"/>
    <col collapsed="false" customWidth="true" hidden="false" outlineLevel="0" max="9912" min="9912" style="70" width="8"/>
    <col collapsed="false" customWidth="false" hidden="false" outlineLevel="0" max="9913" min="9913" style="70" width="42.57"/>
    <col collapsed="false" customWidth="true" hidden="false" outlineLevel="0" max="9914" min="9914" style="70" width="3.29"/>
    <col collapsed="false" customWidth="true" hidden="false" outlineLevel="0" max="9915" min="9915" style="70" width="8"/>
    <col collapsed="false" customWidth="false" hidden="false" outlineLevel="0" max="9916" min="9916" style="70" width="42.57"/>
    <col collapsed="false" customWidth="true" hidden="false" outlineLevel="0" max="9917" min="9917" style="70" width="3.29"/>
    <col collapsed="false" customWidth="true" hidden="false" outlineLevel="0" max="9918" min="9918" style="70" width="8"/>
    <col collapsed="false" customWidth="false" hidden="false" outlineLevel="0" max="9919" min="9919" style="70" width="42.57"/>
    <col collapsed="false" customWidth="true" hidden="false" outlineLevel="0" max="9920" min="9920" style="70" width="3.29"/>
    <col collapsed="false" customWidth="true" hidden="false" outlineLevel="0" max="9921" min="9921" style="70" width="8"/>
    <col collapsed="false" customWidth="false" hidden="false" outlineLevel="0" max="9922" min="9922" style="70" width="42.57"/>
    <col collapsed="false" customWidth="true" hidden="false" outlineLevel="0" max="9923" min="9923" style="70" width="3.29"/>
    <col collapsed="false" customWidth="true" hidden="false" outlineLevel="0" max="9924" min="9924" style="70" width="8"/>
    <col collapsed="false" customWidth="false" hidden="false" outlineLevel="0" max="9925" min="9925" style="70" width="42.57"/>
    <col collapsed="false" customWidth="true" hidden="false" outlineLevel="0" max="9926" min="9926" style="70" width="3.29"/>
    <col collapsed="false" customWidth="true" hidden="false" outlineLevel="0" max="9927" min="9927" style="70" width="8"/>
    <col collapsed="false" customWidth="false" hidden="false" outlineLevel="0" max="9928" min="9928" style="70" width="42.57"/>
    <col collapsed="false" customWidth="true" hidden="false" outlineLevel="0" max="9929" min="9929" style="70" width="3.29"/>
    <col collapsed="false" customWidth="true" hidden="false" outlineLevel="0" max="9930" min="9930" style="70" width="8"/>
    <col collapsed="false" customWidth="false" hidden="false" outlineLevel="0" max="9931" min="9931" style="70" width="42.57"/>
    <col collapsed="false" customWidth="true" hidden="false" outlineLevel="0" max="9932" min="9932" style="70" width="3.29"/>
    <col collapsed="false" customWidth="true" hidden="false" outlineLevel="0" max="9933" min="9933" style="70" width="8"/>
    <col collapsed="false" customWidth="false" hidden="false" outlineLevel="0" max="9934" min="9934" style="70" width="42.57"/>
    <col collapsed="false" customWidth="true" hidden="false" outlineLevel="0" max="9935" min="9935" style="70" width="3.29"/>
    <col collapsed="false" customWidth="true" hidden="false" outlineLevel="0" max="9936" min="9936" style="70" width="8"/>
    <col collapsed="false" customWidth="false" hidden="false" outlineLevel="0" max="9937" min="9937" style="70" width="42.57"/>
    <col collapsed="false" customWidth="true" hidden="false" outlineLevel="0" max="9938" min="9938" style="70" width="3.29"/>
    <col collapsed="false" customWidth="true" hidden="false" outlineLevel="0" max="9939" min="9939" style="70" width="8"/>
    <col collapsed="false" customWidth="false" hidden="false" outlineLevel="0" max="9940" min="9940" style="70" width="42.57"/>
    <col collapsed="false" customWidth="true" hidden="false" outlineLevel="0" max="9941" min="9941" style="70" width="3.29"/>
    <col collapsed="false" customWidth="true" hidden="false" outlineLevel="0" max="9942" min="9942" style="70" width="8"/>
    <col collapsed="false" customWidth="false" hidden="false" outlineLevel="0" max="9943" min="9943" style="70" width="42.57"/>
    <col collapsed="false" customWidth="true" hidden="false" outlineLevel="0" max="9944" min="9944" style="70" width="3.29"/>
    <col collapsed="false" customWidth="true" hidden="false" outlineLevel="0" max="9945" min="9945" style="70" width="8"/>
    <col collapsed="false" customWidth="false" hidden="false" outlineLevel="0" max="9946" min="9946" style="70" width="42.57"/>
    <col collapsed="false" customWidth="true" hidden="false" outlineLevel="0" max="9947" min="9947" style="70" width="3.29"/>
    <col collapsed="false" customWidth="true" hidden="false" outlineLevel="0" max="9948" min="9948" style="70" width="8"/>
    <col collapsed="false" customWidth="false" hidden="false" outlineLevel="0" max="9949" min="9949" style="70" width="42.57"/>
    <col collapsed="false" customWidth="true" hidden="false" outlineLevel="0" max="9950" min="9950" style="70" width="3.29"/>
    <col collapsed="false" customWidth="true" hidden="false" outlineLevel="0" max="9951" min="9951" style="70" width="8"/>
    <col collapsed="false" customWidth="false" hidden="false" outlineLevel="0" max="9952" min="9952" style="70" width="42.57"/>
    <col collapsed="false" customWidth="true" hidden="false" outlineLevel="0" max="9953" min="9953" style="70" width="3.29"/>
    <col collapsed="false" customWidth="true" hidden="false" outlineLevel="0" max="9954" min="9954" style="70" width="8"/>
    <col collapsed="false" customWidth="false" hidden="false" outlineLevel="0" max="9955" min="9955" style="70" width="42.57"/>
    <col collapsed="false" customWidth="true" hidden="false" outlineLevel="0" max="9956" min="9956" style="70" width="3.29"/>
    <col collapsed="false" customWidth="true" hidden="false" outlineLevel="0" max="9957" min="9957" style="70" width="8"/>
    <col collapsed="false" customWidth="false" hidden="false" outlineLevel="0" max="9958" min="9958" style="70" width="42.57"/>
    <col collapsed="false" customWidth="true" hidden="false" outlineLevel="0" max="9959" min="9959" style="70" width="3.29"/>
    <col collapsed="false" customWidth="true" hidden="false" outlineLevel="0" max="9960" min="9960" style="70" width="8"/>
    <col collapsed="false" customWidth="false" hidden="false" outlineLevel="0" max="9961" min="9961" style="70" width="42.57"/>
    <col collapsed="false" customWidth="true" hidden="false" outlineLevel="0" max="9962" min="9962" style="70" width="3.29"/>
    <col collapsed="false" customWidth="true" hidden="false" outlineLevel="0" max="9963" min="9963" style="70" width="8"/>
    <col collapsed="false" customWidth="false" hidden="false" outlineLevel="0" max="9964" min="9964" style="70" width="42.57"/>
    <col collapsed="false" customWidth="true" hidden="false" outlineLevel="0" max="9965" min="9965" style="70" width="3.29"/>
    <col collapsed="false" customWidth="true" hidden="false" outlineLevel="0" max="9966" min="9966" style="70" width="8"/>
    <col collapsed="false" customWidth="false" hidden="false" outlineLevel="0" max="9967" min="9967" style="70" width="42.57"/>
    <col collapsed="false" customWidth="true" hidden="false" outlineLevel="0" max="9968" min="9968" style="70" width="3.29"/>
    <col collapsed="false" customWidth="true" hidden="false" outlineLevel="0" max="9969" min="9969" style="70" width="8"/>
    <col collapsed="false" customWidth="false" hidden="false" outlineLevel="0" max="9970" min="9970" style="70" width="42.57"/>
    <col collapsed="false" customWidth="true" hidden="false" outlineLevel="0" max="9971" min="9971" style="70" width="3.29"/>
    <col collapsed="false" customWidth="true" hidden="false" outlineLevel="0" max="9972" min="9972" style="70" width="8"/>
    <col collapsed="false" customWidth="false" hidden="false" outlineLevel="0" max="9973" min="9973" style="70" width="42.57"/>
    <col collapsed="false" customWidth="true" hidden="false" outlineLevel="0" max="9974" min="9974" style="70" width="3.29"/>
    <col collapsed="false" customWidth="true" hidden="false" outlineLevel="0" max="9975" min="9975" style="70" width="8"/>
    <col collapsed="false" customWidth="false" hidden="false" outlineLevel="0" max="9976" min="9976" style="70" width="42.57"/>
    <col collapsed="false" customWidth="true" hidden="false" outlineLevel="0" max="9977" min="9977" style="70" width="3.29"/>
    <col collapsed="false" customWidth="true" hidden="false" outlineLevel="0" max="9978" min="9978" style="70" width="8"/>
    <col collapsed="false" customWidth="false" hidden="false" outlineLevel="0" max="9979" min="9979" style="70" width="42.57"/>
    <col collapsed="false" customWidth="true" hidden="false" outlineLevel="0" max="9980" min="9980" style="70" width="3.29"/>
    <col collapsed="false" customWidth="true" hidden="false" outlineLevel="0" max="9981" min="9981" style="70" width="8"/>
    <col collapsed="false" customWidth="false" hidden="false" outlineLevel="0" max="9982" min="9982" style="70" width="42.57"/>
    <col collapsed="false" customWidth="true" hidden="false" outlineLevel="0" max="9983" min="9983" style="70" width="3.29"/>
    <col collapsed="false" customWidth="true" hidden="false" outlineLevel="0" max="9984" min="9984" style="70" width="8"/>
    <col collapsed="false" customWidth="false" hidden="false" outlineLevel="0" max="9985" min="9985" style="70" width="42.57"/>
    <col collapsed="false" customWidth="true" hidden="false" outlineLevel="0" max="9986" min="9986" style="70" width="3.29"/>
    <col collapsed="false" customWidth="true" hidden="false" outlineLevel="0" max="9987" min="9987" style="70" width="8"/>
    <col collapsed="false" customWidth="false" hidden="false" outlineLevel="0" max="9988" min="9988" style="70" width="42.57"/>
    <col collapsed="false" customWidth="true" hidden="false" outlineLevel="0" max="9989" min="9989" style="70" width="3.29"/>
    <col collapsed="false" customWidth="true" hidden="false" outlineLevel="0" max="9990" min="9990" style="70" width="8"/>
    <col collapsed="false" customWidth="false" hidden="false" outlineLevel="0" max="9991" min="9991" style="70" width="42.57"/>
    <col collapsed="false" customWidth="true" hidden="false" outlineLevel="0" max="9992" min="9992" style="70" width="3.29"/>
    <col collapsed="false" customWidth="true" hidden="false" outlineLevel="0" max="9993" min="9993" style="70" width="8"/>
    <col collapsed="false" customWidth="false" hidden="false" outlineLevel="0" max="9994" min="9994" style="70" width="42.57"/>
    <col collapsed="false" customWidth="true" hidden="false" outlineLevel="0" max="9995" min="9995" style="70" width="3.29"/>
    <col collapsed="false" customWidth="true" hidden="false" outlineLevel="0" max="9996" min="9996" style="70" width="8"/>
    <col collapsed="false" customWidth="false" hidden="false" outlineLevel="0" max="9997" min="9997" style="70" width="42.57"/>
    <col collapsed="false" customWidth="true" hidden="false" outlineLevel="0" max="9998" min="9998" style="70" width="3.29"/>
    <col collapsed="false" customWidth="true" hidden="false" outlineLevel="0" max="9999" min="9999" style="70" width="8"/>
    <col collapsed="false" customWidth="false" hidden="false" outlineLevel="0" max="10000" min="10000" style="70" width="42.57"/>
    <col collapsed="false" customWidth="true" hidden="false" outlineLevel="0" max="10001" min="10001" style="70" width="3.29"/>
    <col collapsed="false" customWidth="true" hidden="false" outlineLevel="0" max="10002" min="10002" style="70" width="8"/>
    <col collapsed="false" customWidth="false" hidden="false" outlineLevel="0" max="10003" min="10003" style="70" width="42.57"/>
    <col collapsed="false" customWidth="true" hidden="false" outlineLevel="0" max="10004" min="10004" style="70" width="3.29"/>
    <col collapsed="false" customWidth="true" hidden="false" outlineLevel="0" max="10005" min="10005" style="70" width="8"/>
    <col collapsed="false" customWidth="false" hidden="false" outlineLevel="0" max="10006" min="10006" style="70" width="42.57"/>
    <col collapsed="false" customWidth="true" hidden="false" outlineLevel="0" max="10007" min="10007" style="70" width="3.29"/>
    <col collapsed="false" customWidth="true" hidden="false" outlineLevel="0" max="10008" min="10008" style="70" width="8"/>
    <col collapsed="false" customWidth="false" hidden="false" outlineLevel="0" max="10009" min="10009" style="70" width="42.57"/>
    <col collapsed="false" customWidth="true" hidden="false" outlineLevel="0" max="10010" min="10010" style="70" width="3.29"/>
    <col collapsed="false" customWidth="true" hidden="false" outlineLevel="0" max="10011" min="10011" style="70" width="8"/>
    <col collapsed="false" customWidth="false" hidden="false" outlineLevel="0" max="10012" min="10012" style="70" width="42.57"/>
    <col collapsed="false" customWidth="true" hidden="false" outlineLevel="0" max="10013" min="10013" style="70" width="3.29"/>
    <col collapsed="false" customWidth="true" hidden="false" outlineLevel="0" max="10014" min="10014" style="70" width="8"/>
    <col collapsed="false" customWidth="false" hidden="false" outlineLevel="0" max="10015" min="10015" style="70" width="42.57"/>
    <col collapsed="false" customWidth="true" hidden="false" outlineLevel="0" max="10016" min="10016" style="70" width="3.29"/>
    <col collapsed="false" customWidth="true" hidden="false" outlineLevel="0" max="10017" min="10017" style="70" width="8"/>
    <col collapsed="false" customWidth="false" hidden="false" outlineLevel="0" max="10018" min="10018" style="70" width="42.57"/>
    <col collapsed="false" customWidth="true" hidden="false" outlineLevel="0" max="10019" min="10019" style="70" width="3.29"/>
    <col collapsed="false" customWidth="true" hidden="false" outlineLevel="0" max="10020" min="10020" style="70" width="8"/>
    <col collapsed="false" customWidth="false" hidden="false" outlineLevel="0" max="10021" min="10021" style="70" width="42.57"/>
    <col collapsed="false" customWidth="true" hidden="false" outlineLevel="0" max="10022" min="10022" style="70" width="3.29"/>
    <col collapsed="false" customWidth="true" hidden="false" outlineLevel="0" max="10023" min="10023" style="70" width="8"/>
    <col collapsed="false" customWidth="false" hidden="false" outlineLevel="0" max="10024" min="10024" style="70" width="42.57"/>
    <col collapsed="false" customWidth="true" hidden="false" outlineLevel="0" max="10025" min="10025" style="70" width="3.29"/>
    <col collapsed="false" customWidth="true" hidden="false" outlineLevel="0" max="10026" min="10026" style="70" width="8"/>
    <col collapsed="false" customWidth="false" hidden="false" outlineLevel="0" max="10027" min="10027" style="70" width="42.57"/>
    <col collapsed="false" customWidth="true" hidden="false" outlineLevel="0" max="10028" min="10028" style="70" width="3.29"/>
    <col collapsed="false" customWidth="true" hidden="false" outlineLevel="0" max="10029" min="10029" style="70" width="8"/>
    <col collapsed="false" customWidth="false" hidden="false" outlineLevel="0" max="10030" min="10030" style="70" width="42.57"/>
    <col collapsed="false" customWidth="true" hidden="false" outlineLevel="0" max="10031" min="10031" style="70" width="3.29"/>
    <col collapsed="false" customWidth="true" hidden="false" outlineLevel="0" max="10032" min="10032" style="70" width="8"/>
    <col collapsed="false" customWidth="false" hidden="false" outlineLevel="0" max="10033" min="10033" style="70" width="42.57"/>
    <col collapsed="false" customWidth="true" hidden="false" outlineLevel="0" max="10034" min="10034" style="70" width="3.29"/>
    <col collapsed="false" customWidth="true" hidden="false" outlineLevel="0" max="10035" min="10035" style="70" width="8"/>
    <col collapsed="false" customWidth="false" hidden="false" outlineLevel="0" max="10036" min="10036" style="70" width="42.57"/>
    <col collapsed="false" customWidth="true" hidden="false" outlineLevel="0" max="10037" min="10037" style="70" width="3.29"/>
    <col collapsed="false" customWidth="true" hidden="false" outlineLevel="0" max="10038" min="10038" style="70" width="8"/>
    <col collapsed="false" customWidth="false" hidden="false" outlineLevel="0" max="10039" min="10039" style="70" width="42.57"/>
    <col collapsed="false" customWidth="true" hidden="false" outlineLevel="0" max="10040" min="10040" style="70" width="3.29"/>
    <col collapsed="false" customWidth="true" hidden="false" outlineLevel="0" max="10041" min="10041" style="70" width="8"/>
    <col collapsed="false" customWidth="false" hidden="false" outlineLevel="0" max="10042" min="10042" style="70" width="42.57"/>
    <col collapsed="false" customWidth="true" hidden="false" outlineLevel="0" max="10043" min="10043" style="70" width="3.29"/>
    <col collapsed="false" customWidth="true" hidden="false" outlineLevel="0" max="10044" min="10044" style="70" width="8"/>
    <col collapsed="false" customWidth="false" hidden="false" outlineLevel="0" max="10045" min="10045" style="70" width="42.57"/>
    <col collapsed="false" customWidth="true" hidden="false" outlineLevel="0" max="10046" min="10046" style="70" width="3.29"/>
    <col collapsed="false" customWidth="true" hidden="false" outlineLevel="0" max="10047" min="10047" style="70" width="8"/>
    <col collapsed="false" customWidth="false" hidden="false" outlineLevel="0" max="10048" min="10048" style="70" width="42.57"/>
    <col collapsed="false" customWidth="true" hidden="false" outlineLevel="0" max="10049" min="10049" style="70" width="3.29"/>
    <col collapsed="false" customWidth="true" hidden="false" outlineLevel="0" max="10050" min="10050" style="70" width="8"/>
    <col collapsed="false" customWidth="false" hidden="false" outlineLevel="0" max="10051" min="10051" style="70" width="42.57"/>
    <col collapsed="false" customWidth="true" hidden="false" outlineLevel="0" max="10052" min="10052" style="70" width="3.29"/>
    <col collapsed="false" customWidth="true" hidden="false" outlineLevel="0" max="10053" min="10053" style="70" width="8"/>
    <col collapsed="false" customWidth="false" hidden="false" outlineLevel="0" max="10054" min="10054" style="70" width="42.57"/>
    <col collapsed="false" customWidth="true" hidden="false" outlineLevel="0" max="10055" min="10055" style="70" width="3.29"/>
    <col collapsed="false" customWidth="true" hidden="false" outlineLevel="0" max="10056" min="10056" style="70" width="8"/>
    <col collapsed="false" customWidth="false" hidden="false" outlineLevel="0" max="10057" min="10057" style="70" width="42.57"/>
    <col collapsed="false" customWidth="true" hidden="false" outlineLevel="0" max="10058" min="10058" style="70" width="3.29"/>
    <col collapsed="false" customWidth="true" hidden="false" outlineLevel="0" max="10059" min="10059" style="70" width="8"/>
    <col collapsed="false" customWidth="false" hidden="false" outlineLevel="0" max="10060" min="10060" style="70" width="42.57"/>
    <col collapsed="false" customWidth="true" hidden="false" outlineLevel="0" max="10061" min="10061" style="70" width="3.29"/>
    <col collapsed="false" customWidth="true" hidden="false" outlineLevel="0" max="10062" min="10062" style="70" width="8"/>
    <col collapsed="false" customWidth="false" hidden="false" outlineLevel="0" max="10063" min="10063" style="70" width="42.57"/>
    <col collapsed="false" customWidth="true" hidden="false" outlineLevel="0" max="10064" min="10064" style="70" width="3.29"/>
    <col collapsed="false" customWidth="true" hidden="false" outlineLevel="0" max="10065" min="10065" style="70" width="8"/>
    <col collapsed="false" customWidth="false" hidden="false" outlineLevel="0" max="10066" min="10066" style="70" width="42.57"/>
    <col collapsed="false" customWidth="true" hidden="false" outlineLevel="0" max="10067" min="10067" style="70" width="3.29"/>
    <col collapsed="false" customWidth="true" hidden="false" outlineLevel="0" max="10068" min="10068" style="70" width="8"/>
    <col collapsed="false" customWidth="false" hidden="false" outlineLevel="0" max="10069" min="10069" style="70" width="42.57"/>
    <col collapsed="false" customWidth="true" hidden="false" outlineLevel="0" max="10070" min="10070" style="70" width="3.29"/>
    <col collapsed="false" customWidth="true" hidden="false" outlineLevel="0" max="10071" min="10071" style="70" width="8"/>
    <col collapsed="false" customWidth="false" hidden="false" outlineLevel="0" max="10072" min="10072" style="70" width="42.57"/>
    <col collapsed="false" customWidth="true" hidden="false" outlineLevel="0" max="10073" min="10073" style="70" width="3.29"/>
    <col collapsed="false" customWidth="true" hidden="false" outlineLevel="0" max="10074" min="10074" style="70" width="8"/>
    <col collapsed="false" customWidth="false" hidden="false" outlineLevel="0" max="10075" min="10075" style="70" width="42.57"/>
    <col collapsed="false" customWidth="true" hidden="false" outlineLevel="0" max="10076" min="10076" style="70" width="3.29"/>
    <col collapsed="false" customWidth="true" hidden="false" outlineLevel="0" max="10077" min="10077" style="70" width="8"/>
    <col collapsed="false" customWidth="false" hidden="false" outlineLevel="0" max="10078" min="10078" style="70" width="42.57"/>
    <col collapsed="false" customWidth="true" hidden="false" outlineLevel="0" max="10079" min="10079" style="70" width="3.29"/>
    <col collapsed="false" customWidth="true" hidden="false" outlineLevel="0" max="10080" min="10080" style="70" width="8"/>
    <col collapsed="false" customWidth="false" hidden="false" outlineLevel="0" max="10081" min="10081" style="70" width="42.57"/>
    <col collapsed="false" customWidth="true" hidden="false" outlineLevel="0" max="10082" min="10082" style="70" width="3.29"/>
    <col collapsed="false" customWidth="true" hidden="false" outlineLevel="0" max="10083" min="10083" style="70" width="8"/>
    <col collapsed="false" customWidth="false" hidden="false" outlineLevel="0" max="10084" min="10084" style="70" width="42.57"/>
    <col collapsed="false" customWidth="true" hidden="false" outlineLevel="0" max="10085" min="10085" style="70" width="3.29"/>
    <col collapsed="false" customWidth="true" hidden="false" outlineLevel="0" max="10086" min="10086" style="70" width="8"/>
    <col collapsed="false" customWidth="false" hidden="false" outlineLevel="0" max="10087" min="10087" style="70" width="42.57"/>
    <col collapsed="false" customWidth="true" hidden="false" outlineLevel="0" max="10088" min="10088" style="70" width="3.29"/>
    <col collapsed="false" customWidth="true" hidden="false" outlineLevel="0" max="10089" min="10089" style="70" width="8"/>
    <col collapsed="false" customWidth="false" hidden="false" outlineLevel="0" max="10090" min="10090" style="70" width="42.57"/>
    <col collapsed="false" customWidth="true" hidden="false" outlineLevel="0" max="10091" min="10091" style="70" width="3.29"/>
    <col collapsed="false" customWidth="true" hidden="false" outlineLevel="0" max="10092" min="10092" style="70" width="8"/>
    <col collapsed="false" customWidth="false" hidden="false" outlineLevel="0" max="10093" min="10093" style="70" width="42.57"/>
    <col collapsed="false" customWidth="true" hidden="false" outlineLevel="0" max="10094" min="10094" style="70" width="3.29"/>
    <col collapsed="false" customWidth="true" hidden="false" outlineLevel="0" max="10095" min="10095" style="70" width="8"/>
    <col collapsed="false" customWidth="false" hidden="false" outlineLevel="0" max="10096" min="10096" style="70" width="42.57"/>
    <col collapsed="false" customWidth="true" hidden="false" outlineLevel="0" max="10097" min="10097" style="70" width="3.29"/>
    <col collapsed="false" customWidth="true" hidden="false" outlineLevel="0" max="10098" min="10098" style="70" width="8"/>
    <col collapsed="false" customWidth="false" hidden="false" outlineLevel="0" max="10099" min="10099" style="70" width="42.57"/>
    <col collapsed="false" customWidth="true" hidden="false" outlineLevel="0" max="10100" min="10100" style="70" width="3.29"/>
    <col collapsed="false" customWidth="true" hidden="false" outlineLevel="0" max="10101" min="10101" style="70" width="8"/>
    <col collapsed="false" customWidth="false" hidden="false" outlineLevel="0" max="10102" min="10102" style="70" width="42.57"/>
    <col collapsed="false" customWidth="true" hidden="false" outlineLevel="0" max="10103" min="10103" style="70" width="3.29"/>
    <col collapsed="false" customWidth="true" hidden="false" outlineLevel="0" max="10104" min="10104" style="70" width="8"/>
    <col collapsed="false" customWidth="false" hidden="false" outlineLevel="0" max="10105" min="10105" style="70" width="42.57"/>
    <col collapsed="false" customWidth="true" hidden="false" outlineLevel="0" max="10106" min="10106" style="70" width="3.29"/>
    <col collapsed="false" customWidth="true" hidden="false" outlineLevel="0" max="10107" min="10107" style="70" width="8"/>
    <col collapsed="false" customWidth="false" hidden="false" outlineLevel="0" max="10108" min="10108" style="70" width="42.57"/>
    <col collapsed="false" customWidth="true" hidden="false" outlineLevel="0" max="10109" min="10109" style="70" width="3.29"/>
    <col collapsed="false" customWidth="true" hidden="false" outlineLevel="0" max="10110" min="10110" style="70" width="8"/>
    <col collapsed="false" customWidth="false" hidden="false" outlineLevel="0" max="10111" min="10111" style="70" width="42.57"/>
    <col collapsed="false" customWidth="true" hidden="false" outlineLevel="0" max="10112" min="10112" style="70" width="3.29"/>
    <col collapsed="false" customWidth="true" hidden="false" outlineLevel="0" max="10113" min="10113" style="70" width="8"/>
    <col collapsed="false" customWidth="false" hidden="false" outlineLevel="0" max="10114" min="10114" style="70" width="42.57"/>
    <col collapsed="false" customWidth="true" hidden="false" outlineLevel="0" max="10115" min="10115" style="70" width="3.29"/>
    <col collapsed="false" customWidth="true" hidden="false" outlineLevel="0" max="10116" min="10116" style="70" width="8"/>
    <col collapsed="false" customWidth="false" hidden="false" outlineLevel="0" max="10117" min="10117" style="70" width="42.57"/>
    <col collapsed="false" customWidth="true" hidden="false" outlineLevel="0" max="10118" min="10118" style="70" width="3.29"/>
    <col collapsed="false" customWidth="true" hidden="false" outlineLevel="0" max="10119" min="10119" style="70" width="8"/>
    <col collapsed="false" customWidth="false" hidden="false" outlineLevel="0" max="10120" min="10120" style="70" width="42.57"/>
    <col collapsed="false" customWidth="true" hidden="false" outlineLevel="0" max="10121" min="10121" style="70" width="3.29"/>
    <col collapsed="false" customWidth="true" hidden="false" outlineLevel="0" max="10122" min="10122" style="70" width="8"/>
    <col collapsed="false" customWidth="false" hidden="false" outlineLevel="0" max="10123" min="10123" style="70" width="42.57"/>
    <col collapsed="false" customWidth="true" hidden="false" outlineLevel="0" max="10124" min="10124" style="70" width="3.29"/>
    <col collapsed="false" customWidth="true" hidden="false" outlineLevel="0" max="10125" min="10125" style="70" width="8"/>
    <col collapsed="false" customWidth="false" hidden="false" outlineLevel="0" max="10126" min="10126" style="70" width="42.57"/>
    <col collapsed="false" customWidth="true" hidden="false" outlineLevel="0" max="10127" min="10127" style="70" width="3.29"/>
    <col collapsed="false" customWidth="true" hidden="false" outlineLevel="0" max="10128" min="10128" style="70" width="8"/>
    <col collapsed="false" customWidth="false" hidden="false" outlineLevel="0" max="10129" min="10129" style="70" width="42.57"/>
    <col collapsed="false" customWidth="true" hidden="false" outlineLevel="0" max="10130" min="10130" style="70" width="3.29"/>
    <col collapsed="false" customWidth="true" hidden="false" outlineLevel="0" max="10131" min="10131" style="70" width="8"/>
    <col collapsed="false" customWidth="false" hidden="false" outlineLevel="0" max="10132" min="10132" style="70" width="42.57"/>
    <col collapsed="false" customWidth="true" hidden="false" outlineLevel="0" max="10133" min="10133" style="70" width="3.29"/>
    <col collapsed="false" customWidth="true" hidden="false" outlineLevel="0" max="10134" min="10134" style="70" width="8"/>
    <col collapsed="false" customWidth="false" hidden="false" outlineLevel="0" max="10135" min="10135" style="70" width="42.57"/>
    <col collapsed="false" customWidth="true" hidden="false" outlineLevel="0" max="10136" min="10136" style="70" width="3.29"/>
    <col collapsed="false" customWidth="true" hidden="false" outlineLevel="0" max="10137" min="10137" style="70" width="8"/>
    <col collapsed="false" customWidth="false" hidden="false" outlineLevel="0" max="10138" min="10138" style="70" width="42.57"/>
    <col collapsed="false" customWidth="true" hidden="false" outlineLevel="0" max="10139" min="10139" style="70" width="3.29"/>
    <col collapsed="false" customWidth="true" hidden="false" outlineLevel="0" max="10140" min="10140" style="70" width="8"/>
    <col collapsed="false" customWidth="false" hidden="false" outlineLevel="0" max="10141" min="10141" style="70" width="42.57"/>
    <col collapsed="false" customWidth="true" hidden="false" outlineLevel="0" max="10142" min="10142" style="70" width="3.29"/>
    <col collapsed="false" customWidth="true" hidden="false" outlineLevel="0" max="10143" min="10143" style="70" width="8"/>
    <col collapsed="false" customWidth="false" hidden="false" outlineLevel="0" max="10144" min="10144" style="70" width="42.57"/>
    <col collapsed="false" customWidth="true" hidden="false" outlineLevel="0" max="10145" min="10145" style="70" width="3.29"/>
    <col collapsed="false" customWidth="true" hidden="false" outlineLevel="0" max="10146" min="10146" style="70" width="8"/>
    <col collapsed="false" customWidth="false" hidden="false" outlineLevel="0" max="10147" min="10147" style="70" width="42.57"/>
    <col collapsed="false" customWidth="true" hidden="false" outlineLevel="0" max="10148" min="10148" style="70" width="3.29"/>
    <col collapsed="false" customWidth="true" hidden="false" outlineLevel="0" max="10149" min="10149" style="70" width="8"/>
    <col collapsed="false" customWidth="false" hidden="false" outlineLevel="0" max="10150" min="10150" style="70" width="42.57"/>
    <col collapsed="false" customWidth="true" hidden="false" outlineLevel="0" max="10151" min="10151" style="70" width="3.29"/>
    <col collapsed="false" customWidth="true" hidden="false" outlineLevel="0" max="10152" min="10152" style="70" width="8"/>
    <col collapsed="false" customWidth="false" hidden="false" outlineLevel="0" max="10153" min="10153" style="70" width="42.57"/>
    <col collapsed="false" customWidth="true" hidden="false" outlineLevel="0" max="10154" min="10154" style="70" width="3.29"/>
    <col collapsed="false" customWidth="true" hidden="false" outlineLevel="0" max="10155" min="10155" style="70" width="8"/>
    <col collapsed="false" customWidth="false" hidden="false" outlineLevel="0" max="10156" min="10156" style="70" width="42.57"/>
    <col collapsed="false" customWidth="true" hidden="false" outlineLevel="0" max="10157" min="10157" style="70" width="3.29"/>
    <col collapsed="false" customWidth="true" hidden="false" outlineLevel="0" max="10158" min="10158" style="70" width="8"/>
    <col collapsed="false" customWidth="false" hidden="false" outlineLevel="0" max="10159" min="10159" style="70" width="42.57"/>
    <col collapsed="false" customWidth="true" hidden="false" outlineLevel="0" max="10160" min="10160" style="70" width="3.29"/>
    <col collapsed="false" customWidth="true" hidden="false" outlineLevel="0" max="10161" min="10161" style="70" width="8"/>
    <col collapsed="false" customWidth="false" hidden="false" outlineLevel="0" max="10162" min="10162" style="70" width="42.57"/>
    <col collapsed="false" customWidth="true" hidden="false" outlineLevel="0" max="10163" min="10163" style="70" width="3.29"/>
    <col collapsed="false" customWidth="true" hidden="false" outlineLevel="0" max="10164" min="10164" style="70" width="8"/>
    <col collapsed="false" customWidth="false" hidden="false" outlineLevel="0" max="10165" min="10165" style="70" width="42.57"/>
    <col collapsed="false" customWidth="true" hidden="false" outlineLevel="0" max="10166" min="10166" style="70" width="3.29"/>
    <col collapsed="false" customWidth="true" hidden="false" outlineLevel="0" max="10167" min="10167" style="70" width="8"/>
    <col collapsed="false" customWidth="false" hidden="false" outlineLevel="0" max="10168" min="10168" style="70" width="42.57"/>
    <col collapsed="false" customWidth="true" hidden="false" outlineLevel="0" max="10169" min="10169" style="70" width="3.29"/>
    <col collapsed="false" customWidth="true" hidden="false" outlineLevel="0" max="10170" min="10170" style="70" width="8"/>
    <col collapsed="false" customWidth="false" hidden="false" outlineLevel="0" max="10171" min="10171" style="70" width="42.57"/>
    <col collapsed="false" customWidth="true" hidden="false" outlineLevel="0" max="10172" min="10172" style="70" width="3.29"/>
    <col collapsed="false" customWidth="true" hidden="false" outlineLevel="0" max="10173" min="10173" style="70" width="8"/>
    <col collapsed="false" customWidth="false" hidden="false" outlineLevel="0" max="10174" min="10174" style="70" width="42.57"/>
    <col collapsed="false" customWidth="true" hidden="false" outlineLevel="0" max="10175" min="10175" style="70" width="3.29"/>
    <col collapsed="false" customWidth="true" hidden="false" outlineLevel="0" max="10176" min="10176" style="70" width="8"/>
    <col collapsed="false" customWidth="false" hidden="false" outlineLevel="0" max="10177" min="10177" style="70" width="42.57"/>
    <col collapsed="false" customWidth="true" hidden="false" outlineLevel="0" max="10178" min="10178" style="70" width="3.29"/>
    <col collapsed="false" customWidth="true" hidden="false" outlineLevel="0" max="10179" min="10179" style="70" width="8"/>
    <col collapsed="false" customWidth="false" hidden="false" outlineLevel="0" max="10180" min="10180" style="70" width="42.57"/>
    <col collapsed="false" customWidth="true" hidden="false" outlineLevel="0" max="10181" min="10181" style="70" width="3.29"/>
    <col collapsed="false" customWidth="true" hidden="false" outlineLevel="0" max="10182" min="10182" style="70" width="8"/>
    <col collapsed="false" customWidth="false" hidden="false" outlineLevel="0" max="10183" min="10183" style="70" width="42.57"/>
    <col collapsed="false" customWidth="true" hidden="false" outlineLevel="0" max="10184" min="10184" style="70" width="3.29"/>
    <col collapsed="false" customWidth="true" hidden="false" outlineLevel="0" max="10185" min="10185" style="70" width="8"/>
    <col collapsed="false" customWidth="false" hidden="false" outlineLevel="0" max="10186" min="10186" style="70" width="42.57"/>
    <col collapsed="false" customWidth="true" hidden="false" outlineLevel="0" max="10187" min="10187" style="70" width="3.29"/>
    <col collapsed="false" customWidth="true" hidden="false" outlineLevel="0" max="10188" min="10188" style="70" width="8"/>
    <col collapsed="false" customWidth="false" hidden="false" outlineLevel="0" max="10189" min="10189" style="70" width="42.57"/>
    <col collapsed="false" customWidth="true" hidden="false" outlineLevel="0" max="10190" min="10190" style="70" width="3.29"/>
    <col collapsed="false" customWidth="true" hidden="false" outlineLevel="0" max="10191" min="10191" style="70" width="8"/>
    <col collapsed="false" customWidth="false" hidden="false" outlineLevel="0" max="10192" min="10192" style="70" width="42.57"/>
    <col collapsed="false" customWidth="true" hidden="false" outlineLevel="0" max="10193" min="10193" style="70" width="3.29"/>
    <col collapsed="false" customWidth="true" hidden="false" outlineLevel="0" max="10194" min="10194" style="70" width="8"/>
    <col collapsed="false" customWidth="false" hidden="false" outlineLevel="0" max="10195" min="10195" style="70" width="42.57"/>
    <col collapsed="false" customWidth="true" hidden="false" outlineLevel="0" max="10196" min="10196" style="70" width="3.29"/>
    <col collapsed="false" customWidth="true" hidden="false" outlineLevel="0" max="10197" min="10197" style="70" width="8"/>
    <col collapsed="false" customWidth="false" hidden="false" outlineLevel="0" max="10198" min="10198" style="70" width="42.57"/>
    <col collapsed="false" customWidth="true" hidden="false" outlineLevel="0" max="10199" min="10199" style="70" width="3.29"/>
    <col collapsed="false" customWidth="true" hidden="false" outlineLevel="0" max="10200" min="10200" style="70" width="8"/>
    <col collapsed="false" customWidth="false" hidden="false" outlineLevel="0" max="10201" min="10201" style="70" width="42.57"/>
    <col collapsed="false" customWidth="true" hidden="false" outlineLevel="0" max="10202" min="10202" style="70" width="3.29"/>
    <col collapsed="false" customWidth="true" hidden="false" outlineLevel="0" max="10203" min="10203" style="70" width="8"/>
    <col collapsed="false" customWidth="false" hidden="false" outlineLevel="0" max="10204" min="10204" style="70" width="42.57"/>
    <col collapsed="false" customWidth="true" hidden="false" outlineLevel="0" max="10205" min="10205" style="70" width="3.29"/>
    <col collapsed="false" customWidth="true" hidden="false" outlineLevel="0" max="10206" min="10206" style="70" width="8"/>
    <col collapsed="false" customWidth="false" hidden="false" outlineLevel="0" max="10207" min="10207" style="70" width="42.57"/>
    <col collapsed="false" customWidth="true" hidden="false" outlineLevel="0" max="10208" min="10208" style="70" width="3.29"/>
    <col collapsed="false" customWidth="true" hidden="false" outlineLevel="0" max="10209" min="10209" style="70" width="8"/>
    <col collapsed="false" customWidth="false" hidden="false" outlineLevel="0" max="10210" min="10210" style="70" width="42.57"/>
    <col collapsed="false" customWidth="true" hidden="false" outlineLevel="0" max="10211" min="10211" style="70" width="3.29"/>
    <col collapsed="false" customWidth="true" hidden="false" outlineLevel="0" max="10212" min="10212" style="70" width="8"/>
    <col collapsed="false" customWidth="false" hidden="false" outlineLevel="0" max="10213" min="10213" style="70" width="42.57"/>
    <col collapsed="false" customWidth="true" hidden="false" outlineLevel="0" max="10214" min="10214" style="70" width="3.29"/>
    <col collapsed="false" customWidth="true" hidden="false" outlineLevel="0" max="10215" min="10215" style="70" width="8"/>
    <col collapsed="false" customWidth="false" hidden="false" outlineLevel="0" max="10216" min="10216" style="70" width="42.57"/>
    <col collapsed="false" customWidth="true" hidden="false" outlineLevel="0" max="10217" min="10217" style="70" width="3.29"/>
    <col collapsed="false" customWidth="true" hidden="false" outlineLevel="0" max="10218" min="10218" style="70" width="8"/>
    <col collapsed="false" customWidth="false" hidden="false" outlineLevel="0" max="10219" min="10219" style="70" width="42.57"/>
    <col collapsed="false" customWidth="true" hidden="false" outlineLevel="0" max="10220" min="10220" style="70" width="3.29"/>
    <col collapsed="false" customWidth="true" hidden="false" outlineLevel="0" max="10221" min="10221" style="70" width="8"/>
    <col collapsed="false" customWidth="false" hidden="false" outlineLevel="0" max="10222" min="10222" style="70" width="42.57"/>
    <col collapsed="false" customWidth="true" hidden="false" outlineLevel="0" max="10223" min="10223" style="70" width="3.29"/>
    <col collapsed="false" customWidth="true" hidden="false" outlineLevel="0" max="10224" min="10224" style="70" width="8"/>
    <col collapsed="false" customWidth="false" hidden="false" outlineLevel="0" max="10225" min="10225" style="70" width="42.57"/>
    <col collapsed="false" customWidth="true" hidden="false" outlineLevel="0" max="10226" min="10226" style="70" width="3.29"/>
    <col collapsed="false" customWidth="true" hidden="false" outlineLevel="0" max="10227" min="10227" style="70" width="8"/>
    <col collapsed="false" customWidth="false" hidden="false" outlineLevel="0" max="10228" min="10228" style="70" width="42.57"/>
    <col collapsed="false" customWidth="true" hidden="false" outlineLevel="0" max="10229" min="10229" style="70" width="3.29"/>
    <col collapsed="false" customWidth="true" hidden="false" outlineLevel="0" max="10230" min="10230" style="70" width="8"/>
    <col collapsed="false" customWidth="false" hidden="false" outlineLevel="0" max="10231" min="10231" style="70" width="42.57"/>
    <col collapsed="false" customWidth="true" hidden="false" outlineLevel="0" max="10232" min="10232" style="70" width="3.29"/>
    <col collapsed="false" customWidth="true" hidden="false" outlineLevel="0" max="10233" min="10233" style="70" width="8"/>
    <col collapsed="false" customWidth="false" hidden="false" outlineLevel="0" max="10234" min="10234" style="70" width="42.57"/>
    <col collapsed="false" customWidth="true" hidden="false" outlineLevel="0" max="10235" min="10235" style="70" width="3.29"/>
    <col collapsed="false" customWidth="true" hidden="false" outlineLevel="0" max="10236" min="10236" style="70" width="8"/>
    <col collapsed="false" customWidth="false" hidden="false" outlineLevel="0" max="10237" min="10237" style="70" width="42.57"/>
    <col collapsed="false" customWidth="true" hidden="false" outlineLevel="0" max="10238" min="10238" style="70" width="3.29"/>
    <col collapsed="false" customWidth="true" hidden="false" outlineLevel="0" max="10239" min="10239" style="70" width="8"/>
    <col collapsed="false" customWidth="false" hidden="false" outlineLevel="0" max="10240" min="10240" style="70" width="42.57"/>
    <col collapsed="false" customWidth="true" hidden="false" outlineLevel="0" max="10241" min="10241" style="70" width="3.29"/>
    <col collapsed="false" customWidth="true" hidden="false" outlineLevel="0" max="10242" min="10242" style="70" width="8"/>
    <col collapsed="false" customWidth="false" hidden="false" outlineLevel="0" max="10243" min="10243" style="70" width="42.57"/>
    <col collapsed="false" customWidth="true" hidden="false" outlineLevel="0" max="10244" min="10244" style="70" width="3.29"/>
    <col collapsed="false" customWidth="true" hidden="false" outlineLevel="0" max="10245" min="10245" style="70" width="8"/>
    <col collapsed="false" customWidth="false" hidden="false" outlineLevel="0" max="10246" min="10246" style="70" width="42.57"/>
    <col collapsed="false" customWidth="true" hidden="false" outlineLevel="0" max="10247" min="10247" style="70" width="3.29"/>
    <col collapsed="false" customWidth="true" hidden="false" outlineLevel="0" max="10248" min="10248" style="70" width="8"/>
    <col collapsed="false" customWidth="false" hidden="false" outlineLevel="0" max="10249" min="10249" style="70" width="42.57"/>
    <col collapsed="false" customWidth="true" hidden="false" outlineLevel="0" max="10250" min="10250" style="70" width="3.29"/>
    <col collapsed="false" customWidth="true" hidden="false" outlineLevel="0" max="10251" min="10251" style="70" width="8"/>
    <col collapsed="false" customWidth="false" hidden="false" outlineLevel="0" max="10252" min="10252" style="70" width="42.57"/>
    <col collapsed="false" customWidth="true" hidden="false" outlineLevel="0" max="10253" min="10253" style="70" width="3.29"/>
    <col collapsed="false" customWidth="true" hidden="false" outlineLevel="0" max="10254" min="10254" style="70" width="8"/>
    <col collapsed="false" customWidth="false" hidden="false" outlineLevel="0" max="10255" min="10255" style="70" width="42.57"/>
    <col collapsed="false" customWidth="true" hidden="false" outlineLevel="0" max="10256" min="10256" style="70" width="3.29"/>
    <col collapsed="false" customWidth="true" hidden="false" outlineLevel="0" max="10257" min="10257" style="70" width="8"/>
    <col collapsed="false" customWidth="false" hidden="false" outlineLevel="0" max="10258" min="10258" style="70" width="42.57"/>
    <col collapsed="false" customWidth="true" hidden="false" outlineLevel="0" max="10259" min="10259" style="70" width="3.29"/>
    <col collapsed="false" customWidth="true" hidden="false" outlineLevel="0" max="10260" min="10260" style="70" width="8"/>
    <col collapsed="false" customWidth="false" hidden="false" outlineLevel="0" max="10261" min="10261" style="70" width="42.57"/>
    <col collapsed="false" customWidth="true" hidden="false" outlineLevel="0" max="10262" min="10262" style="70" width="3.29"/>
    <col collapsed="false" customWidth="true" hidden="false" outlineLevel="0" max="10263" min="10263" style="70" width="8"/>
    <col collapsed="false" customWidth="false" hidden="false" outlineLevel="0" max="10264" min="10264" style="70" width="42.57"/>
    <col collapsed="false" customWidth="true" hidden="false" outlineLevel="0" max="10265" min="10265" style="70" width="3.29"/>
    <col collapsed="false" customWidth="true" hidden="false" outlineLevel="0" max="10266" min="10266" style="70" width="8"/>
    <col collapsed="false" customWidth="false" hidden="false" outlineLevel="0" max="10267" min="10267" style="70" width="42.57"/>
    <col collapsed="false" customWidth="true" hidden="false" outlineLevel="0" max="10268" min="10268" style="70" width="3.29"/>
    <col collapsed="false" customWidth="true" hidden="false" outlineLevel="0" max="10269" min="10269" style="70" width="8"/>
    <col collapsed="false" customWidth="false" hidden="false" outlineLevel="0" max="10270" min="10270" style="70" width="42.57"/>
    <col collapsed="false" customWidth="true" hidden="false" outlineLevel="0" max="10271" min="10271" style="70" width="3.29"/>
    <col collapsed="false" customWidth="true" hidden="false" outlineLevel="0" max="10272" min="10272" style="70" width="8"/>
    <col collapsed="false" customWidth="false" hidden="false" outlineLevel="0" max="10273" min="10273" style="70" width="42.57"/>
    <col collapsed="false" customWidth="true" hidden="false" outlineLevel="0" max="10274" min="10274" style="70" width="3.29"/>
    <col collapsed="false" customWidth="true" hidden="false" outlineLevel="0" max="10275" min="10275" style="70" width="8"/>
    <col collapsed="false" customWidth="false" hidden="false" outlineLevel="0" max="10276" min="10276" style="70" width="42.57"/>
    <col collapsed="false" customWidth="true" hidden="false" outlineLevel="0" max="10277" min="10277" style="70" width="3.29"/>
    <col collapsed="false" customWidth="true" hidden="false" outlineLevel="0" max="10278" min="10278" style="70" width="8"/>
    <col collapsed="false" customWidth="false" hidden="false" outlineLevel="0" max="10279" min="10279" style="70" width="42.57"/>
    <col collapsed="false" customWidth="true" hidden="false" outlineLevel="0" max="10280" min="10280" style="70" width="3.29"/>
    <col collapsed="false" customWidth="true" hidden="false" outlineLevel="0" max="10281" min="10281" style="70" width="8"/>
    <col collapsed="false" customWidth="false" hidden="false" outlineLevel="0" max="10282" min="10282" style="70" width="42.57"/>
    <col collapsed="false" customWidth="true" hidden="false" outlineLevel="0" max="10283" min="10283" style="70" width="3.29"/>
    <col collapsed="false" customWidth="true" hidden="false" outlineLevel="0" max="10284" min="10284" style="70" width="8"/>
    <col collapsed="false" customWidth="false" hidden="false" outlineLevel="0" max="10285" min="10285" style="70" width="42.57"/>
    <col collapsed="false" customWidth="true" hidden="false" outlineLevel="0" max="10286" min="10286" style="70" width="3.29"/>
    <col collapsed="false" customWidth="true" hidden="false" outlineLevel="0" max="10287" min="10287" style="70" width="8"/>
    <col collapsed="false" customWidth="false" hidden="false" outlineLevel="0" max="10288" min="10288" style="70" width="42.57"/>
    <col collapsed="false" customWidth="true" hidden="false" outlineLevel="0" max="10289" min="10289" style="70" width="3.29"/>
    <col collapsed="false" customWidth="true" hidden="false" outlineLevel="0" max="10290" min="10290" style="70" width="8"/>
    <col collapsed="false" customWidth="false" hidden="false" outlineLevel="0" max="10291" min="10291" style="70" width="42.57"/>
    <col collapsed="false" customWidth="true" hidden="false" outlineLevel="0" max="10292" min="10292" style="70" width="3.29"/>
    <col collapsed="false" customWidth="true" hidden="false" outlineLevel="0" max="10293" min="10293" style="70" width="8"/>
    <col collapsed="false" customWidth="false" hidden="false" outlineLevel="0" max="10294" min="10294" style="70" width="42.57"/>
    <col collapsed="false" customWidth="true" hidden="false" outlineLevel="0" max="10295" min="10295" style="70" width="3.29"/>
    <col collapsed="false" customWidth="true" hidden="false" outlineLevel="0" max="10296" min="10296" style="70" width="8"/>
    <col collapsed="false" customWidth="false" hidden="false" outlineLevel="0" max="10297" min="10297" style="70" width="42.57"/>
    <col collapsed="false" customWidth="true" hidden="false" outlineLevel="0" max="10298" min="10298" style="70" width="3.29"/>
    <col collapsed="false" customWidth="true" hidden="false" outlineLevel="0" max="10299" min="10299" style="70" width="8"/>
    <col collapsed="false" customWidth="false" hidden="false" outlineLevel="0" max="10300" min="10300" style="70" width="42.57"/>
    <col collapsed="false" customWidth="true" hidden="false" outlineLevel="0" max="10301" min="10301" style="70" width="3.29"/>
    <col collapsed="false" customWidth="true" hidden="false" outlineLevel="0" max="10302" min="10302" style="70" width="8"/>
    <col collapsed="false" customWidth="false" hidden="false" outlineLevel="0" max="10303" min="10303" style="70" width="42.57"/>
    <col collapsed="false" customWidth="true" hidden="false" outlineLevel="0" max="10304" min="10304" style="70" width="3.29"/>
    <col collapsed="false" customWidth="true" hidden="false" outlineLevel="0" max="10305" min="10305" style="70" width="8"/>
    <col collapsed="false" customWidth="false" hidden="false" outlineLevel="0" max="10306" min="10306" style="70" width="42.57"/>
    <col collapsed="false" customWidth="true" hidden="false" outlineLevel="0" max="10307" min="10307" style="70" width="3.29"/>
    <col collapsed="false" customWidth="true" hidden="false" outlineLevel="0" max="10308" min="10308" style="70" width="8"/>
    <col collapsed="false" customWidth="false" hidden="false" outlineLevel="0" max="10309" min="10309" style="70" width="42.57"/>
    <col collapsed="false" customWidth="true" hidden="false" outlineLevel="0" max="10310" min="10310" style="70" width="3.29"/>
    <col collapsed="false" customWidth="true" hidden="false" outlineLevel="0" max="10311" min="10311" style="70" width="8"/>
    <col collapsed="false" customWidth="false" hidden="false" outlineLevel="0" max="10312" min="10312" style="70" width="42.57"/>
    <col collapsed="false" customWidth="true" hidden="false" outlineLevel="0" max="10313" min="10313" style="70" width="3.29"/>
    <col collapsed="false" customWidth="true" hidden="false" outlineLevel="0" max="10314" min="10314" style="70" width="8"/>
    <col collapsed="false" customWidth="false" hidden="false" outlineLevel="0" max="10315" min="10315" style="70" width="42.57"/>
    <col collapsed="false" customWidth="true" hidden="false" outlineLevel="0" max="10316" min="10316" style="70" width="3.29"/>
    <col collapsed="false" customWidth="true" hidden="false" outlineLevel="0" max="10317" min="10317" style="70" width="8"/>
    <col collapsed="false" customWidth="false" hidden="false" outlineLevel="0" max="10318" min="10318" style="70" width="42.57"/>
    <col collapsed="false" customWidth="true" hidden="false" outlineLevel="0" max="10319" min="10319" style="70" width="3.29"/>
    <col collapsed="false" customWidth="true" hidden="false" outlineLevel="0" max="10320" min="10320" style="70" width="8"/>
    <col collapsed="false" customWidth="false" hidden="false" outlineLevel="0" max="10321" min="10321" style="70" width="42.57"/>
    <col collapsed="false" customWidth="true" hidden="false" outlineLevel="0" max="10322" min="10322" style="70" width="3.29"/>
    <col collapsed="false" customWidth="true" hidden="false" outlineLevel="0" max="10323" min="10323" style="70" width="8"/>
    <col collapsed="false" customWidth="false" hidden="false" outlineLevel="0" max="10324" min="10324" style="70" width="42.57"/>
    <col collapsed="false" customWidth="true" hidden="false" outlineLevel="0" max="10325" min="10325" style="70" width="3.29"/>
    <col collapsed="false" customWidth="true" hidden="false" outlineLevel="0" max="10326" min="10326" style="70" width="8"/>
    <col collapsed="false" customWidth="false" hidden="false" outlineLevel="0" max="10327" min="10327" style="70" width="42.57"/>
    <col collapsed="false" customWidth="true" hidden="false" outlineLevel="0" max="10328" min="10328" style="70" width="3.29"/>
    <col collapsed="false" customWidth="true" hidden="false" outlineLevel="0" max="10329" min="10329" style="70" width="8"/>
    <col collapsed="false" customWidth="false" hidden="false" outlineLevel="0" max="10330" min="10330" style="70" width="42.57"/>
    <col collapsed="false" customWidth="true" hidden="false" outlineLevel="0" max="10331" min="10331" style="70" width="3.29"/>
    <col collapsed="false" customWidth="true" hidden="false" outlineLevel="0" max="10332" min="10332" style="70" width="8"/>
    <col collapsed="false" customWidth="false" hidden="false" outlineLevel="0" max="10333" min="10333" style="70" width="42.57"/>
    <col collapsed="false" customWidth="true" hidden="false" outlineLevel="0" max="10334" min="10334" style="70" width="3.29"/>
    <col collapsed="false" customWidth="true" hidden="false" outlineLevel="0" max="10335" min="10335" style="70" width="8"/>
    <col collapsed="false" customWidth="false" hidden="false" outlineLevel="0" max="10336" min="10336" style="70" width="42.57"/>
    <col collapsed="false" customWidth="true" hidden="false" outlineLevel="0" max="10337" min="10337" style="70" width="3.29"/>
    <col collapsed="false" customWidth="true" hidden="false" outlineLevel="0" max="10338" min="10338" style="70" width="8"/>
    <col collapsed="false" customWidth="false" hidden="false" outlineLevel="0" max="10339" min="10339" style="70" width="42.57"/>
    <col collapsed="false" customWidth="true" hidden="false" outlineLevel="0" max="10340" min="10340" style="70" width="3.29"/>
    <col collapsed="false" customWidth="true" hidden="false" outlineLevel="0" max="10341" min="10341" style="70" width="8"/>
    <col collapsed="false" customWidth="false" hidden="false" outlineLevel="0" max="10342" min="10342" style="70" width="42.57"/>
    <col collapsed="false" customWidth="true" hidden="false" outlineLevel="0" max="10343" min="10343" style="70" width="3.29"/>
    <col collapsed="false" customWidth="true" hidden="false" outlineLevel="0" max="10344" min="10344" style="70" width="8"/>
    <col collapsed="false" customWidth="false" hidden="false" outlineLevel="0" max="10345" min="10345" style="70" width="42.57"/>
    <col collapsed="false" customWidth="true" hidden="false" outlineLevel="0" max="10346" min="10346" style="70" width="3.29"/>
    <col collapsed="false" customWidth="true" hidden="false" outlineLevel="0" max="10347" min="10347" style="70" width="8"/>
    <col collapsed="false" customWidth="false" hidden="false" outlineLevel="0" max="10348" min="10348" style="70" width="42.57"/>
    <col collapsed="false" customWidth="true" hidden="false" outlineLevel="0" max="10349" min="10349" style="70" width="3.29"/>
    <col collapsed="false" customWidth="true" hidden="false" outlineLevel="0" max="10350" min="10350" style="70" width="8"/>
    <col collapsed="false" customWidth="false" hidden="false" outlineLevel="0" max="10351" min="10351" style="70" width="42.57"/>
    <col collapsed="false" customWidth="true" hidden="false" outlineLevel="0" max="10352" min="10352" style="70" width="3.29"/>
    <col collapsed="false" customWidth="true" hidden="false" outlineLevel="0" max="10353" min="10353" style="70" width="8"/>
    <col collapsed="false" customWidth="false" hidden="false" outlineLevel="0" max="10354" min="10354" style="70" width="42.57"/>
    <col collapsed="false" customWidth="true" hidden="false" outlineLevel="0" max="10355" min="10355" style="70" width="3.29"/>
    <col collapsed="false" customWidth="true" hidden="false" outlineLevel="0" max="10356" min="10356" style="70" width="8"/>
    <col collapsed="false" customWidth="false" hidden="false" outlineLevel="0" max="10357" min="10357" style="70" width="42.57"/>
    <col collapsed="false" customWidth="true" hidden="false" outlineLevel="0" max="10358" min="10358" style="70" width="3.29"/>
    <col collapsed="false" customWidth="true" hidden="false" outlineLevel="0" max="10359" min="10359" style="70" width="8"/>
    <col collapsed="false" customWidth="false" hidden="false" outlineLevel="0" max="10360" min="10360" style="70" width="42.57"/>
    <col collapsed="false" customWidth="true" hidden="false" outlineLevel="0" max="10361" min="10361" style="70" width="3.29"/>
    <col collapsed="false" customWidth="true" hidden="false" outlineLevel="0" max="10362" min="10362" style="70" width="8"/>
    <col collapsed="false" customWidth="false" hidden="false" outlineLevel="0" max="10363" min="10363" style="70" width="42.57"/>
    <col collapsed="false" customWidth="true" hidden="false" outlineLevel="0" max="10364" min="10364" style="70" width="3.29"/>
    <col collapsed="false" customWidth="true" hidden="false" outlineLevel="0" max="10365" min="10365" style="70" width="8"/>
    <col collapsed="false" customWidth="false" hidden="false" outlineLevel="0" max="10366" min="10366" style="70" width="42.57"/>
    <col collapsed="false" customWidth="true" hidden="false" outlineLevel="0" max="10367" min="10367" style="70" width="3.29"/>
    <col collapsed="false" customWidth="true" hidden="false" outlineLevel="0" max="10368" min="10368" style="70" width="8"/>
    <col collapsed="false" customWidth="false" hidden="false" outlineLevel="0" max="10369" min="10369" style="70" width="42.57"/>
    <col collapsed="false" customWidth="true" hidden="false" outlineLevel="0" max="10370" min="10370" style="70" width="3.29"/>
    <col collapsed="false" customWidth="true" hidden="false" outlineLevel="0" max="10371" min="10371" style="70" width="8"/>
    <col collapsed="false" customWidth="false" hidden="false" outlineLevel="0" max="10372" min="10372" style="70" width="42.57"/>
    <col collapsed="false" customWidth="true" hidden="false" outlineLevel="0" max="10373" min="10373" style="70" width="3.29"/>
    <col collapsed="false" customWidth="true" hidden="false" outlineLevel="0" max="10374" min="10374" style="70" width="8"/>
    <col collapsed="false" customWidth="false" hidden="false" outlineLevel="0" max="10375" min="10375" style="70" width="42.57"/>
    <col collapsed="false" customWidth="true" hidden="false" outlineLevel="0" max="10376" min="10376" style="70" width="3.29"/>
    <col collapsed="false" customWidth="true" hidden="false" outlineLevel="0" max="10377" min="10377" style="70" width="8"/>
    <col collapsed="false" customWidth="false" hidden="false" outlineLevel="0" max="10378" min="10378" style="70" width="42.57"/>
    <col collapsed="false" customWidth="true" hidden="false" outlineLevel="0" max="10379" min="10379" style="70" width="3.29"/>
    <col collapsed="false" customWidth="true" hidden="false" outlineLevel="0" max="10380" min="10380" style="70" width="8"/>
    <col collapsed="false" customWidth="false" hidden="false" outlineLevel="0" max="10381" min="10381" style="70" width="42.57"/>
    <col collapsed="false" customWidth="true" hidden="false" outlineLevel="0" max="10382" min="10382" style="70" width="3.29"/>
    <col collapsed="false" customWidth="true" hidden="false" outlineLevel="0" max="10383" min="10383" style="70" width="8"/>
    <col collapsed="false" customWidth="false" hidden="false" outlineLevel="0" max="10384" min="10384" style="70" width="42.57"/>
    <col collapsed="false" customWidth="true" hidden="false" outlineLevel="0" max="10385" min="10385" style="70" width="3.29"/>
    <col collapsed="false" customWidth="true" hidden="false" outlineLevel="0" max="10386" min="10386" style="70" width="8"/>
    <col collapsed="false" customWidth="false" hidden="false" outlineLevel="0" max="10387" min="10387" style="70" width="42.57"/>
    <col collapsed="false" customWidth="true" hidden="false" outlineLevel="0" max="10388" min="10388" style="70" width="3.29"/>
    <col collapsed="false" customWidth="true" hidden="false" outlineLevel="0" max="10389" min="10389" style="70" width="8"/>
    <col collapsed="false" customWidth="false" hidden="false" outlineLevel="0" max="10390" min="10390" style="70" width="42.57"/>
    <col collapsed="false" customWidth="true" hidden="false" outlineLevel="0" max="10391" min="10391" style="70" width="3.29"/>
    <col collapsed="false" customWidth="true" hidden="false" outlineLevel="0" max="10392" min="10392" style="70" width="8"/>
    <col collapsed="false" customWidth="false" hidden="false" outlineLevel="0" max="10393" min="10393" style="70" width="42.57"/>
    <col collapsed="false" customWidth="true" hidden="false" outlineLevel="0" max="10394" min="10394" style="70" width="3.29"/>
    <col collapsed="false" customWidth="true" hidden="false" outlineLevel="0" max="10395" min="10395" style="70" width="8"/>
    <col collapsed="false" customWidth="false" hidden="false" outlineLevel="0" max="10396" min="10396" style="70" width="42.57"/>
    <col collapsed="false" customWidth="true" hidden="false" outlineLevel="0" max="10397" min="10397" style="70" width="3.29"/>
    <col collapsed="false" customWidth="true" hidden="false" outlineLevel="0" max="10398" min="10398" style="70" width="8"/>
    <col collapsed="false" customWidth="false" hidden="false" outlineLevel="0" max="10399" min="10399" style="70" width="42.57"/>
    <col collapsed="false" customWidth="true" hidden="false" outlineLevel="0" max="10400" min="10400" style="70" width="3.29"/>
    <col collapsed="false" customWidth="true" hidden="false" outlineLevel="0" max="10401" min="10401" style="70" width="8"/>
    <col collapsed="false" customWidth="false" hidden="false" outlineLevel="0" max="10402" min="10402" style="70" width="42.57"/>
    <col collapsed="false" customWidth="true" hidden="false" outlineLevel="0" max="10403" min="10403" style="70" width="3.29"/>
    <col collapsed="false" customWidth="true" hidden="false" outlineLevel="0" max="10404" min="10404" style="70" width="8"/>
    <col collapsed="false" customWidth="false" hidden="false" outlineLevel="0" max="10405" min="10405" style="70" width="42.57"/>
    <col collapsed="false" customWidth="true" hidden="false" outlineLevel="0" max="10406" min="10406" style="70" width="3.29"/>
    <col collapsed="false" customWidth="true" hidden="false" outlineLevel="0" max="10407" min="10407" style="70" width="8"/>
    <col collapsed="false" customWidth="false" hidden="false" outlineLevel="0" max="10408" min="10408" style="70" width="42.57"/>
    <col collapsed="false" customWidth="true" hidden="false" outlineLevel="0" max="10409" min="10409" style="70" width="3.29"/>
    <col collapsed="false" customWidth="true" hidden="false" outlineLevel="0" max="10410" min="10410" style="70" width="8"/>
    <col collapsed="false" customWidth="false" hidden="false" outlineLevel="0" max="10411" min="10411" style="70" width="42.57"/>
    <col collapsed="false" customWidth="true" hidden="false" outlineLevel="0" max="10412" min="10412" style="70" width="3.29"/>
    <col collapsed="false" customWidth="true" hidden="false" outlineLevel="0" max="10413" min="10413" style="70" width="8"/>
    <col collapsed="false" customWidth="false" hidden="false" outlineLevel="0" max="10414" min="10414" style="70" width="42.57"/>
    <col collapsed="false" customWidth="true" hidden="false" outlineLevel="0" max="10415" min="10415" style="70" width="3.29"/>
    <col collapsed="false" customWidth="true" hidden="false" outlineLevel="0" max="10416" min="10416" style="70" width="8"/>
    <col collapsed="false" customWidth="false" hidden="false" outlineLevel="0" max="10417" min="10417" style="70" width="42.57"/>
    <col collapsed="false" customWidth="true" hidden="false" outlineLevel="0" max="10418" min="10418" style="70" width="3.29"/>
    <col collapsed="false" customWidth="true" hidden="false" outlineLevel="0" max="10419" min="10419" style="70" width="8"/>
    <col collapsed="false" customWidth="false" hidden="false" outlineLevel="0" max="10420" min="10420" style="70" width="42.57"/>
    <col collapsed="false" customWidth="true" hidden="false" outlineLevel="0" max="10421" min="10421" style="70" width="3.29"/>
    <col collapsed="false" customWidth="true" hidden="false" outlineLevel="0" max="10422" min="10422" style="70" width="8"/>
    <col collapsed="false" customWidth="false" hidden="false" outlineLevel="0" max="10423" min="10423" style="70" width="42.57"/>
    <col collapsed="false" customWidth="true" hidden="false" outlineLevel="0" max="10424" min="10424" style="70" width="3.29"/>
    <col collapsed="false" customWidth="true" hidden="false" outlineLevel="0" max="10425" min="10425" style="70" width="8"/>
    <col collapsed="false" customWidth="false" hidden="false" outlineLevel="0" max="10426" min="10426" style="70" width="42.57"/>
    <col collapsed="false" customWidth="true" hidden="false" outlineLevel="0" max="10427" min="10427" style="70" width="3.29"/>
    <col collapsed="false" customWidth="true" hidden="false" outlineLevel="0" max="10428" min="10428" style="70" width="8"/>
    <col collapsed="false" customWidth="false" hidden="false" outlineLevel="0" max="10429" min="10429" style="70" width="42.57"/>
    <col collapsed="false" customWidth="true" hidden="false" outlineLevel="0" max="10430" min="10430" style="70" width="3.29"/>
    <col collapsed="false" customWidth="true" hidden="false" outlineLevel="0" max="10431" min="10431" style="70" width="8"/>
    <col collapsed="false" customWidth="false" hidden="false" outlineLevel="0" max="10432" min="10432" style="70" width="42.57"/>
    <col collapsed="false" customWidth="true" hidden="false" outlineLevel="0" max="10433" min="10433" style="70" width="3.29"/>
    <col collapsed="false" customWidth="true" hidden="false" outlineLevel="0" max="10434" min="10434" style="70" width="8"/>
    <col collapsed="false" customWidth="false" hidden="false" outlineLevel="0" max="10435" min="10435" style="70" width="42.57"/>
    <col collapsed="false" customWidth="true" hidden="false" outlineLevel="0" max="10436" min="10436" style="70" width="3.29"/>
    <col collapsed="false" customWidth="true" hidden="false" outlineLevel="0" max="10437" min="10437" style="70" width="8"/>
    <col collapsed="false" customWidth="false" hidden="false" outlineLevel="0" max="10438" min="10438" style="70" width="42.57"/>
    <col collapsed="false" customWidth="true" hidden="false" outlineLevel="0" max="10439" min="10439" style="70" width="3.29"/>
    <col collapsed="false" customWidth="true" hidden="false" outlineLevel="0" max="10440" min="10440" style="70" width="8"/>
    <col collapsed="false" customWidth="false" hidden="false" outlineLevel="0" max="10441" min="10441" style="70" width="42.57"/>
    <col collapsed="false" customWidth="true" hidden="false" outlineLevel="0" max="10442" min="10442" style="70" width="3.29"/>
    <col collapsed="false" customWidth="true" hidden="false" outlineLevel="0" max="10443" min="10443" style="70" width="8"/>
    <col collapsed="false" customWidth="false" hidden="false" outlineLevel="0" max="10444" min="10444" style="70" width="42.57"/>
    <col collapsed="false" customWidth="true" hidden="false" outlineLevel="0" max="10445" min="10445" style="70" width="3.29"/>
    <col collapsed="false" customWidth="true" hidden="false" outlineLevel="0" max="10446" min="10446" style="70" width="8"/>
    <col collapsed="false" customWidth="false" hidden="false" outlineLevel="0" max="10447" min="10447" style="70" width="42.57"/>
    <col collapsed="false" customWidth="true" hidden="false" outlineLevel="0" max="10448" min="10448" style="70" width="3.29"/>
    <col collapsed="false" customWidth="true" hidden="false" outlineLevel="0" max="10449" min="10449" style="70" width="8"/>
    <col collapsed="false" customWidth="false" hidden="false" outlineLevel="0" max="10450" min="10450" style="70" width="42.57"/>
    <col collapsed="false" customWidth="true" hidden="false" outlineLevel="0" max="10451" min="10451" style="70" width="3.29"/>
    <col collapsed="false" customWidth="true" hidden="false" outlineLevel="0" max="10452" min="10452" style="70" width="8"/>
    <col collapsed="false" customWidth="false" hidden="false" outlineLevel="0" max="10453" min="10453" style="70" width="42.57"/>
    <col collapsed="false" customWidth="true" hidden="false" outlineLevel="0" max="10454" min="10454" style="70" width="3.29"/>
    <col collapsed="false" customWidth="true" hidden="false" outlineLevel="0" max="10455" min="10455" style="70" width="8"/>
    <col collapsed="false" customWidth="false" hidden="false" outlineLevel="0" max="10456" min="10456" style="70" width="42.57"/>
    <col collapsed="false" customWidth="true" hidden="false" outlineLevel="0" max="10457" min="10457" style="70" width="3.29"/>
    <col collapsed="false" customWidth="true" hidden="false" outlineLevel="0" max="10458" min="10458" style="70" width="8"/>
    <col collapsed="false" customWidth="false" hidden="false" outlineLevel="0" max="10459" min="10459" style="70" width="42.57"/>
    <col collapsed="false" customWidth="true" hidden="false" outlineLevel="0" max="10460" min="10460" style="70" width="3.29"/>
    <col collapsed="false" customWidth="true" hidden="false" outlineLevel="0" max="10461" min="10461" style="70" width="8"/>
    <col collapsed="false" customWidth="false" hidden="false" outlineLevel="0" max="10462" min="10462" style="70" width="42.57"/>
    <col collapsed="false" customWidth="true" hidden="false" outlineLevel="0" max="10463" min="10463" style="70" width="3.29"/>
    <col collapsed="false" customWidth="true" hidden="false" outlineLevel="0" max="10464" min="10464" style="70" width="8"/>
    <col collapsed="false" customWidth="false" hidden="false" outlineLevel="0" max="10465" min="10465" style="70" width="42.57"/>
    <col collapsed="false" customWidth="true" hidden="false" outlineLevel="0" max="10466" min="10466" style="70" width="3.29"/>
    <col collapsed="false" customWidth="true" hidden="false" outlineLevel="0" max="10467" min="10467" style="70" width="8"/>
    <col collapsed="false" customWidth="false" hidden="false" outlineLevel="0" max="10468" min="10468" style="70" width="42.57"/>
    <col collapsed="false" customWidth="true" hidden="false" outlineLevel="0" max="10469" min="10469" style="70" width="3.29"/>
    <col collapsed="false" customWidth="true" hidden="false" outlineLevel="0" max="10470" min="10470" style="70" width="8"/>
    <col collapsed="false" customWidth="false" hidden="false" outlineLevel="0" max="10471" min="10471" style="70" width="42.57"/>
    <col collapsed="false" customWidth="true" hidden="false" outlineLevel="0" max="10472" min="10472" style="70" width="3.29"/>
    <col collapsed="false" customWidth="true" hidden="false" outlineLevel="0" max="10473" min="10473" style="70" width="8"/>
    <col collapsed="false" customWidth="false" hidden="false" outlineLevel="0" max="10474" min="10474" style="70" width="42.57"/>
    <col collapsed="false" customWidth="true" hidden="false" outlineLevel="0" max="10475" min="10475" style="70" width="3.29"/>
    <col collapsed="false" customWidth="true" hidden="false" outlineLevel="0" max="10476" min="10476" style="70" width="8"/>
    <col collapsed="false" customWidth="false" hidden="false" outlineLevel="0" max="10477" min="10477" style="70" width="42.57"/>
    <col collapsed="false" customWidth="true" hidden="false" outlineLevel="0" max="10478" min="10478" style="70" width="3.29"/>
    <col collapsed="false" customWidth="true" hidden="false" outlineLevel="0" max="10479" min="10479" style="70" width="8"/>
    <col collapsed="false" customWidth="false" hidden="false" outlineLevel="0" max="10480" min="10480" style="70" width="42.57"/>
    <col collapsed="false" customWidth="true" hidden="false" outlineLevel="0" max="10481" min="10481" style="70" width="3.29"/>
    <col collapsed="false" customWidth="true" hidden="false" outlineLevel="0" max="10482" min="10482" style="70" width="8"/>
    <col collapsed="false" customWidth="false" hidden="false" outlineLevel="0" max="10483" min="10483" style="70" width="42.57"/>
    <col collapsed="false" customWidth="true" hidden="false" outlineLevel="0" max="10484" min="10484" style="70" width="3.29"/>
    <col collapsed="false" customWidth="true" hidden="false" outlineLevel="0" max="10485" min="10485" style="70" width="8"/>
    <col collapsed="false" customWidth="false" hidden="false" outlineLevel="0" max="10486" min="10486" style="70" width="42.57"/>
    <col collapsed="false" customWidth="true" hidden="false" outlineLevel="0" max="10487" min="10487" style="70" width="3.29"/>
    <col collapsed="false" customWidth="true" hidden="false" outlineLevel="0" max="10488" min="10488" style="70" width="8"/>
    <col collapsed="false" customWidth="false" hidden="false" outlineLevel="0" max="10489" min="10489" style="70" width="42.57"/>
    <col collapsed="false" customWidth="true" hidden="false" outlineLevel="0" max="10490" min="10490" style="70" width="3.29"/>
    <col collapsed="false" customWidth="true" hidden="false" outlineLevel="0" max="10491" min="10491" style="70" width="8"/>
    <col collapsed="false" customWidth="false" hidden="false" outlineLevel="0" max="10492" min="10492" style="70" width="42.57"/>
    <col collapsed="false" customWidth="true" hidden="false" outlineLevel="0" max="10493" min="10493" style="70" width="3.29"/>
    <col collapsed="false" customWidth="true" hidden="false" outlineLevel="0" max="10494" min="10494" style="70" width="8"/>
    <col collapsed="false" customWidth="false" hidden="false" outlineLevel="0" max="10495" min="10495" style="70" width="42.57"/>
    <col collapsed="false" customWidth="true" hidden="false" outlineLevel="0" max="10496" min="10496" style="70" width="3.29"/>
    <col collapsed="false" customWidth="true" hidden="false" outlineLevel="0" max="10497" min="10497" style="70" width="8"/>
    <col collapsed="false" customWidth="false" hidden="false" outlineLevel="0" max="10498" min="10498" style="70" width="42.57"/>
    <col collapsed="false" customWidth="true" hidden="false" outlineLevel="0" max="10499" min="10499" style="70" width="3.29"/>
    <col collapsed="false" customWidth="true" hidden="false" outlineLevel="0" max="10500" min="10500" style="70" width="8"/>
    <col collapsed="false" customWidth="false" hidden="false" outlineLevel="0" max="10501" min="10501" style="70" width="42.57"/>
    <col collapsed="false" customWidth="true" hidden="false" outlineLevel="0" max="10502" min="10502" style="70" width="3.29"/>
    <col collapsed="false" customWidth="true" hidden="false" outlineLevel="0" max="10503" min="10503" style="70" width="8"/>
    <col collapsed="false" customWidth="false" hidden="false" outlineLevel="0" max="10504" min="10504" style="70" width="42.57"/>
    <col collapsed="false" customWidth="true" hidden="false" outlineLevel="0" max="10505" min="10505" style="70" width="3.29"/>
    <col collapsed="false" customWidth="true" hidden="false" outlineLevel="0" max="10506" min="10506" style="70" width="8"/>
    <col collapsed="false" customWidth="false" hidden="false" outlineLevel="0" max="10507" min="10507" style="70" width="42.57"/>
    <col collapsed="false" customWidth="true" hidden="false" outlineLevel="0" max="10508" min="10508" style="70" width="3.29"/>
    <col collapsed="false" customWidth="true" hidden="false" outlineLevel="0" max="10509" min="10509" style="70" width="8"/>
    <col collapsed="false" customWidth="false" hidden="false" outlineLevel="0" max="10510" min="10510" style="70" width="42.57"/>
    <col collapsed="false" customWidth="true" hidden="false" outlineLevel="0" max="10511" min="10511" style="70" width="3.29"/>
    <col collapsed="false" customWidth="true" hidden="false" outlineLevel="0" max="10512" min="10512" style="70" width="8"/>
    <col collapsed="false" customWidth="false" hidden="false" outlineLevel="0" max="10513" min="10513" style="70" width="42.57"/>
    <col collapsed="false" customWidth="true" hidden="false" outlineLevel="0" max="10514" min="10514" style="70" width="3.29"/>
    <col collapsed="false" customWidth="true" hidden="false" outlineLevel="0" max="10515" min="10515" style="70" width="8"/>
    <col collapsed="false" customWidth="false" hidden="false" outlineLevel="0" max="10516" min="10516" style="70" width="42.57"/>
    <col collapsed="false" customWidth="true" hidden="false" outlineLevel="0" max="10517" min="10517" style="70" width="3.29"/>
    <col collapsed="false" customWidth="true" hidden="false" outlineLevel="0" max="10518" min="10518" style="70" width="8"/>
    <col collapsed="false" customWidth="false" hidden="false" outlineLevel="0" max="10519" min="10519" style="70" width="42.57"/>
    <col collapsed="false" customWidth="true" hidden="false" outlineLevel="0" max="10520" min="10520" style="70" width="3.29"/>
    <col collapsed="false" customWidth="true" hidden="false" outlineLevel="0" max="10521" min="10521" style="70" width="8"/>
    <col collapsed="false" customWidth="false" hidden="false" outlineLevel="0" max="10522" min="10522" style="70" width="42.57"/>
    <col collapsed="false" customWidth="true" hidden="false" outlineLevel="0" max="10523" min="10523" style="70" width="3.29"/>
    <col collapsed="false" customWidth="true" hidden="false" outlineLevel="0" max="10524" min="10524" style="70" width="8"/>
    <col collapsed="false" customWidth="false" hidden="false" outlineLevel="0" max="10525" min="10525" style="70" width="42.57"/>
    <col collapsed="false" customWidth="true" hidden="false" outlineLevel="0" max="10526" min="10526" style="70" width="3.29"/>
    <col collapsed="false" customWidth="true" hidden="false" outlineLevel="0" max="10527" min="10527" style="70" width="8"/>
    <col collapsed="false" customWidth="false" hidden="false" outlineLevel="0" max="10528" min="10528" style="70" width="42.57"/>
    <col collapsed="false" customWidth="true" hidden="false" outlineLevel="0" max="10529" min="10529" style="70" width="3.29"/>
    <col collapsed="false" customWidth="true" hidden="false" outlineLevel="0" max="10530" min="10530" style="70" width="8"/>
    <col collapsed="false" customWidth="false" hidden="false" outlineLevel="0" max="10531" min="10531" style="70" width="42.57"/>
    <col collapsed="false" customWidth="true" hidden="false" outlineLevel="0" max="10532" min="10532" style="70" width="3.29"/>
    <col collapsed="false" customWidth="true" hidden="false" outlineLevel="0" max="10533" min="10533" style="70" width="8"/>
    <col collapsed="false" customWidth="false" hidden="false" outlineLevel="0" max="10534" min="10534" style="70" width="42.57"/>
    <col collapsed="false" customWidth="true" hidden="false" outlineLevel="0" max="10535" min="10535" style="70" width="3.29"/>
    <col collapsed="false" customWidth="true" hidden="false" outlineLevel="0" max="10536" min="10536" style="70" width="8"/>
    <col collapsed="false" customWidth="false" hidden="false" outlineLevel="0" max="10537" min="10537" style="70" width="42.57"/>
    <col collapsed="false" customWidth="true" hidden="false" outlineLevel="0" max="10538" min="10538" style="70" width="3.29"/>
    <col collapsed="false" customWidth="true" hidden="false" outlineLevel="0" max="10539" min="10539" style="70" width="8"/>
    <col collapsed="false" customWidth="false" hidden="false" outlineLevel="0" max="10540" min="10540" style="70" width="42.57"/>
    <col collapsed="false" customWidth="true" hidden="false" outlineLevel="0" max="10541" min="10541" style="70" width="3.29"/>
    <col collapsed="false" customWidth="true" hidden="false" outlineLevel="0" max="10542" min="10542" style="70" width="8"/>
    <col collapsed="false" customWidth="false" hidden="false" outlineLevel="0" max="10543" min="10543" style="70" width="42.57"/>
    <col collapsed="false" customWidth="true" hidden="false" outlineLevel="0" max="10544" min="10544" style="70" width="3.29"/>
    <col collapsed="false" customWidth="true" hidden="false" outlineLevel="0" max="10545" min="10545" style="70" width="8"/>
    <col collapsed="false" customWidth="false" hidden="false" outlineLevel="0" max="10546" min="10546" style="70" width="42.57"/>
    <col collapsed="false" customWidth="true" hidden="false" outlineLevel="0" max="10547" min="10547" style="70" width="3.29"/>
    <col collapsed="false" customWidth="true" hidden="false" outlineLevel="0" max="10548" min="10548" style="70" width="8"/>
    <col collapsed="false" customWidth="false" hidden="false" outlineLevel="0" max="10549" min="10549" style="70" width="42.57"/>
    <col collapsed="false" customWidth="true" hidden="false" outlineLevel="0" max="10550" min="10550" style="70" width="3.29"/>
    <col collapsed="false" customWidth="true" hidden="false" outlineLevel="0" max="10551" min="10551" style="70" width="8"/>
    <col collapsed="false" customWidth="false" hidden="false" outlineLevel="0" max="10552" min="10552" style="70" width="42.57"/>
    <col collapsed="false" customWidth="true" hidden="false" outlineLevel="0" max="10553" min="10553" style="70" width="3.29"/>
    <col collapsed="false" customWidth="true" hidden="false" outlineLevel="0" max="10554" min="10554" style="70" width="8"/>
    <col collapsed="false" customWidth="false" hidden="false" outlineLevel="0" max="10555" min="10555" style="70" width="42.57"/>
    <col collapsed="false" customWidth="true" hidden="false" outlineLevel="0" max="10556" min="10556" style="70" width="3.29"/>
    <col collapsed="false" customWidth="true" hidden="false" outlineLevel="0" max="10557" min="10557" style="70" width="8"/>
    <col collapsed="false" customWidth="false" hidden="false" outlineLevel="0" max="10558" min="10558" style="70" width="42.57"/>
    <col collapsed="false" customWidth="true" hidden="false" outlineLevel="0" max="10559" min="10559" style="70" width="3.29"/>
    <col collapsed="false" customWidth="true" hidden="false" outlineLevel="0" max="10560" min="10560" style="70" width="8"/>
    <col collapsed="false" customWidth="false" hidden="false" outlineLevel="0" max="10561" min="10561" style="70" width="42.57"/>
    <col collapsed="false" customWidth="true" hidden="false" outlineLevel="0" max="10562" min="10562" style="70" width="3.29"/>
    <col collapsed="false" customWidth="true" hidden="false" outlineLevel="0" max="10563" min="10563" style="70" width="8"/>
    <col collapsed="false" customWidth="false" hidden="false" outlineLevel="0" max="10564" min="10564" style="70" width="42.57"/>
    <col collapsed="false" customWidth="true" hidden="false" outlineLevel="0" max="10565" min="10565" style="70" width="3.29"/>
    <col collapsed="false" customWidth="true" hidden="false" outlineLevel="0" max="10566" min="10566" style="70" width="8"/>
    <col collapsed="false" customWidth="false" hidden="false" outlineLevel="0" max="10567" min="10567" style="70" width="42.57"/>
    <col collapsed="false" customWidth="true" hidden="false" outlineLevel="0" max="10568" min="10568" style="70" width="3.29"/>
    <col collapsed="false" customWidth="true" hidden="false" outlineLevel="0" max="10569" min="10569" style="70" width="8"/>
    <col collapsed="false" customWidth="false" hidden="false" outlineLevel="0" max="10570" min="10570" style="70" width="42.57"/>
    <col collapsed="false" customWidth="true" hidden="false" outlineLevel="0" max="10571" min="10571" style="70" width="3.29"/>
    <col collapsed="false" customWidth="true" hidden="false" outlineLevel="0" max="10572" min="10572" style="70" width="8"/>
    <col collapsed="false" customWidth="false" hidden="false" outlineLevel="0" max="10573" min="10573" style="70" width="42.57"/>
    <col collapsed="false" customWidth="true" hidden="false" outlineLevel="0" max="10574" min="10574" style="70" width="3.29"/>
    <col collapsed="false" customWidth="true" hidden="false" outlineLevel="0" max="10575" min="10575" style="70" width="8"/>
    <col collapsed="false" customWidth="false" hidden="false" outlineLevel="0" max="10576" min="10576" style="70" width="42.57"/>
    <col collapsed="false" customWidth="true" hidden="false" outlineLevel="0" max="10577" min="10577" style="70" width="3.29"/>
    <col collapsed="false" customWidth="true" hidden="false" outlineLevel="0" max="10578" min="10578" style="70" width="8"/>
    <col collapsed="false" customWidth="false" hidden="false" outlineLevel="0" max="10579" min="10579" style="70" width="42.57"/>
    <col collapsed="false" customWidth="true" hidden="false" outlineLevel="0" max="10580" min="10580" style="70" width="3.29"/>
    <col collapsed="false" customWidth="true" hidden="false" outlineLevel="0" max="10581" min="10581" style="70" width="8"/>
    <col collapsed="false" customWidth="false" hidden="false" outlineLevel="0" max="10582" min="10582" style="70" width="42.57"/>
    <col collapsed="false" customWidth="true" hidden="false" outlineLevel="0" max="10583" min="10583" style="70" width="3.29"/>
    <col collapsed="false" customWidth="true" hidden="false" outlineLevel="0" max="10584" min="10584" style="70" width="8"/>
    <col collapsed="false" customWidth="false" hidden="false" outlineLevel="0" max="10585" min="10585" style="70" width="42.57"/>
    <col collapsed="false" customWidth="true" hidden="false" outlineLevel="0" max="10586" min="10586" style="70" width="3.29"/>
    <col collapsed="false" customWidth="true" hidden="false" outlineLevel="0" max="10587" min="10587" style="70" width="8"/>
    <col collapsed="false" customWidth="false" hidden="false" outlineLevel="0" max="10588" min="10588" style="70" width="42.57"/>
    <col collapsed="false" customWidth="true" hidden="false" outlineLevel="0" max="10589" min="10589" style="70" width="3.29"/>
    <col collapsed="false" customWidth="true" hidden="false" outlineLevel="0" max="10590" min="10590" style="70" width="8"/>
    <col collapsed="false" customWidth="false" hidden="false" outlineLevel="0" max="10591" min="10591" style="70" width="42.57"/>
    <col collapsed="false" customWidth="true" hidden="false" outlineLevel="0" max="10592" min="10592" style="70" width="3.29"/>
    <col collapsed="false" customWidth="true" hidden="false" outlineLevel="0" max="10593" min="10593" style="70" width="8"/>
    <col collapsed="false" customWidth="false" hidden="false" outlineLevel="0" max="10594" min="10594" style="70" width="42.57"/>
    <col collapsed="false" customWidth="true" hidden="false" outlineLevel="0" max="10595" min="10595" style="70" width="3.29"/>
    <col collapsed="false" customWidth="true" hidden="false" outlineLevel="0" max="10596" min="10596" style="70" width="8"/>
    <col collapsed="false" customWidth="false" hidden="false" outlineLevel="0" max="10597" min="10597" style="70" width="42.57"/>
    <col collapsed="false" customWidth="true" hidden="false" outlineLevel="0" max="10598" min="10598" style="70" width="3.29"/>
    <col collapsed="false" customWidth="true" hidden="false" outlineLevel="0" max="10599" min="10599" style="70" width="8"/>
    <col collapsed="false" customWidth="false" hidden="false" outlineLevel="0" max="10600" min="10600" style="70" width="42.57"/>
    <col collapsed="false" customWidth="true" hidden="false" outlineLevel="0" max="10601" min="10601" style="70" width="3.29"/>
    <col collapsed="false" customWidth="true" hidden="false" outlineLevel="0" max="10602" min="10602" style="70" width="8"/>
    <col collapsed="false" customWidth="false" hidden="false" outlineLevel="0" max="10603" min="10603" style="70" width="42.57"/>
    <col collapsed="false" customWidth="true" hidden="false" outlineLevel="0" max="10604" min="10604" style="70" width="3.29"/>
    <col collapsed="false" customWidth="true" hidden="false" outlineLevel="0" max="10605" min="10605" style="70" width="8"/>
    <col collapsed="false" customWidth="false" hidden="false" outlineLevel="0" max="10606" min="10606" style="70" width="42.57"/>
    <col collapsed="false" customWidth="true" hidden="false" outlineLevel="0" max="10607" min="10607" style="70" width="3.29"/>
    <col collapsed="false" customWidth="true" hidden="false" outlineLevel="0" max="10608" min="10608" style="70" width="8"/>
    <col collapsed="false" customWidth="false" hidden="false" outlineLevel="0" max="10609" min="10609" style="70" width="42.57"/>
    <col collapsed="false" customWidth="true" hidden="false" outlineLevel="0" max="10610" min="10610" style="70" width="3.29"/>
    <col collapsed="false" customWidth="true" hidden="false" outlineLevel="0" max="10611" min="10611" style="70" width="8"/>
    <col collapsed="false" customWidth="false" hidden="false" outlineLevel="0" max="10612" min="10612" style="70" width="42.57"/>
    <col collapsed="false" customWidth="true" hidden="false" outlineLevel="0" max="10613" min="10613" style="70" width="3.29"/>
    <col collapsed="false" customWidth="true" hidden="false" outlineLevel="0" max="10614" min="10614" style="70" width="8"/>
    <col collapsed="false" customWidth="false" hidden="false" outlineLevel="0" max="10615" min="10615" style="70" width="42.57"/>
    <col collapsed="false" customWidth="true" hidden="false" outlineLevel="0" max="10616" min="10616" style="70" width="3.29"/>
    <col collapsed="false" customWidth="true" hidden="false" outlineLevel="0" max="10617" min="10617" style="70" width="8"/>
    <col collapsed="false" customWidth="false" hidden="false" outlineLevel="0" max="10618" min="10618" style="70" width="42.57"/>
    <col collapsed="false" customWidth="true" hidden="false" outlineLevel="0" max="10619" min="10619" style="70" width="3.29"/>
    <col collapsed="false" customWidth="true" hidden="false" outlineLevel="0" max="10620" min="10620" style="70" width="8"/>
    <col collapsed="false" customWidth="false" hidden="false" outlineLevel="0" max="10621" min="10621" style="70" width="42.57"/>
    <col collapsed="false" customWidth="true" hidden="false" outlineLevel="0" max="10622" min="10622" style="70" width="3.29"/>
    <col collapsed="false" customWidth="true" hidden="false" outlineLevel="0" max="10623" min="10623" style="70" width="8"/>
    <col collapsed="false" customWidth="false" hidden="false" outlineLevel="0" max="10624" min="10624" style="70" width="42.57"/>
    <col collapsed="false" customWidth="true" hidden="false" outlineLevel="0" max="10625" min="10625" style="70" width="3.29"/>
    <col collapsed="false" customWidth="true" hidden="false" outlineLevel="0" max="10626" min="10626" style="70" width="8"/>
    <col collapsed="false" customWidth="false" hidden="false" outlineLevel="0" max="10627" min="10627" style="70" width="42.57"/>
    <col collapsed="false" customWidth="true" hidden="false" outlineLevel="0" max="10628" min="10628" style="70" width="3.29"/>
    <col collapsed="false" customWidth="true" hidden="false" outlineLevel="0" max="10629" min="10629" style="70" width="8"/>
    <col collapsed="false" customWidth="false" hidden="false" outlineLevel="0" max="10630" min="10630" style="70" width="42.57"/>
    <col collapsed="false" customWidth="true" hidden="false" outlineLevel="0" max="10631" min="10631" style="70" width="3.29"/>
    <col collapsed="false" customWidth="true" hidden="false" outlineLevel="0" max="10632" min="10632" style="70" width="8"/>
    <col collapsed="false" customWidth="false" hidden="false" outlineLevel="0" max="10633" min="10633" style="70" width="42.57"/>
    <col collapsed="false" customWidth="true" hidden="false" outlineLevel="0" max="10634" min="10634" style="70" width="3.29"/>
    <col collapsed="false" customWidth="true" hidden="false" outlineLevel="0" max="10635" min="10635" style="70" width="8"/>
    <col collapsed="false" customWidth="false" hidden="false" outlineLevel="0" max="10636" min="10636" style="70" width="42.57"/>
    <col collapsed="false" customWidth="true" hidden="false" outlineLevel="0" max="10637" min="10637" style="70" width="3.29"/>
    <col collapsed="false" customWidth="true" hidden="false" outlineLevel="0" max="10638" min="10638" style="70" width="8"/>
    <col collapsed="false" customWidth="false" hidden="false" outlineLevel="0" max="10639" min="10639" style="70" width="42.57"/>
    <col collapsed="false" customWidth="true" hidden="false" outlineLevel="0" max="10640" min="10640" style="70" width="3.29"/>
    <col collapsed="false" customWidth="true" hidden="false" outlineLevel="0" max="10641" min="10641" style="70" width="8"/>
    <col collapsed="false" customWidth="false" hidden="false" outlineLevel="0" max="10642" min="10642" style="70" width="42.57"/>
    <col collapsed="false" customWidth="true" hidden="false" outlineLevel="0" max="10643" min="10643" style="70" width="3.29"/>
    <col collapsed="false" customWidth="true" hidden="false" outlineLevel="0" max="10644" min="10644" style="70" width="8"/>
    <col collapsed="false" customWidth="false" hidden="false" outlineLevel="0" max="10645" min="10645" style="70" width="42.57"/>
    <col collapsed="false" customWidth="true" hidden="false" outlineLevel="0" max="10646" min="10646" style="70" width="3.29"/>
    <col collapsed="false" customWidth="true" hidden="false" outlineLevel="0" max="10647" min="10647" style="70" width="8"/>
    <col collapsed="false" customWidth="false" hidden="false" outlineLevel="0" max="10648" min="10648" style="70" width="42.57"/>
    <col collapsed="false" customWidth="true" hidden="false" outlineLevel="0" max="10649" min="10649" style="70" width="3.29"/>
    <col collapsed="false" customWidth="true" hidden="false" outlineLevel="0" max="10650" min="10650" style="70" width="8"/>
    <col collapsed="false" customWidth="false" hidden="false" outlineLevel="0" max="10651" min="10651" style="70" width="42.57"/>
    <col collapsed="false" customWidth="true" hidden="false" outlineLevel="0" max="10652" min="10652" style="70" width="3.29"/>
    <col collapsed="false" customWidth="true" hidden="false" outlineLevel="0" max="10653" min="10653" style="70" width="8"/>
    <col collapsed="false" customWidth="false" hidden="false" outlineLevel="0" max="10654" min="10654" style="70" width="42.57"/>
    <col collapsed="false" customWidth="true" hidden="false" outlineLevel="0" max="10655" min="10655" style="70" width="3.29"/>
    <col collapsed="false" customWidth="true" hidden="false" outlineLevel="0" max="10656" min="10656" style="70" width="8"/>
    <col collapsed="false" customWidth="false" hidden="false" outlineLevel="0" max="10657" min="10657" style="70" width="42.57"/>
    <col collapsed="false" customWidth="true" hidden="false" outlineLevel="0" max="10658" min="10658" style="70" width="3.29"/>
    <col collapsed="false" customWidth="true" hidden="false" outlineLevel="0" max="10659" min="10659" style="70" width="8"/>
    <col collapsed="false" customWidth="false" hidden="false" outlineLevel="0" max="10660" min="10660" style="70" width="42.57"/>
    <col collapsed="false" customWidth="true" hidden="false" outlineLevel="0" max="10661" min="10661" style="70" width="3.29"/>
    <col collapsed="false" customWidth="true" hidden="false" outlineLevel="0" max="10662" min="10662" style="70" width="8"/>
    <col collapsed="false" customWidth="false" hidden="false" outlineLevel="0" max="10663" min="10663" style="70" width="42.57"/>
    <col collapsed="false" customWidth="true" hidden="false" outlineLevel="0" max="10664" min="10664" style="70" width="3.29"/>
    <col collapsed="false" customWidth="true" hidden="false" outlineLevel="0" max="10665" min="10665" style="70" width="8"/>
    <col collapsed="false" customWidth="false" hidden="false" outlineLevel="0" max="10666" min="10666" style="70" width="42.57"/>
    <col collapsed="false" customWidth="true" hidden="false" outlineLevel="0" max="10667" min="10667" style="70" width="3.29"/>
    <col collapsed="false" customWidth="true" hidden="false" outlineLevel="0" max="10668" min="10668" style="70" width="8"/>
    <col collapsed="false" customWidth="false" hidden="false" outlineLevel="0" max="10669" min="10669" style="70" width="42.57"/>
    <col collapsed="false" customWidth="true" hidden="false" outlineLevel="0" max="10670" min="10670" style="70" width="3.29"/>
    <col collapsed="false" customWidth="true" hidden="false" outlineLevel="0" max="10671" min="10671" style="70" width="8"/>
    <col collapsed="false" customWidth="false" hidden="false" outlineLevel="0" max="10672" min="10672" style="70" width="42.57"/>
    <col collapsed="false" customWidth="true" hidden="false" outlineLevel="0" max="10673" min="10673" style="70" width="3.29"/>
    <col collapsed="false" customWidth="true" hidden="false" outlineLevel="0" max="10674" min="10674" style="70" width="8"/>
    <col collapsed="false" customWidth="false" hidden="false" outlineLevel="0" max="10675" min="10675" style="70" width="42.57"/>
    <col collapsed="false" customWidth="true" hidden="false" outlineLevel="0" max="10676" min="10676" style="70" width="3.29"/>
    <col collapsed="false" customWidth="true" hidden="false" outlineLevel="0" max="10677" min="10677" style="70" width="8"/>
    <col collapsed="false" customWidth="false" hidden="false" outlineLevel="0" max="10678" min="10678" style="70" width="42.57"/>
    <col collapsed="false" customWidth="true" hidden="false" outlineLevel="0" max="10679" min="10679" style="70" width="3.29"/>
    <col collapsed="false" customWidth="true" hidden="false" outlineLevel="0" max="10680" min="10680" style="70" width="8"/>
    <col collapsed="false" customWidth="false" hidden="false" outlineLevel="0" max="10681" min="10681" style="70" width="42.57"/>
    <col collapsed="false" customWidth="true" hidden="false" outlineLevel="0" max="10682" min="10682" style="70" width="3.29"/>
    <col collapsed="false" customWidth="true" hidden="false" outlineLevel="0" max="10683" min="10683" style="70" width="8"/>
    <col collapsed="false" customWidth="false" hidden="false" outlineLevel="0" max="10684" min="10684" style="70" width="42.57"/>
    <col collapsed="false" customWidth="true" hidden="false" outlineLevel="0" max="10685" min="10685" style="70" width="3.29"/>
    <col collapsed="false" customWidth="true" hidden="false" outlineLevel="0" max="10686" min="10686" style="70" width="8"/>
    <col collapsed="false" customWidth="false" hidden="false" outlineLevel="0" max="10687" min="10687" style="70" width="42.57"/>
    <col collapsed="false" customWidth="true" hidden="false" outlineLevel="0" max="10688" min="10688" style="70" width="3.29"/>
    <col collapsed="false" customWidth="true" hidden="false" outlineLevel="0" max="10689" min="10689" style="70" width="8"/>
    <col collapsed="false" customWidth="false" hidden="false" outlineLevel="0" max="10690" min="10690" style="70" width="42.57"/>
    <col collapsed="false" customWidth="true" hidden="false" outlineLevel="0" max="10691" min="10691" style="70" width="3.29"/>
    <col collapsed="false" customWidth="true" hidden="false" outlineLevel="0" max="10692" min="10692" style="70" width="8"/>
    <col collapsed="false" customWidth="false" hidden="false" outlineLevel="0" max="10693" min="10693" style="70" width="42.57"/>
    <col collapsed="false" customWidth="true" hidden="false" outlineLevel="0" max="10694" min="10694" style="70" width="3.29"/>
    <col collapsed="false" customWidth="true" hidden="false" outlineLevel="0" max="10695" min="10695" style="70" width="8"/>
    <col collapsed="false" customWidth="false" hidden="false" outlineLevel="0" max="10696" min="10696" style="70" width="42.57"/>
    <col collapsed="false" customWidth="true" hidden="false" outlineLevel="0" max="10697" min="10697" style="70" width="3.29"/>
    <col collapsed="false" customWidth="true" hidden="false" outlineLevel="0" max="10698" min="10698" style="70" width="8"/>
    <col collapsed="false" customWidth="false" hidden="false" outlineLevel="0" max="10699" min="10699" style="70" width="42.57"/>
    <col collapsed="false" customWidth="true" hidden="false" outlineLevel="0" max="10700" min="10700" style="70" width="3.29"/>
    <col collapsed="false" customWidth="true" hidden="false" outlineLevel="0" max="10701" min="10701" style="70" width="8"/>
    <col collapsed="false" customWidth="false" hidden="false" outlineLevel="0" max="10702" min="10702" style="70" width="42.57"/>
    <col collapsed="false" customWidth="true" hidden="false" outlineLevel="0" max="10703" min="10703" style="70" width="3.29"/>
    <col collapsed="false" customWidth="true" hidden="false" outlineLevel="0" max="10704" min="10704" style="70" width="8"/>
    <col collapsed="false" customWidth="false" hidden="false" outlineLevel="0" max="10705" min="10705" style="70" width="42.57"/>
    <col collapsed="false" customWidth="true" hidden="false" outlineLevel="0" max="10706" min="10706" style="70" width="3.29"/>
    <col collapsed="false" customWidth="true" hidden="false" outlineLevel="0" max="10707" min="10707" style="70" width="8"/>
    <col collapsed="false" customWidth="false" hidden="false" outlineLevel="0" max="10708" min="10708" style="70" width="42.57"/>
    <col collapsed="false" customWidth="true" hidden="false" outlineLevel="0" max="10709" min="10709" style="70" width="3.29"/>
    <col collapsed="false" customWidth="true" hidden="false" outlineLevel="0" max="10710" min="10710" style="70" width="8"/>
    <col collapsed="false" customWidth="false" hidden="false" outlineLevel="0" max="10711" min="10711" style="70" width="42.57"/>
    <col collapsed="false" customWidth="true" hidden="false" outlineLevel="0" max="10712" min="10712" style="70" width="3.29"/>
    <col collapsed="false" customWidth="true" hidden="false" outlineLevel="0" max="10713" min="10713" style="70" width="8"/>
    <col collapsed="false" customWidth="false" hidden="false" outlineLevel="0" max="10714" min="10714" style="70" width="42.57"/>
    <col collapsed="false" customWidth="true" hidden="false" outlineLevel="0" max="10715" min="10715" style="70" width="3.29"/>
    <col collapsed="false" customWidth="true" hidden="false" outlineLevel="0" max="10716" min="10716" style="70" width="8"/>
    <col collapsed="false" customWidth="false" hidden="false" outlineLevel="0" max="10717" min="10717" style="70" width="42.57"/>
    <col collapsed="false" customWidth="true" hidden="false" outlineLevel="0" max="10718" min="10718" style="70" width="3.29"/>
    <col collapsed="false" customWidth="true" hidden="false" outlineLevel="0" max="10719" min="10719" style="70" width="8"/>
    <col collapsed="false" customWidth="false" hidden="false" outlineLevel="0" max="10720" min="10720" style="70" width="42.57"/>
    <col collapsed="false" customWidth="true" hidden="false" outlineLevel="0" max="10721" min="10721" style="70" width="3.29"/>
    <col collapsed="false" customWidth="true" hidden="false" outlineLevel="0" max="10722" min="10722" style="70" width="8"/>
    <col collapsed="false" customWidth="false" hidden="false" outlineLevel="0" max="10723" min="10723" style="70" width="42.57"/>
    <col collapsed="false" customWidth="true" hidden="false" outlineLevel="0" max="10724" min="10724" style="70" width="3.29"/>
    <col collapsed="false" customWidth="true" hidden="false" outlineLevel="0" max="10725" min="10725" style="70" width="8"/>
    <col collapsed="false" customWidth="false" hidden="false" outlineLevel="0" max="10726" min="10726" style="70" width="42.57"/>
    <col collapsed="false" customWidth="true" hidden="false" outlineLevel="0" max="10727" min="10727" style="70" width="3.29"/>
    <col collapsed="false" customWidth="true" hidden="false" outlineLevel="0" max="10728" min="10728" style="70" width="8"/>
    <col collapsed="false" customWidth="false" hidden="false" outlineLevel="0" max="10729" min="10729" style="70" width="42.57"/>
    <col collapsed="false" customWidth="true" hidden="false" outlineLevel="0" max="10730" min="10730" style="70" width="3.29"/>
    <col collapsed="false" customWidth="true" hidden="false" outlineLevel="0" max="10731" min="10731" style="70" width="8"/>
    <col collapsed="false" customWidth="false" hidden="false" outlineLevel="0" max="10732" min="10732" style="70" width="42.57"/>
    <col collapsed="false" customWidth="true" hidden="false" outlineLevel="0" max="10733" min="10733" style="70" width="3.29"/>
    <col collapsed="false" customWidth="true" hidden="false" outlineLevel="0" max="10734" min="10734" style="70" width="8"/>
    <col collapsed="false" customWidth="false" hidden="false" outlineLevel="0" max="10735" min="10735" style="70" width="42.57"/>
    <col collapsed="false" customWidth="true" hidden="false" outlineLevel="0" max="10736" min="10736" style="70" width="3.29"/>
    <col collapsed="false" customWidth="true" hidden="false" outlineLevel="0" max="10737" min="10737" style="70" width="8"/>
    <col collapsed="false" customWidth="false" hidden="false" outlineLevel="0" max="10738" min="10738" style="70" width="42.57"/>
    <col collapsed="false" customWidth="true" hidden="false" outlineLevel="0" max="10739" min="10739" style="70" width="3.29"/>
    <col collapsed="false" customWidth="true" hidden="false" outlineLevel="0" max="10740" min="10740" style="70" width="8"/>
    <col collapsed="false" customWidth="false" hidden="false" outlineLevel="0" max="10741" min="10741" style="70" width="42.57"/>
    <col collapsed="false" customWidth="true" hidden="false" outlineLevel="0" max="10742" min="10742" style="70" width="3.29"/>
    <col collapsed="false" customWidth="true" hidden="false" outlineLevel="0" max="10743" min="10743" style="70" width="8"/>
    <col collapsed="false" customWidth="false" hidden="false" outlineLevel="0" max="10744" min="10744" style="70" width="42.57"/>
    <col collapsed="false" customWidth="true" hidden="false" outlineLevel="0" max="10745" min="10745" style="70" width="3.29"/>
    <col collapsed="false" customWidth="true" hidden="false" outlineLevel="0" max="10746" min="10746" style="70" width="8"/>
    <col collapsed="false" customWidth="false" hidden="false" outlineLevel="0" max="10747" min="10747" style="70" width="42.57"/>
    <col collapsed="false" customWidth="true" hidden="false" outlineLevel="0" max="10748" min="10748" style="70" width="3.29"/>
    <col collapsed="false" customWidth="true" hidden="false" outlineLevel="0" max="10749" min="10749" style="70" width="8"/>
    <col collapsed="false" customWidth="false" hidden="false" outlineLevel="0" max="10750" min="10750" style="70" width="42.57"/>
    <col collapsed="false" customWidth="true" hidden="false" outlineLevel="0" max="10751" min="10751" style="70" width="3.29"/>
    <col collapsed="false" customWidth="true" hidden="false" outlineLevel="0" max="10752" min="10752" style="70" width="8"/>
    <col collapsed="false" customWidth="false" hidden="false" outlineLevel="0" max="10753" min="10753" style="70" width="42.57"/>
    <col collapsed="false" customWidth="true" hidden="false" outlineLevel="0" max="10754" min="10754" style="70" width="3.29"/>
    <col collapsed="false" customWidth="true" hidden="false" outlineLevel="0" max="10755" min="10755" style="70" width="8"/>
    <col collapsed="false" customWidth="false" hidden="false" outlineLevel="0" max="10756" min="10756" style="70" width="42.57"/>
    <col collapsed="false" customWidth="true" hidden="false" outlineLevel="0" max="10757" min="10757" style="70" width="3.29"/>
    <col collapsed="false" customWidth="true" hidden="false" outlineLevel="0" max="10758" min="10758" style="70" width="8"/>
    <col collapsed="false" customWidth="false" hidden="false" outlineLevel="0" max="10759" min="10759" style="70" width="42.57"/>
    <col collapsed="false" customWidth="true" hidden="false" outlineLevel="0" max="10760" min="10760" style="70" width="3.29"/>
    <col collapsed="false" customWidth="true" hidden="false" outlineLevel="0" max="10761" min="10761" style="70" width="8"/>
    <col collapsed="false" customWidth="false" hidden="false" outlineLevel="0" max="10762" min="10762" style="70" width="42.57"/>
    <col collapsed="false" customWidth="true" hidden="false" outlineLevel="0" max="10763" min="10763" style="70" width="3.29"/>
    <col collapsed="false" customWidth="true" hidden="false" outlineLevel="0" max="10764" min="10764" style="70" width="8"/>
    <col collapsed="false" customWidth="false" hidden="false" outlineLevel="0" max="10765" min="10765" style="70" width="42.57"/>
    <col collapsed="false" customWidth="true" hidden="false" outlineLevel="0" max="10766" min="10766" style="70" width="3.29"/>
    <col collapsed="false" customWidth="true" hidden="false" outlineLevel="0" max="10767" min="10767" style="70" width="8"/>
    <col collapsed="false" customWidth="false" hidden="false" outlineLevel="0" max="10768" min="10768" style="70" width="42.57"/>
    <col collapsed="false" customWidth="true" hidden="false" outlineLevel="0" max="10769" min="10769" style="70" width="3.29"/>
    <col collapsed="false" customWidth="true" hidden="false" outlineLevel="0" max="10770" min="10770" style="70" width="8"/>
    <col collapsed="false" customWidth="false" hidden="false" outlineLevel="0" max="10771" min="10771" style="70" width="42.57"/>
    <col collapsed="false" customWidth="true" hidden="false" outlineLevel="0" max="10772" min="10772" style="70" width="3.29"/>
    <col collapsed="false" customWidth="true" hidden="false" outlineLevel="0" max="10773" min="10773" style="70" width="8"/>
    <col collapsed="false" customWidth="false" hidden="false" outlineLevel="0" max="10774" min="10774" style="70" width="42.57"/>
    <col collapsed="false" customWidth="true" hidden="false" outlineLevel="0" max="10775" min="10775" style="70" width="3.29"/>
    <col collapsed="false" customWidth="true" hidden="false" outlineLevel="0" max="10776" min="10776" style="70" width="8"/>
    <col collapsed="false" customWidth="false" hidden="false" outlineLevel="0" max="10777" min="10777" style="70" width="42.57"/>
    <col collapsed="false" customWidth="true" hidden="false" outlineLevel="0" max="10778" min="10778" style="70" width="3.29"/>
    <col collapsed="false" customWidth="true" hidden="false" outlineLevel="0" max="10779" min="10779" style="70" width="8"/>
    <col collapsed="false" customWidth="false" hidden="false" outlineLevel="0" max="10780" min="10780" style="70" width="42.57"/>
    <col collapsed="false" customWidth="true" hidden="false" outlineLevel="0" max="10781" min="10781" style="70" width="3.29"/>
    <col collapsed="false" customWidth="true" hidden="false" outlineLevel="0" max="10782" min="10782" style="70" width="8"/>
    <col collapsed="false" customWidth="false" hidden="false" outlineLevel="0" max="10783" min="10783" style="70" width="42.57"/>
    <col collapsed="false" customWidth="true" hidden="false" outlineLevel="0" max="10784" min="10784" style="70" width="3.29"/>
    <col collapsed="false" customWidth="true" hidden="false" outlineLevel="0" max="10785" min="10785" style="70" width="8"/>
    <col collapsed="false" customWidth="false" hidden="false" outlineLevel="0" max="10786" min="10786" style="70" width="42.57"/>
    <col collapsed="false" customWidth="true" hidden="false" outlineLevel="0" max="10787" min="10787" style="70" width="3.29"/>
    <col collapsed="false" customWidth="true" hidden="false" outlineLevel="0" max="10788" min="10788" style="70" width="8"/>
    <col collapsed="false" customWidth="false" hidden="false" outlineLevel="0" max="10789" min="10789" style="70" width="42.57"/>
    <col collapsed="false" customWidth="true" hidden="false" outlineLevel="0" max="10790" min="10790" style="70" width="3.29"/>
    <col collapsed="false" customWidth="true" hidden="false" outlineLevel="0" max="10791" min="10791" style="70" width="8"/>
    <col collapsed="false" customWidth="false" hidden="false" outlineLevel="0" max="10792" min="10792" style="70" width="42.57"/>
    <col collapsed="false" customWidth="true" hidden="false" outlineLevel="0" max="10793" min="10793" style="70" width="3.29"/>
    <col collapsed="false" customWidth="true" hidden="false" outlineLevel="0" max="10794" min="10794" style="70" width="8"/>
    <col collapsed="false" customWidth="false" hidden="false" outlineLevel="0" max="10795" min="10795" style="70" width="42.57"/>
    <col collapsed="false" customWidth="true" hidden="false" outlineLevel="0" max="10796" min="10796" style="70" width="3.29"/>
    <col collapsed="false" customWidth="true" hidden="false" outlineLevel="0" max="10797" min="10797" style="70" width="8"/>
    <col collapsed="false" customWidth="false" hidden="false" outlineLevel="0" max="10798" min="10798" style="70" width="42.57"/>
    <col collapsed="false" customWidth="true" hidden="false" outlineLevel="0" max="10799" min="10799" style="70" width="3.29"/>
    <col collapsed="false" customWidth="true" hidden="false" outlineLevel="0" max="10800" min="10800" style="70" width="8"/>
    <col collapsed="false" customWidth="false" hidden="false" outlineLevel="0" max="10801" min="10801" style="70" width="42.57"/>
    <col collapsed="false" customWidth="true" hidden="false" outlineLevel="0" max="10802" min="10802" style="70" width="3.29"/>
    <col collapsed="false" customWidth="true" hidden="false" outlineLevel="0" max="10803" min="10803" style="70" width="8"/>
    <col collapsed="false" customWidth="false" hidden="false" outlineLevel="0" max="10804" min="10804" style="70" width="42.57"/>
    <col collapsed="false" customWidth="true" hidden="false" outlineLevel="0" max="10805" min="10805" style="70" width="3.29"/>
    <col collapsed="false" customWidth="true" hidden="false" outlineLevel="0" max="10806" min="10806" style="70" width="8"/>
    <col collapsed="false" customWidth="false" hidden="false" outlineLevel="0" max="10807" min="10807" style="70" width="42.57"/>
    <col collapsed="false" customWidth="true" hidden="false" outlineLevel="0" max="10808" min="10808" style="70" width="3.29"/>
    <col collapsed="false" customWidth="true" hidden="false" outlineLevel="0" max="10809" min="10809" style="70" width="8"/>
    <col collapsed="false" customWidth="false" hidden="false" outlineLevel="0" max="10810" min="10810" style="70" width="42.57"/>
    <col collapsed="false" customWidth="true" hidden="false" outlineLevel="0" max="10811" min="10811" style="70" width="3.29"/>
    <col collapsed="false" customWidth="true" hidden="false" outlineLevel="0" max="10812" min="10812" style="70" width="8"/>
    <col collapsed="false" customWidth="false" hidden="false" outlineLevel="0" max="10813" min="10813" style="70" width="42.57"/>
    <col collapsed="false" customWidth="true" hidden="false" outlineLevel="0" max="10814" min="10814" style="70" width="3.29"/>
    <col collapsed="false" customWidth="true" hidden="false" outlineLevel="0" max="10815" min="10815" style="70" width="8"/>
    <col collapsed="false" customWidth="false" hidden="false" outlineLevel="0" max="10816" min="10816" style="70" width="42.57"/>
    <col collapsed="false" customWidth="true" hidden="false" outlineLevel="0" max="10817" min="10817" style="70" width="3.29"/>
    <col collapsed="false" customWidth="true" hidden="false" outlineLevel="0" max="10818" min="10818" style="70" width="8"/>
    <col collapsed="false" customWidth="false" hidden="false" outlineLevel="0" max="10819" min="10819" style="70" width="42.57"/>
    <col collapsed="false" customWidth="true" hidden="false" outlineLevel="0" max="10820" min="10820" style="70" width="3.29"/>
    <col collapsed="false" customWidth="true" hidden="false" outlineLevel="0" max="10821" min="10821" style="70" width="8"/>
    <col collapsed="false" customWidth="false" hidden="false" outlineLevel="0" max="10822" min="10822" style="70" width="42.57"/>
    <col collapsed="false" customWidth="true" hidden="false" outlineLevel="0" max="10823" min="10823" style="70" width="3.29"/>
    <col collapsed="false" customWidth="true" hidden="false" outlineLevel="0" max="10824" min="10824" style="70" width="8"/>
    <col collapsed="false" customWidth="false" hidden="false" outlineLevel="0" max="10825" min="10825" style="70" width="42.57"/>
    <col collapsed="false" customWidth="true" hidden="false" outlineLevel="0" max="10826" min="10826" style="70" width="3.29"/>
    <col collapsed="false" customWidth="true" hidden="false" outlineLevel="0" max="10827" min="10827" style="70" width="8"/>
    <col collapsed="false" customWidth="false" hidden="false" outlineLevel="0" max="10828" min="10828" style="70" width="42.57"/>
    <col collapsed="false" customWidth="true" hidden="false" outlineLevel="0" max="10829" min="10829" style="70" width="3.29"/>
    <col collapsed="false" customWidth="true" hidden="false" outlineLevel="0" max="10830" min="10830" style="70" width="8"/>
    <col collapsed="false" customWidth="false" hidden="false" outlineLevel="0" max="10831" min="10831" style="70" width="42.57"/>
    <col collapsed="false" customWidth="true" hidden="false" outlineLevel="0" max="10832" min="10832" style="70" width="3.29"/>
    <col collapsed="false" customWidth="true" hidden="false" outlineLevel="0" max="10833" min="10833" style="70" width="8"/>
    <col collapsed="false" customWidth="false" hidden="false" outlineLevel="0" max="10834" min="10834" style="70" width="42.57"/>
    <col collapsed="false" customWidth="true" hidden="false" outlineLevel="0" max="10835" min="10835" style="70" width="3.29"/>
    <col collapsed="false" customWidth="true" hidden="false" outlineLevel="0" max="10836" min="10836" style="70" width="8"/>
    <col collapsed="false" customWidth="false" hidden="false" outlineLevel="0" max="10837" min="10837" style="70" width="42.57"/>
    <col collapsed="false" customWidth="true" hidden="false" outlineLevel="0" max="10838" min="10838" style="70" width="3.29"/>
    <col collapsed="false" customWidth="true" hidden="false" outlineLevel="0" max="10839" min="10839" style="70" width="8"/>
    <col collapsed="false" customWidth="false" hidden="false" outlineLevel="0" max="10840" min="10840" style="70" width="42.57"/>
    <col collapsed="false" customWidth="true" hidden="false" outlineLevel="0" max="10841" min="10841" style="70" width="3.29"/>
    <col collapsed="false" customWidth="true" hidden="false" outlineLevel="0" max="10842" min="10842" style="70" width="8"/>
    <col collapsed="false" customWidth="false" hidden="false" outlineLevel="0" max="10843" min="10843" style="70" width="42.57"/>
    <col collapsed="false" customWidth="true" hidden="false" outlineLevel="0" max="10844" min="10844" style="70" width="3.29"/>
    <col collapsed="false" customWidth="true" hidden="false" outlineLevel="0" max="10845" min="10845" style="70" width="8"/>
    <col collapsed="false" customWidth="false" hidden="false" outlineLevel="0" max="10846" min="10846" style="70" width="42.57"/>
    <col collapsed="false" customWidth="true" hidden="false" outlineLevel="0" max="10847" min="10847" style="70" width="3.29"/>
    <col collapsed="false" customWidth="true" hidden="false" outlineLevel="0" max="10848" min="10848" style="70" width="8"/>
    <col collapsed="false" customWidth="false" hidden="false" outlineLevel="0" max="10849" min="10849" style="70" width="42.57"/>
    <col collapsed="false" customWidth="true" hidden="false" outlineLevel="0" max="10850" min="10850" style="70" width="3.29"/>
    <col collapsed="false" customWidth="true" hidden="false" outlineLevel="0" max="10851" min="10851" style="70" width="8"/>
    <col collapsed="false" customWidth="false" hidden="false" outlineLevel="0" max="10852" min="10852" style="70" width="42.57"/>
    <col collapsed="false" customWidth="true" hidden="false" outlineLevel="0" max="10853" min="10853" style="70" width="3.29"/>
    <col collapsed="false" customWidth="true" hidden="false" outlineLevel="0" max="10854" min="10854" style="70" width="8"/>
    <col collapsed="false" customWidth="false" hidden="false" outlineLevel="0" max="10855" min="10855" style="70" width="42.57"/>
    <col collapsed="false" customWidth="true" hidden="false" outlineLevel="0" max="10856" min="10856" style="70" width="3.29"/>
    <col collapsed="false" customWidth="true" hidden="false" outlineLevel="0" max="10857" min="10857" style="70" width="8"/>
    <col collapsed="false" customWidth="false" hidden="false" outlineLevel="0" max="10858" min="10858" style="70" width="42.57"/>
    <col collapsed="false" customWidth="true" hidden="false" outlineLevel="0" max="10859" min="10859" style="70" width="3.29"/>
    <col collapsed="false" customWidth="true" hidden="false" outlineLevel="0" max="10860" min="10860" style="70" width="8"/>
    <col collapsed="false" customWidth="false" hidden="false" outlineLevel="0" max="10861" min="10861" style="70" width="42.57"/>
    <col collapsed="false" customWidth="true" hidden="false" outlineLevel="0" max="10862" min="10862" style="70" width="3.29"/>
    <col collapsed="false" customWidth="true" hidden="false" outlineLevel="0" max="10863" min="10863" style="70" width="8"/>
    <col collapsed="false" customWidth="false" hidden="false" outlineLevel="0" max="10864" min="10864" style="70" width="42.57"/>
    <col collapsed="false" customWidth="true" hidden="false" outlineLevel="0" max="10865" min="10865" style="70" width="3.29"/>
    <col collapsed="false" customWidth="true" hidden="false" outlineLevel="0" max="10866" min="10866" style="70" width="8"/>
    <col collapsed="false" customWidth="false" hidden="false" outlineLevel="0" max="10867" min="10867" style="70" width="42.57"/>
    <col collapsed="false" customWidth="true" hidden="false" outlineLevel="0" max="10868" min="10868" style="70" width="3.29"/>
    <col collapsed="false" customWidth="true" hidden="false" outlineLevel="0" max="10869" min="10869" style="70" width="8"/>
    <col collapsed="false" customWidth="false" hidden="false" outlineLevel="0" max="10870" min="10870" style="70" width="42.57"/>
    <col collapsed="false" customWidth="true" hidden="false" outlineLevel="0" max="10871" min="10871" style="70" width="3.29"/>
    <col collapsed="false" customWidth="true" hidden="false" outlineLevel="0" max="10872" min="10872" style="70" width="8"/>
    <col collapsed="false" customWidth="false" hidden="false" outlineLevel="0" max="10873" min="10873" style="70" width="42.57"/>
    <col collapsed="false" customWidth="true" hidden="false" outlineLevel="0" max="10874" min="10874" style="70" width="3.29"/>
    <col collapsed="false" customWidth="true" hidden="false" outlineLevel="0" max="10875" min="10875" style="70" width="8"/>
    <col collapsed="false" customWidth="false" hidden="false" outlineLevel="0" max="10876" min="10876" style="70" width="42.57"/>
    <col collapsed="false" customWidth="true" hidden="false" outlineLevel="0" max="10877" min="10877" style="70" width="3.29"/>
    <col collapsed="false" customWidth="true" hidden="false" outlineLevel="0" max="10878" min="10878" style="70" width="8"/>
    <col collapsed="false" customWidth="false" hidden="false" outlineLevel="0" max="10879" min="10879" style="70" width="42.57"/>
    <col collapsed="false" customWidth="true" hidden="false" outlineLevel="0" max="10880" min="10880" style="70" width="3.29"/>
    <col collapsed="false" customWidth="true" hidden="false" outlineLevel="0" max="10881" min="10881" style="70" width="8"/>
    <col collapsed="false" customWidth="false" hidden="false" outlineLevel="0" max="10882" min="10882" style="70" width="42.57"/>
    <col collapsed="false" customWidth="true" hidden="false" outlineLevel="0" max="10883" min="10883" style="70" width="3.29"/>
    <col collapsed="false" customWidth="true" hidden="false" outlineLevel="0" max="10884" min="10884" style="70" width="8"/>
    <col collapsed="false" customWidth="false" hidden="false" outlineLevel="0" max="10885" min="10885" style="70" width="42.57"/>
    <col collapsed="false" customWidth="true" hidden="false" outlineLevel="0" max="10886" min="10886" style="70" width="3.29"/>
    <col collapsed="false" customWidth="true" hidden="false" outlineLevel="0" max="10887" min="10887" style="70" width="8"/>
    <col collapsed="false" customWidth="false" hidden="false" outlineLevel="0" max="10888" min="10888" style="70" width="42.57"/>
    <col collapsed="false" customWidth="true" hidden="false" outlineLevel="0" max="10889" min="10889" style="70" width="3.29"/>
    <col collapsed="false" customWidth="true" hidden="false" outlineLevel="0" max="10890" min="10890" style="70" width="8"/>
    <col collapsed="false" customWidth="false" hidden="false" outlineLevel="0" max="10891" min="10891" style="70" width="42.57"/>
    <col collapsed="false" customWidth="true" hidden="false" outlineLevel="0" max="10892" min="10892" style="70" width="3.29"/>
    <col collapsed="false" customWidth="true" hidden="false" outlineLevel="0" max="10893" min="10893" style="70" width="8"/>
    <col collapsed="false" customWidth="false" hidden="false" outlineLevel="0" max="10894" min="10894" style="70" width="42.57"/>
    <col collapsed="false" customWidth="true" hidden="false" outlineLevel="0" max="10895" min="10895" style="70" width="3.29"/>
    <col collapsed="false" customWidth="true" hidden="false" outlineLevel="0" max="10896" min="10896" style="70" width="8"/>
    <col collapsed="false" customWidth="false" hidden="false" outlineLevel="0" max="10897" min="10897" style="70" width="42.57"/>
    <col collapsed="false" customWidth="true" hidden="false" outlineLevel="0" max="10898" min="10898" style="70" width="3.29"/>
    <col collapsed="false" customWidth="true" hidden="false" outlineLevel="0" max="10899" min="10899" style="70" width="8"/>
    <col collapsed="false" customWidth="false" hidden="false" outlineLevel="0" max="10900" min="10900" style="70" width="42.57"/>
    <col collapsed="false" customWidth="true" hidden="false" outlineLevel="0" max="10901" min="10901" style="70" width="3.29"/>
    <col collapsed="false" customWidth="true" hidden="false" outlineLevel="0" max="10902" min="10902" style="70" width="8"/>
    <col collapsed="false" customWidth="false" hidden="false" outlineLevel="0" max="10903" min="10903" style="70" width="42.57"/>
    <col collapsed="false" customWidth="true" hidden="false" outlineLevel="0" max="10904" min="10904" style="70" width="3.29"/>
    <col collapsed="false" customWidth="true" hidden="false" outlineLevel="0" max="10905" min="10905" style="70" width="8"/>
    <col collapsed="false" customWidth="false" hidden="false" outlineLevel="0" max="10906" min="10906" style="70" width="42.57"/>
    <col collapsed="false" customWidth="true" hidden="false" outlineLevel="0" max="10907" min="10907" style="70" width="3.29"/>
    <col collapsed="false" customWidth="true" hidden="false" outlineLevel="0" max="10908" min="10908" style="70" width="8"/>
    <col collapsed="false" customWidth="false" hidden="false" outlineLevel="0" max="10909" min="10909" style="70" width="42.57"/>
    <col collapsed="false" customWidth="true" hidden="false" outlineLevel="0" max="10910" min="10910" style="70" width="3.29"/>
    <col collapsed="false" customWidth="true" hidden="false" outlineLevel="0" max="10911" min="10911" style="70" width="8"/>
    <col collapsed="false" customWidth="false" hidden="false" outlineLevel="0" max="10912" min="10912" style="70" width="42.57"/>
    <col collapsed="false" customWidth="true" hidden="false" outlineLevel="0" max="10913" min="10913" style="70" width="3.29"/>
    <col collapsed="false" customWidth="true" hidden="false" outlineLevel="0" max="10914" min="10914" style="70" width="8"/>
    <col collapsed="false" customWidth="false" hidden="false" outlineLevel="0" max="10915" min="10915" style="70" width="42.57"/>
    <col collapsed="false" customWidth="true" hidden="false" outlineLevel="0" max="10916" min="10916" style="70" width="3.29"/>
    <col collapsed="false" customWidth="true" hidden="false" outlineLevel="0" max="10917" min="10917" style="70" width="8"/>
    <col collapsed="false" customWidth="false" hidden="false" outlineLevel="0" max="10918" min="10918" style="70" width="42.57"/>
    <col collapsed="false" customWidth="true" hidden="false" outlineLevel="0" max="10919" min="10919" style="70" width="3.29"/>
    <col collapsed="false" customWidth="true" hidden="false" outlineLevel="0" max="10920" min="10920" style="70" width="8"/>
    <col collapsed="false" customWidth="false" hidden="false" outlineLevel="0" max="10921" min="10921" style="70" width="42.57"/>
    <col collapsed="false" customWidth="true" hidden="false" outlineLevel="0" max="10922" min="10922" style="70" width="3.29"/>
    <col collapsed="false" customWidth="true" hidden="false" outlineLevel="0" max="10923" min="10923" style="70" width="8"/>
    <col collapsed="false" customWidth="false" hidden="false" outlineLevel="0" max="10924" min="10924" style="70" width="42.57"/>
    <col collapsed="false" customWidth="true" hidden="false" outlineLevel="0" max="10925" min="10925" style="70" width="3.29"/>
    <col collapsed="false" customWidth="true" hidden="false" outlineLevel="0" max="10926" min="10926" style="70" width="8"/>
    <col collapsed="false" customWidth="false" hidden="false" outlineLevel="0" max="10927" min="10927" style="70" width="42.57"/>
    <col collapsed="false" customWidth="true" hidden="false" outlineLevel="0" max="10928" min="10928" style="70" width="3.29"/>
    <col collapsed="false" customWidth="true" hidden="false" outlineLevel="0" max="10929" min="10929" style="70" width="8"/>
    <col collapsed="false" customWidth="false" hidden="false" outlineLevel="0" max="10930" min="10930" style="70" width="42.57"/>
    <col collapsed="false" customWidth="true" hidden="false" outlineLevel="0" max="10931" min="10931" style="70" width="3.29"/>
    <col collapsed="false" customWidth="true" hidden="false" outlineLevel="0" max="10932" min="10932" style="70" width="8"/>
    <col collapsed="false" customWidth="false" hidden="false" outlineLevel="0" max="10933" min="10933" style="70" width="42.57"/>
    <col collapsed="false" customWidth="true" hidden="false" outlineLevel="0" max="10934" min="10934" style="70" width="3.29"/>
    <col collapsed="false" customWidth="true" hidden="false" outlineLevel="0" max="10935" min="10935" style="70" width="8"/>
    <col collapsed="false" customWidth="false" hidden="false" outlineLevel="0" max="10936" min="10936" style="70" width="42.57"/>
    <col collapsed="false" customWidth="true" hidden="false" outlineLevel="0" max="10937" min="10937" style="70" width="3.29"/>
    <col collapsed="false" customWidth="true" hidden="false" outlineLevel="0" max="10938" min="10938" style="70" width="8"/>
    <col collapsed="false" customWidth="false" hidden="false" outlineLevel="0" max="10939" min="10939" style="70" width="42.57"/>
    <col collapsed="false" customWidth="true" hidden="false" outlineLevel="0" max="10940" min="10940" style="70" width="3.29"/>
    <col collapsed="false" customWidth="true" hidden="false" outlineLevel="0" max="10941" min="10941" style="70" width="8"/>
    <col collapsed="false" customWidth="false" hidden="false" outlineLevel="0" max="10942" min="10942" style="70" width="42.57"/>
    <col collapsed="false" customWidth="true" hidden="false" outlineLevel="0" max="10943" min="10943" style="70" width="3.29"/>
    <col collapsed="false" customWidth="true" hidden="false" outlineLevel="0" max="10944" min="10944" style="70" width="8"/>
    <col collapsed="false" customWidth="false" hidden="false" outlineLevel="0" max="10945" min="10945" style="70" width="42.57"/>
    <col collapsed="false" customWidth="true" hidden="false" outlineLevel="0" max="10946" min="10946" style="70" width="3.29"/>
    <col collapsed="false" customWidth="true" hidden="false" outlineLevel="0" max="10947" min="10947" style="70" width="8"/>
    <col collapsed="false" customWidth="false" hidden="false" outlineLevel="0" max="10948" min="10948" style="70" width="42.57"/>
    <col collapsed="false" customWidth="true" hidden="false" outlineLevel="0" max="10949" min="10949" style="70" width="3.29"/>
    <col collapsed="false" customWidth="true" hidden="false" outlineLevel="0" max="10950" min="10950" style="70" width="8"/>
    <col collapsed="false" customWidth="false" hidden="false" outlineLevel="0" max="10951" min="10951" style="70" width="42.57"/>
    <col collapsed="false" customWidth="true" hidden="false" outlineLevel="0" max="10952" min="10952" style="70" width="3.29"/>
    <col collapsed="false" customWidth="true" hidden="false" outlineLevel="0" max="10953" min="10953" style="70" width="8"/>
    <col collapsed="false" customWidth="false" hidden="false" outlineLevel="0" max="10954" min="10954" style="70" width="42.57"/>
    <col collapsed="false" customWidth="true" hidden="false" outlineLevel="0" max="10955" min="10955" style="70" width="3.29"/>
    <col collapsed="false" customWidth="true" hidden="false" outlineLevel="0" max="10956" min="10956" style="70" width="8"/>
    <col collapsed="false" customWidth="false" hidden="false" outlineLevel="0" max="10957" min="10957" style="70" width="42.57"/>
    <col collapsed="false" customWidth="true" hidden="false" outlineLevel="0" max="10958" min="10958" style="70" width="3.29"/>
    <col collapsed="false" customWidth="true" hidden="false" outlineLevel="0" max="10959" min="10959" style="70" width="8"/>
    <col collapsed="false" customWidth="false" hidden="false" outlineLevel="0" max="10960" min="10960" style="70" width="42.57"/>
    <col collapsed="false" customWidth="true" hidden="false" outlineLevel="0" max="10961" min="10961" style="70" width="3.29"/>
    <col collapsed="false" customWidth="true" hidden="false" outlineLevel="0" max="10962" min="10962" style="70" width="8"/>
    <col collapsed="false" customWidth="false" hidden="false" outlineLevel="0" max="10963" min="10963" style="70" width="42.57"/>
    <col collapsed="false" customWidth="true" hidden="false" outlineLevel="0" max="10964" min="10964" style="70" width="3.29"/>
    <col collapsed="false" customWidth="true" hidden="false" outlineLevel="0" max="10965" min="10965" style="70" width="8"/>
    <col collapsed="false" customWidth="false" hidden="false" outlineLevel="0" max="10966" min="10966" style="70" width="42.57"/>
    <col collapsed="false" customWidth="true" hidden="false" outlineLevel="0" max="10967" min="10967" style="70" width="3.29"/>
    <col collapsed="false" customWidth="true" hidden="false" outlineLevel="0" max="10968" min="10968" style="70" width="8"/>
    <col collapsed="false" customWidth="false" hidden="false" outlineLevel="0" max="10969" min="10969" style="70" width="42.57"/>
    <col collapsed="false" customWidth="true" hidden="false" outlineLevel="0" max="10970" min="10970" style="70" width="3.29"/>
    <col collapsed="false" customWidth="true" hidden="false" outlineLevel="0" max="10971" min="10971" style="70" width="8"/>
    <col collapsed="false" customWidth="false" hidden="false" outlineLevel="0" max="10972" min="10972" style="70" width="42.57"/>
    <col collapsed="false" customWidth="true" hidden="false" outlineLevel="0" max="10973" min="10973" style="70" width="3.29"/>
    <col collapsed="false" customWidth="true" hidden="false" outlineLevel="0" max="10974" min="10974" style="70" width="8"/>
    <col collapsed="false" customWidth="false" hidden="false" outlineLevel="0" max="10975" min="10975" style="70" width="42.57"/>
    <col collapsed="false" customWidth="true" hidden="false" outlineLevel="0" max="10976" min="10976" style="70" width="3.29"/>
    <col collapsed="false" customWidth="true" hidden="false" outlineLevel="0" max="10977" min="10977" style="70" width="8"/>
    <col collapsed="false" customWidth="false" hidden="false" outlineLevel="0" max="10978" min="10978" style="70" width="42.57"/>
    <col collapsed="false" customWidth="true" hidden="false" outlineLevel="0" max="10979" min="10979" style="70" width="3.29"/>
    <col collapsed="false" customWidth="true" hidden="false" outlineLevel="0" max="10980" min="10980" style="70" width="8"/>
    <col collapsed="false" customWidth="false" hidden="false" outlineLevel="0" max="10981" min="10981" style="70" width="42.57"/>
    <col collapsed="false" customWidth="true" hidden="false" outlineLevel="0" max="10982" min="10982" style="70" width="3.29"/>
    <col collapsed="false" customWidth="true" hidden="false" outlineLevel="0" max="10983" min="10983" style="70" width="8"/>
    <col collapsed="false" customWidth="false" hidden="false" outlineLevel="0" max="10984" min="10984" style="70" width="42.57"/>
    <col collapsed="false" customWidth="true" hidden="false" outlineLevel="0" max="10985" min="10985" style="70" width="3.29"/>
    <col collapsed="false" customWidth="true" hidden="false" outlineLevel="0" max="10986" min="10986" style="70" width="8"/>
    <col collapsed="false" customWidth="false" hidden="false" outlineLevel="0" max="10987" min="10987" style="70" width="42.57"/>
    <col collapsed="false" customWidth="true" hidden="false" outlineLevel="0" max="10988" min="10988" style="70" width="3.29"/>
    <col collapsed="false" customWidth="true" hidden="false" outlineLevel="0" max="10989" min="10989" style="70" width="8"/>
    <col collapsed="false" customWidth="false" hidden="false" outlineLevel="0" max="10990" min="10990" style="70" width="42.57"/>
    <col collapsed="false" customWidth="true" hidden="false" outlineLevel="0" max="10991" min="10991" style="70" width="3.29"/>
    <col collapsed="false" customWidth="true" hidden="false" outlineLevel="0" max="10992" min="10992" style="70" width="8"/>
    <col collapsed="false" customWidth="false" hidden="false" outlineLevel="0" max="10993" min="10993" style="70" width="42.57"/>
    <col collapsed="false" customWidth="true" hidden="false" outlineLevel="0" max="10994" min="10994" style="70" width="3.29"/>
    <col collapsed="false" customWidth="true" hidden="false" outlineLevel="0" max="10995" min="10995" style="70" width="8"/>
    <col collapsed="false" customWidth="false" hidden="false" outlineLevel="0" max="10996" min="10996" style="70" width="42.57"/>
    <col collapsed="false" customWidth="true" hidden="false" outlineLevel="0" max="10997" min="10997" style="70" width="3.29"/>
    <col collapsed="false" customWidth="true" hidden="false" outlineLevel="0" max="10998" min="10998" style="70" width="8"/>
    <col collapsed="false" customWidth="false" hidden="false" outlineLevel="0" max="10999" min="10999" style="70" width="42.57"/>
    <col collapsed="false" customWidth="true" hidden="false" outlineLevel="0" max="11000" min="11000" style="70" width="3.29"/>
    <col collapsed="false" customWidth="true" hidden="false" outlineLevel="0" max="11001" min="11001" style="70" width="8"/>
    <col collapsed="false" customWidth="false" hidden="false" outlineLevel="0" max="11002" min="11002" style="70" width="42.57"/>
    <col collapsed="false" customWidth="true" hidden="false" outlineLevel="0" max="11003" min="11003" style="70" width="3.29"/>
    <col collapsed="false" customWidth="true" hidden="false" outlineLevel="0" max="11004" min="11004" style="70" width="8"/>
    <col collapsed="false" customWidth="false" hidden="false" outlineLevel="0" max="11005" min="11005" style="70" width="42.57"/>
    <col collapsed="false" customWidth="true" hidden="false" outlineLevel="0" max="11006" min="11006" style="70" width="3.29"/>
    <col collapsed="false" customWidth="true" hidden="false" outlineLevel="0" max="11007" min="11007" style="70" width="8"/>
    <col collapsed="false" customWidth="false" hidden="false" outlineLevel="0" max="11008" min="11008" style="70" width="42.57"/>
    <col collapsed="false" customWidth="true" hidden="false" outlineLevel="0" max="11009" min="11009" style="70" width="3.29"/>
    <col collapsed="false" customWidth="true" hidden="false" outlineLevel="0" max="11010" min="11010" style="70" width="8"/>
    <col collapsed="false" customWidth="false" hidden="false" outlineLevel="0" max="11011" min="11011" style="70" width="42.57"/>
    <col collapsed="false" customWidth="true" hidden="false" outlineLevel="0" max="11012" min="11012" style="70" width="3.29"/>
    <col collapsed="false" customWidth="true" hidden="false" outlineLevel="0" max="11013" min="11013" style="70" width="8"/>
    <col collapsed="false" customWidth="false" hidden="false" outlineLevel="0" max="11014" min="11014" style="70" width="42.57"/>
    <col collapsed="false" customWidth="true" hidden="false" outlineLevel="0" max="11015" min="11015" style="70" width="3.29"/>
    <col collapsed="false" customWidth="true" hidden="false" outlineLevel="0" max="11016" min="11016" style="70" width="8"/>
    <col collapsed="false" customWidth="false" hidden="false" outlineLevel="0" max="11017" min="11017" style="70" width="42.57"/>
    <col collapsed="false" customWidth="true" hidden="false" outlineLevel="0" max="11018" min="11018" style="70" width="3.29"/>
    <col collapsed="false" customWidth="true" hidden="false" outlineLevel="0" max="11019" min="11019" style="70" width="8"/>
    <col collapsed="false" customWidth="false" hidden="false" outlineLevel="0" max="11020" min="11020" style="70" width="42.57"/>
    <col collapsed="false" customWidth="true" hidden="false" outlineLevel="0" max="11021" min="11021" style="70" width="3.29"/>
    <col collapsed="false" customWidth="true" hidden="false" outlineLevel="0" max="11022" min="11022" style="70" width="8"/>
    <col collapsed="false" customWidth="false" hidden="false" outlineLevel="0" max="11023" min="11023" style="70" width="42.57"/>
    <col collapsed="false" customWidth="true" hidden="false" outlineLevel="0" max="11024" min="11024" style="70" width="3.29"/>
    <col collapsed="false" customWidth="true" hidden="false" outlineLevel="0" max="11025" min="11025" style="70" width="8"/>
    <col collapsed="false" customWidth="false" hidden="false" outlineLevel="0" max="11026" min="11026" style="70" width="42.57"/>
    <col collapsed="false" customWidth="true" hidden="false" outlineLevel="0" max="11027" min="11027" style="70" width="3.29"/>
    <col collapsed="false" customWidth="true" hidden="false" outlineLevel="0" max="11028" min="11028" style="70" width="8"/>
    <col collapsed="false" customWidth="false" hidden="false" outlineLevel="0" max="11029" min="11029" style="70" width="42.57"/>
    <col collapsed="false" customWidth="true" hidden="false" outlineLevel="0" max="11030" min="11030" style="70" width="3.29"/>
    <col collapsed="false" customWidth="true" hidden="false" outlineLevel="0" max="11031" min="11031" style="70" width="8"/>
    <col collapsed="false" customWidth="false" hidden="false" outlineLevel="0" max="11032" min="11032" style="70" width="42.57"/>
    <col collapsed="false" customWidth="true" hidden="false" outlineLevel="0" max="11033" min="11033" style="70" width="3.29"/>
    <col collapsed="false" customWidth="true" hidden="false" outlineLevel="0" max="11034" min="11034" style="70" width="8"/>
    <col collapsed="false" customWidth="false" hidden="false" outlineLevel="0" max="11035" min="11035" style="70" width="42.57"/>
    <col collapsed="false" customWidth="true" hidden="false" outlineLevel="0" max="11036" min="11036" style="70" width="3.29"/>
    <col collapsed="false" customWidth="true" hidden="false" outlineLevel="0" max="11037" min="11037" style="70" width="8"/>
    <col collapsed="false" customWidth="false" hidden="false" outlineLevel="0" max="11038" min="11038" style="70" width="42.57"/>
    <col collapsed="false" customWidth="true" hidden="false" outlineLevel="0" max="11039" min="11039" style="70" width="3.29"/>
    <col collapsed="false" customWidth="true" hidden="false" outlineLevel="0" max="11040" min="11040" style="70" width="8"/>
    <col collapsed="false" customWidth="false" hidden="false" outlineLevel="0" max="11041" min="11041" style="70" width="42.57"/>
    <col collapsed="false" customWidth="true" hidden="false" outlineLevel="0" max="11042" min="11042" style="70" width="3.29"/>
    <col collapsed="false" customWidth="true" hidden="false" outlineLevel="0" max="11043" min="11043" style="70" width="8"/>
    <col collapsed="false" customWidth="false" hidden="false" outlineLevel="0" max="11044" min="11044" style="70" width="42.57"/>
    <col collapsed="false" customWidth="true" hidden="false" outlineLevel="0" max="11045" min="11045" style="70" width="3.29"/>
    <col collapsed="false" customWidth="true" hidden="false" outlineLevel="0" max="11046" min="11046" style="70" width="8"/>
    <col collapsed="false" customWidth="false" hidden="false" outlineLevel="0" max="11047" min="11047" style="70" width="42.57"/>
    <col collapsed="false" customWidth="true" hidden="false" outlineLevel="0" max="11048" min="11048" style="70" width="3.29"/>
    <col collapsed="false" customWidth="true" hidden="false" outlineLevel="0" max="11049" min="11049" style="70" width="8"/>
    <col collapsed="false" customWidth="false" hidden="false" outlineLevel="0" max="11050" min="11050" style="70" width="42.57"/>
    <col collapsed="false" customWidth="true" hidden="false" outlineLevel="0" max="11051" min="11051" style="70" width="3.29"/>
    <col collapsed="false" customWidth="true" hidden="false" outlineLevel="0" max="11052" min="11052" style="70" width="8"/>
    <col collapsed="false" customWidth="false" hidden="false" outlineLevel="0" max="11053" min="11053" style="70" width="42.57"/>
    <col collapsed="false" customWidth="true" hidden="false" outlineLevel="0" max="11054" min="11054" style="70" width="3.29"/>
    <col collapsed="false" customWidth="true" hidden="false" outlineLevel="0" max="11055" min="11055" style="70" width="8"/>
    <col collapsed="false" customWidth="false" hidden="false" outlineLevel="0" max="11056" min="11056" style="70" width="42.57"/>
    <col collapsed="false" customWidth="true" hidden="false" outlineLevel="0" max="11057" min="11057" style="70" width="3.29"/>
    <col collapsed="false" customWidth="true" hidden="false" outlineLevel="0" max="11058" min="11058" style="70" width="8"/>
    <col collapsed="false" customWidth="false" hidden="false" outlineLevel="0" max="11059" min="11059" style="70" width="42.57"/>
    <col collapsed="false" customWidth="true" hidden="false" outlineLevel="0" max="11060" min="11060" style="70" width="3.29"/>
    <col collapsed="false" customWidth="true" hidden="false" outlineLevel="0" max="11061" min="11061" style="70" width="8"/>
    <col collapsed="false" customWidth="false" hidden="false" outlineLevel="0" max="11062" min="11062" style="70" width="42.57"/>
    <col collapsed="false" customWidth="true" hidden="false" outlineLevel="0" max="11063" min="11063" style="70" width="3.29"/>
    <col collapsed="false" customWidth="true" hidden="false" outlineLevel="0" max="11064" min="11064" style="70" width="8"/>
    <col collapsed="false" customWidth="false" hidden="false" outlineLevel="0" max="11065" min="11065" style="70" width="42.57"/>
    <col collapsed="false" customWidth="true" hidden="false" outlineLevel="0" max="11066" min="11066" style="70" width="3.29"/>
    <col collapsed="false" customWidth="true" hidden="false" outlineLevel="0" max="11067" min="11067" style="70" width="8"/>
    <col collapsed="false" customWidth="false" hidden="false" outlineLevel="0" max="11068" min="11068" style="70" width="42.57"/>
    <col collapsed="false" customWidth="true" hidden="false" outlineLevel="0" max="11069" min="11069" style="70" width="3.29"/>
    <col collapsed="false" customWidth="true" hidden="false" outlineLevel="0" max="11070" min="11070" style="70" width="8"/>
    <col collapsed="false" customWidth="false" hidden="false" outlineLevel="0" max="11071" min="11071" style="70" width="42.57"/>
    <col collapsed="false" customWidth="true" hidden="false" outlineLevel="0" max="11072" min="11072" style="70" width="3.29"/>
    <col collapsed="false" customWidth="true" hidden="false" outlineLevel="0" max="11073" min="11073" style="70" width="8"/>
    <col collapsed="false" customWidth="false" hidden="false" outlineLevel="0" max="11074" min="11074" style="70" width="42.57"/>
    <col collapsed="false" customWidth="true" hidden="false" outlineLevel="0" max="11075" min="11075" style="70" width="3.29"/>
    <col collapsed="false" customWidth="true" hidden="false" outlineLevel="0" max="11076" min="11076" style="70" width="8"/>
    <col collapsed="false" customWidth="false" hidden="false" outlineLevel="0" max="11077" min="11077" style="70" width="42.57"/>
    <col collapsed="false" customWidth="true" hidden="false" outlineLevel="0" max="11078" min="11078" style="70" width="3.29"/>
    <col collapsed="false" customWidth="true" hidden="false" outlineLevel="0" max="11079" min="11079" style="70" width="8"/>
    <col collapsed="false" customWidth="false" hidden="false" outlineLevel="0" max="11080" min="11080" style="70" width="42.57"/>
    <col collapsed="false" customWidth="true" hidden="false" outlineLevel="0" max="11081" min="11081" style="70" width="3.29"/>
    <col collapsed="false" customWidth="true" hidden="false" outlineLevel="0" max="11082" min="11082" style="70" width="8"/>
    <col collapsed="false" customWidth="false" hidden="false" outlineLevel="0" max="11083" min="11083" style="70" width="42.57"/>
    <col collapsed="false" customWidth="true" hidden="false" outlineLevel="0" max="11084" min="11084" style="70" width="3.29"/>
    <col collapsed="false" customWidth="true" hidden="false" outlineLevel="0" max="11085" min="11085" style="70" width="8"/>
    <col collapsed="false" customWidth="false" hidden="false" outlineLevel="0" max="11086" min="11086" style="70" width="42.57"/>
    <col collapsed="false" customWidth="true" hidden="false" outlineLevel="0" max="11087" min="11087" style="70" width="3.29"/>
    <col collapsed="false" customWidth="true" hidden="false" outlineLevel="0" max="11088" min="11088" style="70" width="8"/>
    <col collapsed="false" customWidth="false" hidden="false" outlineLevel="0" max="11089" min="11089" style="70" width="42.57"/>
    <col collapsed="false" customWidth="true" hidden="false" outlineLevel="0" max="11090" min="11090" style="70" width="3.29"/>
    <col collapsed="false" customWidth="true" hidden="false" outlineLevel="0" max="11091" min="11091" style="70" width="8"/>
    <col collapsed="false" customWidth="false" hidden="false" outlineLevel="0" max="11092" min="11092" style="70" width="42.57"/>
    <col collapsed="false" customWidth="true" hidden="false" outlineLevel="0" max="11093" min="11093" style="70" width="3.29"/>
    <col collapsed="false" customWidth="true" hidden="false" outlineLevel="0" max="11094" min="11094" style="70" width="8"/>
    <col collapsed="false" customWidth="false" hidden="false" outlineLevel="0" max="11095" min="11095" style="70" width="42.57"/>
    <col collapsed="false" customWidth="true" hidden="false" outlineLevel="0" max="11096" min="11096" style="70" width="3.29"/>
    <col collapsed="false" customWidth="true" hidden="false" outlineLevel="0" max="11097" min="11097" style="70" width="8"/>
    <col collapsed="false" customWidth="false" hidden="false" outlineLevel="0" max="11098" min="11098" style="70" width="42.57"/>
    <col collapsed="false" customWidth="true" hidden="false" outlineLevel="0" max="11099" min="11099" style="70" width="3.29"/>
    <col collapsed="false" customWidth="true" hidden="false" outlineLevel="0" max="11100" min="11100" style="70" width="8"/>
    <col collapsed="false" customWidth="false" hidden="false" outlineLevel="0" max="11101" min="11101" style="70" width="42.57"/>
    <col collapsed="false" customWidth="true" hidden="false" outlineLevel="0" max="11102" min="11102" style="70" width="3.29"/>
    <col collapsed="false" customWidth="true" hidden="false" outlineLevel="0" max="11103" min="11103" style="70" width="8"/>
    <col collapsed="false" customWidth="false" hidden="false" outlineLevel="0" max="11104" min="11104" style="70" width="42.57"/>
    <col collapsed="false" customWidth="true" hidden="false" outlineLevel="0" max="11105" min="11105" style="70" width="3.29"/>
    <col collapsed="false" customWidth="true" hidden="false" outlineLevel="0" max="11106" min="11106" style="70" width="8"/>
    <col collapsed="false" customWidth="false" hidden="false" outlineLevel="0" max="11107" min="11107" style="70" width="42.57"/>
    <col collapsed="false" customWidth="true" hidden="false" outlineLevel="0" max="11108" min="11108" style="70" width="3.29"/>
    <col collapsed="false" customWidth="true" hidden="false" outlineLevel="0" max="11109" min="11109" style="70" width="8"/>
    <col collapsed="false" customWidth="false" hidden="false" outlineLevel="0" max="11110" min="11110" style="70" width="42.57"/>
    <col collapsed="false" customWidth="true" hidden="false" outlineLevel="0" max="11111" min="11111" style="70" width="3.29"/>
    <col collapsed="false" customWidth="true" hidden="false" outlineLevel="0" max="11112" min="11112" style="70" width="8"/>
    <col collapsed="false" customWidth="false" hidden="false" outlineLevel="0" max="11113" min="11113" style="70" width="42.57"/>
    <col collapsed="false" customWidth="true" hidden="false" outlineLevel="0" max="11114" min="11114" style="70" width="3.29"/>
    <col collapsed="false" customWidth="true" hidden="false" outlineLevel="0" max="11115" min="11115" style="70" width="8"/>
    <col collapsed="false" customWidth="false" hidden="false" outlineLevel="0" max="11116" min="11116" style="70" width="42.57"/>
    <col collapsed="false" customWidth="true" hidden="false" outlineLevel="0" max="11117" min="11117" style="70" width="3.29"/>
    <col collapsed="false" customWidth="true" hidden="false" outlineLevel="0" max="11118" min="11118" style="70" width="8"/>
    <col collapsed="false" customWidth="false" hidden="false" outlineLevel="0" max="11119" min="11119" style="70" width="42.57"/>
    <col collapsed="false" customWidth="true" hidden="false" outlineLevel="0" max="11120" min="11120" style="70" width="3.29"/>
    <col collapsed="false" customWidth="true" hidden="false" outlineLevel="0" max="11121" min="11121" style="70" width="8"/>
    <col collapsed="false" customWidth="false" hidden="false" outlineLevel="0" max="11122" min="11122" style="70" width="42.57"/>
    <col collapsed="false" customWidth="true" hidden="false" outlineLevel="0" max="11123" min="11123" style="70" width="3.29"/>
    <col collapsed="false" customWidth="true" hidden="false" outlineLevel="0" max="11124" min="11124" style="70" width="8"/>
    <col collapsed="false" customWidth="false" hidden="false" outlineLevel="0" max="11125" min="11125" style="70" width="42.57"/>
    <col collapsed="false" customWidth="true" hidden="false" outlineLevel="0" max="11126" min="11126" style="70" width="3.29"/>
    <col collapsed="false" customWidth="true" hidden="false" outlineLevel="0" max="11127" min="11127" style="70" width="8"/>
    <col collapsed="false" customWidth="false" hidden="false" outlineLevel="0" max="11128" min="11128" style="70" width="42.57"/>
    <col collapsed="false" customWidth="true" hidden="false" outlineLevel="0" max="11129" min="11129" style="70" width="3.29"/>
    <col collapsed="false" customWidth="true" hidden="false" outlineLevel="0" max="11130" min="11130" style="70" width="8"/>
    <col collapsed="false" customWidth="false" hidden="false" outlineLevel="0" max="11131" min="11131" style="70" width="42.57"/>
    <col collapsed="false" customWidth="true" hidden="false" outlineLevel="0" max="11132" min="11132" style="70" width="3.29"/>
    <col collapsed="false" customWidth="true" hidden="false" outlineLevel="0" max="11133" min="11133" style="70" width="8"/>
    <col collapsed="false" customWidth="false" hidden="false" outlineLevel="0" max="11134" min="11134" style="70" width="42.57"/>
    <col collapsed="false" customWidth="true" hidden="false" outlineLevel="0" max="11135" min="11135" style="70" width="3.29"/>
    <col collapsed="false" customWidth="true" hidden="false" outlineLevel="0" max="11136" min="11136" style="70" width="8"/>
    <col collapsed="false" customWidth="false" hidden="false" outlineLevel="0" max="11137" min="11137" style="70" width="42.57"/>
    <col collapsed="false" customWidth="true" hidden="false" outlineLevel="0" max="11138" min="11138" style="70" width="3.29"/>
    <col collapsed="false" customWidth="true" hidden="false" outlineLevel="0" max="11139" min="11139" style="70" width="8"/>
    <col collapsed="false" customWidth="false" hidden="false" outlineLevel="0" max="11140" min="11140" style="70" width="42.57"/>
    <col collapsed="false" customWidth="true" hidden="false" outlineLevel="0" max="11141" min="11141" style="70" width="3.29"/>
    <col collapsed="false" customWidth="true" hidden="false" outlineLevel="0" max="11142" min="11142" style="70" width="8"/>
    <col collapsed="false" customWidth="false" hidden="false" outlineLevel="0" max="11143" min="11143" style="70" width="42.57"/>
    <col collapsed="false" customWidth="true" hidden="false" outlineLevel="0" max="11144" min="11144" style="70" width="3.29"/>
    <col collapsed="false" customWidth="true" hidden="false" outlineLevel="0" max="11145" min="11145" style="70" width="8"/>
    <col collapsed="false" customWidth="false" hidden="false" outlineLevel="0" max="11146" min="11146" style="70" width="42.57"/>
    <col collapsed="false" customWidth="true" hidden="false" outlineLevel="0" max="11147" min="11147" style="70" width="3.29"/>
    <col collapsed="false" customWidth="true" hidden="false" outlineLevel="0" max="11148" min="11148" style="70" width="8"/>
    <col collapsed="false" customWidth="false" hidden="false" outlineLevel="0" max="11149" min="11149" style="70" width="42.57"/>
    <col collapsed="false" customWidth="true" hidden="false" outlineLevel="0" max="11150" min="11150" style="70" width="3.29"/>
    <col collapsed="false" customWidth="true" hidden="false" outlineLevel="0" max="11151" min="11151" style="70" width="8"/>
    <col collapsed="false" customWidth="false" hidden="false" outlineLevel="0" max="11152" min="11152" style="70" width="42.57"/>
    <col collapsed="false" customWidth="true" hidden="false" outlineLevel="0" max="11153" min="11153" style="70" width="3.29"/>
    <col collapsed="false" customWidth="true" hidden="false" outlineLevel="0" max="11154" min="11154" style="70" width="8"/>
    <col collapsed="false" customWidth="false" hidden="false" outlineLevel="0" max="11155" min="11155" style="70" width="42.57"/>
    <col collapsed="false" customWidth="true" hidden="false" outlineLevel="0" max="11156" min="11156" style="70" width="3.29"/>
    <col collapsed="false" customWidth="true" hidden="false" outlineLevel="0" max="11157" min="11157" style="70" width="8"/>
    <col collapsed="false" customWidth="false" hidden="false" outlineLevel="0" max="11158" min="11158" style="70" width="42.57"/>
    <col collapsed="false" customWidth="true" hidden="false" outlineLevel="0" max="11159" min="11159" style="70" width="3.29"/>
    <col collapsed="false" customWidth="true" hidden="false" outlineLevel="0" max="11160" min="11160" style="70" width="8"/>
    <col collapsed="false" customWidth="false" hidden="false" outlineLevel="0" max="11161" min="11161" style="70" width="42.57"/>
    <col collapsed="false" customWidth="true" hidden="false" outlineLevel="0" max="11162" min="11162" style="70" width="3.29"/>
    <col collapsed="false" customWidth="true" hidden="false" outlineLevel="0" max="11163" min="11163" style="70" width="8"/>
    <col collapsed="false" customWidth="false" hidden="false" outlineLevel="0" max="11164" min="11164" style="70" width="42.57"/>
    <col collapsed="false" customWidth="true" hidden="false" outlineLevel="0" max="11165" min="11165" style="70" width="3.29"/>
    <col collapsed="false" customWidth="true" hidden="false" outlineLevel="0" max="11166" min="11166" style="70" width="8"/>
    <col collapsed="false" customWidth="false" hidden="false" outlineLevel="0" max="11167" min="11167" style="70" width="42.57"/>
    <col collapsed="false" customWidth="true" hidden="false" outlineLevel="0" max="11168" min="11168" style="70" width="3.29"/>
    <col collapsed="false" customWidth="true" hidden="false" outlineLevel="0" max="11169" min="11169" style="70" width="8"/>
    <col collapsed="false" customWidth="false" hidden="false" outlineLevel="0" max="11170" min="11170" style="70" width="42.57"/>
    <col collapsed="false" customWidth="true" hidden="false" outlineLevel="0" max="11171" min="11171" style="70" width="3.29"/>
    <col collapsed="false" customWidth="true" hidden="false" outlineLevel="0" max="11172" min="11172" style="70" width="8"/>
    <col collapsed="false" customWidth="false" hidden="false" outlineLevel="0" max="11173" min="11173" style="70" width="42.57"/>
    <col collapsed="false" customWidth="true" hidden="false" outlineLevel="0" max="11174" min="11174" style="70" width="3.29"/>
    <col collapsed="false" customWidth="true" hidden="false" outlineLevel="0" max="11175" min="11175" style="70" width="8"/>
    <col collapsed="false" customWidth="false" hidden="false" outlineLevel="0" max="11176" min="11176" style="70" width="42.57"/>
    <col collapsed="false" customWidth="true" hidden="false" outlineLevel="0" max="11177" min="11177" style="70" width="3.29"/>
    <col collapsed="false" customWidth="true" hidden="false" outlineLevel="0" max="11178" min="11178" style="70" width="8"/>
    <col collapsed="false" customWidth="false" hidden="false" outlineLevel="0" max="11179" min="11179" style="70" width="42.57"/>
    <col collapsed="false" customWidth="true" hidden="false" outlineLevel="0" max="11180" min="11180" style="70" width="3.29"/>
    <col collapsed="false" customWidth="true" hidden="false" outlineLevel="0" max="11181" min="11181" style="70" width="8"/>
    <col collapsed="false" customWidth="false" hidden="false" outlineLevel="0" max="11182" min="11182" style="70" width="42.57"/>
    <col collapsed="false" customWidth="true" hidden="false" outlineLevel="0" max="11183" min="11183" style="70" width="3.29"/>
    <col collapsed="false" customWidth="true" hidden="false" outlineLevel="0" max="11184" min="11184" style="70" width="8"/>
    <col collapsed="false" customWidth="false" hidden="false" outlineLevel="0" max="11185" min="11185" style="70" width="42.57"/>
    <col collapsed="false" customWidth="true" hidden="false" outlineLevel="0" max="11186" min="11186" style="70" width="3.29"/>
    <col collapsed="false" customWidth="true" hidden="false" outlineLevel="0" max="11187" min="11187" style="70" width="8"/>
    <col collapsed="false" customWidth="false" hidden="false" outlineLevel="0" max="11188" min="11188" style="70" width="42.57"/>
    <col collapsed="false" customWidth="true" hidden="false" outlineLevel="0" max="11189" min="11189" style="70" width="3.29"/>
    <col collapsed="false" customWidth="true" hidden="false" outlineLevel="0" max="11190" min="11190" style="70" width="8"/>
    <col collapsed="false" customWidth="false" hidden="false" outlineLevel="0" max="11191" min="11191" style="70" width="42.57"/>
    <col collapsed="false" customWidth="true" hidden="false" outlineLevel="0" max="11192" min="11192" style="70" width="3.29"/>
    <col collapsed="false" customWidth="true" hidden="false" outlineLevel="0" max="11193" min="11193" style="70" width="8"/>
    <col collapsed="false" customWidth="false" hidden="false" outlineLevel="0" max="11194" min="11194" style="70" width="42.57"/>
    <col collapsed="false" customWidth="true" hidden="false" outlineLevel="0" max="11195" min="11195" style="70" width="3.29"/>
    <col collapsed="false" customWidth="true" hidden="false" outlineLevel="0" max="11196" min="11196" style="70" width="8"/>
    <col collapsed="false" customWidth="false" hidden="false" outlineLevel="0" max="11197" min="11197" style="70" width="42.57"/>
    <col collapsed="false" customWidth="true" hidden="false" outlineLevel="0" max="11198" min="11198" style="70" width="3.29"/>
    <col collapsed="false" customWidth="true" hidden="false" outlineLevel="0" max="11199" min="11199" style="70" width="8"/>
    <col collapsed="false" customWidth="false" hidden="false" outlineLevel="0" max="11200" min="11200" style="70" width="42.57"/>
    <col collapsed="false" customWidth="true" hidden="false" outlineLevel="0" max="11201" min="11201" style="70" width="3.29"/>
    <col collapsed="false" customWidth="true" hidden="false" outlineLevel="0" max="11202" min="11202" style="70" width="8"/>
    <col collapsed="false" customWidth="false" hidden="false" outlineLevel="0" max="11203" min="11203" style="70" width="42.57"/>
    <col collapsed="false" customWidth="true" hidden="false" outlineLevel="0" max="11204" min="11204" style="70" width="3.29"/>
    <col collapsed="false" customWidth="true" hidden="false" outlineLevel="0" max="11205" min="11205" style="70" width="8"/>
    <col collapsed="false" customWidth="false" hidden="false" outlineLevel="0" max="11206" min="11206" style="70" width="42.57"/>
    <col collapsed="false" customWidth="true" hidden="false" outlineLevel="0" max="11207" min="11207" style="70" width="3.29"/>
    <col collapsed="false" customWidth="true" hidden="false" outlineLevel="0" max="11208" min="11208" style="70" width="8"/>
    <col collapsed="false" customWidth="false" hidden="false" outlineLevel="0" max="11209" min="11209" style="70" width="42.57"/>
    <col collapsed="false" customWidth="true" hidden="false" outlineLevel="0" max="11210" min="11210" style="70" width="3.29"/>
    <col collapsed="false" customWidth="true" hidden="false" outlineLevel="0" max="11211" min="11211" style="70" width="8"/>
    <col collapsed="false" customWidth="false" hidden="false" outlineLevel="0" max="11212" min="11212" style="70" width="42.57"/>
    <col collapsed="false" customWidth="true" hidden="false" outlineLevel="0" max="11213" min="11213" style="70" width="3.29"/>
    <col collapsed="false" customWidth="true" hidden="false" outlineLevel="0" max="11214" min="11214" style="70" width="8"/>
    <col collapsed="false" customWidth="false" hidden="false" outlineLevel="0" max="11215" min="11215" style="70" width="42.57"/>
    <col collapsed="false" customWidth="true" hidden="false" outlineLevel="0" max="11216" min="11216" style="70" width="3.29"/>
    <col collapsed="false" customWidth="true" hidden="false" outlineLevel="0" max="11217" min="11217" style="70" width="8"/>
    <col collapsed="false" customWidth="false" hidden="false" outlineLevel="0" max="11218" min="11218" style="70" width="42.57"/>
    <col collapsed="false" customWidth="true" hidden="false" outlineLevel="0" max="11219" min="11219" style="70" width="3.29"/>
    <col collapsed="false" customWidth="true" hidden="false" outlineLevel="0" max="11220" min="11220" style="70" width="8"/>
    <col collapsed="false" customWidth="false" hidden="false" outlineLevel="0" max="11221" min="11221" style="70" width="42.57"/>
    <col collapsed="false" customWidth="true" hidden="false" outlineLevel="0" max="11222" min="11222" style="70" width="3.29"/>
    <col collapsed="false" customWidth="true" hidden="false" outlineLevel="0" max="11223" min="11223" style="70" width="8"/>
    <col collapsed="false" customWidth="false" hidden="false" outlineLevel="0" max="11224" min="11224" style="70" width="42.57"/>
    <col collapsed="false" customWidth="true" hidden="false" outlineLevel="0" max="11225" min="11225" style="70" width="3.29"/>
    <col collapsed="false" customWidth="true" hidden="false" outlineLevel="0" max="11226" min="11226" style="70" width="8"/>
    <col collapsed="false" customWidth="false" hidden="false" outlineLevel="0" max="11227" min="11227" style="70" width="42.57"/>
    <col collapsed="false" customWidth="true" hidden="false" outlineLevel="0" max="11228" min="11228" style="70" width="3.29"/>
    <col collapsed="false" customWidth="true" hidden="false" outlineLevel="0" max="11229" min="11229" style="70" width="8"/>
    <col collapsed="false" customWidth="false" hidden="false" outlineLevel="0" max="11230" min="11230" style="70" width="42.57"/>
    <col collapsed="false" customWidth="true" hidden="false" outlineLevel="0" max="11231" min="11231" style="70" width="3.29"/>
    <col collapsed="false" customWidth="true" hidden="false" outlineLevel="0" max="11232" min="11232" style="70" width="8"/>
    <col collapsed="false" customWidth="false" hidden="false" outlineLevel="0" max="11233" min="11233" style="70" width="42.57"/>
    <col collapsed="false" customWidth="true" hidden="false" outlineLevel="0" max="11234" min="11234" style="70" width="3.29"/>
    <col collapsed="false" customWidth="true" hidden="false" outlineLevel="0" max="11235" min="11235" style="70" width="8"/>
    <col collapsed="false" customWidth="false" hidden="false" outlineLevel="0" max="11236" min="11236" style="70" width="42.57"/>
    <col collapsed="false" customWidth="true" hidden="false" outlineLevel="0" max="11237" min="11237" style="70" width="3.29"/>
    <col collapsed="false" customWidth="true" hidden="false" outlineLevel="0" max="11238" min="11238" style="70" width="8"/>
    <col collapsed="false" customWidth="false" hidden="false" outlineLevel="0" max="11239" min="11239" style="70" width="42.57"/>
    <col collapsed="false" customWidth="true" hidden="false" outlineLevel="0" max="11240" min="11240" style="70" width="3.29"/>
    <col collapsed="false" customWidth="true" hidden="false" outlineLevel="0" max="11241" min="11241" style="70" width="8"/>
    <col collapsed="false" customWidth="false" hidden="false" outlineLevel="0" max="11242" min="11242" style="70" width="42.57"/>
    <col collapsed="false" customWidth="true" hidden="false" outlineLevel="0" max="11243" min="11243" style="70" width="3.29"/>
    <col collapsed="false" customWidth="true" hidden="false" outlineLevel="0" max="11244" min="11244" style="70" width="8"/>
    <col collapsed="false" customWidth="false" hidden="false" outlineLevel="0" max="11245" min="11245" style="70" width="42.57"/>
    <col collapsed="false" customWidth="true" hidden="false" outlineLevel="0" max="11246" min="11246" style="70" width="3.29"/>
    <col collapsed="false" customWidth="true" hidden="false" outlineLevel="0" max="11247" min="11247" style="70" width="8"/>
    <col collapsed="false" customWidth="false" hidden="false" outlineLevel="0" max="11248" min="11248" style="70" width="42.57"/>
    <col collapsed="false" customWidth="true" hidden="false" outlineLevel="0" max="11249" min="11249" style="70" width="3.29"/>
    <col collapsed="false" customWidth="true" hidden="false" outlineLevel="0" max="11250" min="11250" style="70" width="8"/>
    <col collapsed="false" customWidth="false" hidden="false" outlineLevel="0" max="11251" min="11251" style="70" width="42.57"/>
    <col collapsed="false" customWidth="true" hidden="false" outlineLevel="0" max="11252" min="11252" style="70" width="3.29"/>
    <col collapsed="false" customWidth="true" hidden="false" outlineLevel="0" max="11253" min="11253" style="70" width="8"/>
    <col collapsed="false" customWidth="false" hidden="false" outlineLevel="0" max="11254" min="11254" style="70" width="42.57"/>
    <col collapsed="false" customWidth="true" hidden="false" outlineLevel="0" max="11255" min="11255" style="70" width="3.29"/>
    <col collapsed="false" customWidth="true" hidden="false" outlineLevel="0" max="11256" min="11256" style="70" width="8"/>
    <col collapsed="false" customWidth="false" hidden="false" outlineLevel="0" max="11257" min="11257" style="70" width="42.57"/>
    <col collapsed="false" customWidth="true" hidden="false" outlineLevel="0" max="11258" min="11258" style="70" width="3.29"/>
    <col collapsed="false" customWidth="true" hidden="false" outlineLevel="0" max="11259" min="11259" style="70" width="8"/>
    <col collapsed="false" customWidth="false" hidden="false" outlineLevel="0" max="11260" min="11260" style="70" width="42.57"/>
    <col collapsed="false" customWidth="true" hidden="false" outlineLevel="0" max="11261" min="11261" style="70" width="3.29"/>
    <col collapsed="false" customWidth="true" hidden="false" outlineLevel="0" max="11262" min="11262" style="70" width="8"/>
    <col collapsed="false" customWidth="false" hidden="false" outlineLevel="0" max="11263" min="11263" style="70" width="42.57"/>
    <col collapsed="false" customWidth="true" hidden="false" outlineLevel="0" max="11264" min="11264" style="70" width="3.29"/>
    <col collapsed="false" customWidth="true" hidden="false" outlineLevel="0" max="11265" min="11265" style="70" width="8"/>
    <col collapsed="false" customWidth="false" hidden="false" outlineLevel="0" max="11266" min="11266" style="70" width="42.57"/>
    <col collapsed="false" customWidth="true" hidden="false" outlineLevel="0" max="11267" min="11267" style="70" width="3.29"/>
    <col collapsed="false" customWidth="true" hidden="false" outlineLevel="0" max="11268" min="11268" style="70" width="8"/>
    <col collapsed="false" customWidth="false" hidden="false" outlineLevel="0" max="11269" min="11269" style="70" width="42.57"/>
    <col collapsed="false" customWidth="true" hidden="false" outlineLevel="0" max="11270" min="11270" style="70" width="3.29"/>
    <col collapsed="false" customWidth="true" hidden="false" outlineLevel="0" max="11271" min="11271" style="70" width="8"/>
    <col collapsed="false" customWidth="false" hidden="false" outlineLevel="0" max="11272" min="11272" style="70" width="42.57"/>
    <col collapsed="false" customWidth="true" hidden="false" outlineLevel="0" max="11273" min="11273" style="70" width="3.29"/>
    <col collapsed="false" customWidth="true" hidden="false" outlineLevel="0" max="11274" min="11274" style="70" width="8"/>
    <col collapsed="false" customWidth="false" hidden="false" outlineLevel="0" max="11275" min="11275" style="70" width="42.57"/>
    <col collapsed="false" customWidth="true" hidden="false" outlineLevel="0" max="11276" min="11276" style="70" width="3.29"/>
    <col collapsed="false" customWidth="true" hidden="false" outlineLevel="0" max="11277" min="11277" style="70" width="8"/>
    <col collapsed="false" customWidth="false" hidden="false" outlineLevel="0" max="11278" min="11278" style="70" width="42.57"/>
    <col collapsed="false" customWidth="true" hidden="false" outlineLevel="0" max="11279" min="11279" style="70" width="3.29"/>
    <col collapsed="false" customWidth="true" hidden="false" outlineLevel="0" max="11280" min="11280" style="70" width="8"/>
    <col collapsed="false" customWidth="false" hidden="false" outlineLevel="0" max="11281" min="11281" style="70" width="42.57"/>
    <col collapsed="false" customWidth="true" hidden="false" outlineLevel="0" max="11282" min="11282" style="70" width="3.29"/>
    <col collapsed="false" customWidth="true" hidden="false" outlineLevel="0" max="11283" min="11283" style="70" width="8"/>
    <col collapsed="false" customWidth="false" hidden="false" outlineLevel="0" max="11284" min="11284" style="70" width="42.57"/>
    <col collapsed="false" customWidth="true" hidden="false" outlineLevel="0" max="11285" min="11285" style="70" width="3.29"/>
    <col collapsed="false" customWidth="true" hidden="false" outlineLevel="0" max="11286" min="11286" style="70" width="8"/>
    <col collapsed="false" customWidth="false" hidden="false" outlineLevel="0" max="11287" min="11287" style="70" width="42.57"/>
    <col collapsed="false" customWidth="true" hidden="false" outlineLevel="0" max="11288" min="11288" style="70" width="3.29"/>
    <col collapsed="false" customWidth="true" hidden="false" outlineLevel="0" max="11289" min="11289" style="70" width="8"/>
    <col collapsed="false" customWidth="false" hidden="false" outlineLevel="0" max="11290" min="11290" style="70" width="42.57"/>
    <col collapsed="false" customWidth="true" hidden="false" outlineLevel="0" max="11291" min="11291" style="70" width="3.29"/>
    <col collapsed="false" customWidth="true" hidden="false" outlineLevel="0" max="11292" min="11292" style="70" width="8"/>
    <col collapsed="false" customWidth="false" hidden="false" outlineLevel="0" max="11293" min="11293" style="70" width="42.57"/>
    <col collapsed="false" customWidth="true" hidden="false" outlineLevel="0" max="11294" min="11294" style="70" width="3.29"/>
    <col collapsed="false" customWidth="true" hidden="false" outlineLevel="0" max="11295" min="11295" style="70" width="8"/>
    <col collapsed="false" customWidth="false" hidden="false" outlineLevel="0" max="11296" min="11296" style="70" width="42.57"/>
    <col collapsed="false" customWidth="true" hidden="false" outlineLevel="0" max="11297" min="11297" style="70" width="3.29"/>
    <col collapsed="false" customWidth="true" hidden="false" outlineLevel="0" max="11298" min="11298" style="70" width="8"/>
    <col collapsed="false" customWidth="false" hidden="false" outlineLevel="0" max="11299" min="11299" style="70" width="42.57"/>
    <col collapsed="false" customWidth="true" hidden="false" outlineLevel="0" max="11300" min="11300" style="70" width="3.29"/>
    <col collapsed="false" customWidth="true" hidden="false" outlineLevel="0" max="11301" min="11301" style="70" width="8"/>
    <col collapsed="false" customWidth="false" hidden="false" outlineLevel="0" max="11302" min="11302" style="70" width="42.57"/>
    <col collapsed="false" customWidth="true" hidden="false" outlineLevel="0" max="11303" min="11303" style="70" width="3.29"/>
    <col collapsed="false" customWidth="true" hidden="false" outlineLevel="0" max="11304" min="11304" style="70" width="8"/>
    <col collapsed="false" customWidth="false" hidden="false" outlineLevel="0" max="11305" min="11305" style="70" width="42.57"/>
    <col collapsed="false" customWidth="true" hidden="false" outlineLevel="0" max="11306" min="11306" style="70" width="3.29"/>
    <col collapsed="false" customWidth="true" hidden="false" outlineLevel="0" max="11307" min="11307" style="70" width="8"/>
    <col collapsed="false" customWidth="false" hidden="false" outlineLevel="0" max="11308" min="11308" style="70" width="42.57"/>
    <col collapsed="false" customWidth="true" hidden="false" outlineLevel="0" max="11309" min="11309" style="70" width="3.29"/>
    <col collapsed="false" customWidth="true" hidden="false" outlineLevel="0" max="11310" min="11310" style="70" width="8"/>
    <col collapsed="false" customWidth="false" hidden="false" outlineLevel="0" max="11311" min="11311" style="70" width="42.57"/>
    <col collapsed="false" customWidth="true" hidden="false" outlineLevel="0" max="11312" min="11312" style="70" width="3.29"/>
    <col collapsed="false" customWidth="true" hidden="false" outlineLevel="0" max="11313" min="11313" style="70" width="8"/>
    <col collapsed="false" customWidth="false" hidden="false" outlineLevel="0" max="11314" min="11314" style="70" width="42.57"/>
    <col collapsed="false" customWidth="true" hidden="false" outlineLevel="0" max="11315" min="11315" style="70" width="3.29"/>
    <col collapsed="false" customWidth="true" hidden="false" outlineLevel="0" max="11316" min="11316" style="70" width="8"/>
    <col collapsed="false" customWidth="false" hidden="false" outlineLevel="0" max="11317" min="11317" style="70" width="42.57"/>
    <col collapsed="false" customWidth="true" hidden="false" outlineLevel="0" max="11318" min="11318" style="70" width="3.29"/>
    <col collapsed="false" customWidth="true" hidden="false" outlineLevel="0" max="11319" min="11319" style="70" width="8"/>
    <col collapsed="false" customWidth="false" hidden="false" outlineLevel="0" max="11320" min="11320" style="70" width="42.57"/>
    <col collapsed="false" customWidth="true" hidden="false" outlineLevel="0" max="11321" min="11321" style="70" width="3.29"/>
    <col collapsed="false" customWidth="true" hidden="false" outlineLevel="0" max="11322" min="11322" style="70" width="8"/>
    <col collapsed="false" customWidth="false" hidden="false" outlineLevel="0" max="11323" min="11323" style="70" width="42.57"/>
    <col collapsed="false" customWidth="true" hidden="false" outlineLevel="0" max="11324" min="11324" style="70" width="3.29"/>
    <col collapsed="false" customWidth="true" hidden="false" outlineLevel="0" max="11325" min="11325" style="70" width="8"/>
    <col collapsed="false" customWidth="false" hidden="false" outlineLevel="0" max="11326" min="11326" style="70" width="42.57"/>
    <col collapsed="false" customWidth="true" hidden="false" outlineLevel="0" max="11327" min="11327" style="70" width="3.29"/>
    <col collapsed="false" customWidth="true" hidden="false" outlineLevel="0" max="11328" min="11328" style="70" width="8"/>
    <col collapsed="false" customWidth="false" hidden="false" outlineLevel="0" max="11329" min="11329" style="70" width="42.57"/>
    <col collapsed="false" customWidth="true" hidden="false" outlineLevel="0" max="11330" min="11330" style="70" width="3.29"/>
    <col collapsed="false" customWidth="true" hidden="false" outlineLevel="0" max="11331" min="11331" style="70" width="8"/>
    <col collapsed="false" customWidth="false" hidden="false" outlineLevel="0" max="11332" min="11332" style="70" width="42.57"/>
    <col collapsed="false" customWidth="true" hidden="false" outlineLevel="0" max="11333" min="11333" style="70" width="3.29"/>
    <col collapsed="false" customWidth="true" hidden="false" outlineLevel="0" max="11334" min="11334" style="70" width="8"/>
    <col collapsed="false" customWidth="false" hidden="false" outlineLevel="0" max="11335" min="11335" style="70" width="42.57"/>
    <col collapsed="false" customWidth="true" hidden="false" outlineLevel="0" max="11336" min="11336" style="70" width="3.29"/>
    <col collapsed="false" customWidth="true" hidden="false" outlineLevel="0" max="11337" min="11337" style="70" width="8"/>
    <col collapsed="false" customWidth="false" hidden="false" outlineLevel="0" max="11338" min="11338" style="70" width="42.57"/>
    <col collapsed="false" customWidth="true" hidden="false" outlineLevel="0" max="11339" min="11339" style="70" width="3.29"/>
    <col collapsed="false" customWidth="true" hidden="false" outlineLevel="0" max="11340" min="11340" style="70" width="8"/>
    <col collapsed="false" customWidth="false" hidden="false" outlineLevel="0" max="11341" min="11341" style="70" width="42.57"/>
    <col collapsed="false" customWidth="true" hidden="false" outlineLevel="0" max="11342" min="11342" style="70" width="3.29"/>
    <col collapsed="false" customWidth="true" hidden="false" outlineLevel="0" max="11343" min="11343" style="70" width="8"/>
    <col collapsed="false" customWidth="false" hidden="false" outlineLevel="0" max="11344" min="11344" style="70" width="42.57"/>
    <col collapsed="false" customWidth="true" hidden="false" outlineLevel="0" max="11345" min="11345" style="70" width="3.29"/>
    <col collapsed="false" customWidth="true" hidden="false" outlineLevel="0" max="11346" min="11346" style="70" width="8"/>
    <col collapsed="false" customWidth="false" hidden="false" outlineLevel="0" max="11347" min="11347" style="70" width="42.57"/>
    <col collapsed="false" customWidth="true" hidden="false" outlineLevel="0" max="11348" min="11348" style="70" width="3.29"/>
    <col collapsed="false" customWidth="true" hidden="false" outlineLevel="0" max="11349" min="11349" style="70" width="8"/>
    <col collapsed="false" customWidth="false" hidden="false" outlineLevel="0" max="11350" min="11350" style="70" width="42.57"/>
    <col collapsed="false" customWidth="true" hidden="false" outlineLevel="0" max="11351" min="11351" style="70" width="3.29"/>
    <col collapsed="false" customWidth="true" hidden="false" outlineLevel="0" max="11352" min="11352" style="70" width="8"/>
    <col collapsed="false" customWidth="false" hidden="false" outlineLevel="0" max="11353" min="11353" style="70" width="42.57"/>
    <col collapsed="false" customWidth="true" hidden="false" outlineLevel="0" max="11354" min="11354" style="70" width="3.29"/>
    <col collapsed="false" customWidth="true" hidden="false" outlineLevel="0" max="11355" min="11355" style="70" width="8"/>
    <col collapsed="false" customWidth="false" hidden="false" outlineLevel="0" max="11356" min="11356" style="70" width="42.57"/>
    <col collapsed="false" customWidth="true" hidden="false" outlineLevel="0" max="11357" min="11357" style="70" width="3.29"/>
    <col collapsed="false" customWidth="true" hidden="false" outlineLevel="0" max="11358" min="11358" style="70" width="8"/>
    <col collapsed="false" customWidth="false" hidden="false" outlineLevel="0" max="11359" min="11359" style="70" width="42.57"/>
    <col collapsed="false" customWidth="true" hidden="false" outlineLevel="0" max="11360" min="11360" style="70" width="3.29"/>
    <col collapsed="false" customWidth="true" hidden="false" outlineLevel="0" max="11361" min="11361" style="70" width="8"/>
    <col collapsed="false" customWidth="false" hidden="false" outlineLevel="0" max="11362" min="11362" style="70" width="42.57"/>
    <col collapsed="false" customWidth="true" hidden="false" outlineLevel="0" max="11363" min="11363" style="70" width="3.29"/>
    <col collapsed="false" customWidth="true" hidden="false" outlineLevel="0" max="11364" min="11364" style="70" width="8"/>
    <col collapsed="false" customWidth="false" hidden="false" outlineLevel="0" max="11365" min="11365" style="70" width="42.57"/>
    <col collapsed="false" customWidth="true" hidden="false" outlineLevel="0" max="11366" min="11366" style="70" width="3.29"/>
    <col collapsed="false" customWidth="true" hidden="false" outlineLevel="0" max="11367" min="11367" style="70" width="8"/>
    <col collapsed="false" customWidth="false" hidden="false" outlineLevel="0" max="11368" min="11368" style="70" width="42.57"/>
    <col collapsed="false" customWidth="true" hidden="false" outlineLevel="0" max="11369" min="11369" style="70" width="3.29"/>
    <col collapsed="false" customWidth="true" hidden="false" outlineLevel="0" max="11370" min="11370" style="70" width="8"/>
    <col collapsed="false" customWidth="false" hidden="false" outlineLevel="0" max="11371" min="11371" style="70" width="42.57"/>
    <col collapsed="false" customWidth="true" hidden="false" outlineLevel="0" max="11372" min="11372" style="70" width="3.29"/>
    <col collapsed="false" customWidth="true" hidden="false" outlineLevel="0" max="11373" min="11373" style="70" width="8"/>
    <col collapsed="false" customWidth="false" hidden="false" outlineLevel="0" max="11374" min="11374" style="70" width="42.57"/>
    <col collapsed="false" customWidth="true" hidden="false" outlineLevel="0" max="11375" min="11375" style="70" width="3.29"/>
    <col collapsed="false" customWidth="true" hidden="false" outlineLevel="0" max="11376" min="11376" style="70" width="8"/>
    <col collapsed="false" customWidth="false" hidden="false" outlineLevel="0" max="11377" min="11377" style="70" width="42.57"/>
    <col collapsed="false" customWidth="true" hidden="false" outlineLevel="0" max="11378" min="11378" style="70" width="3.29"/>
    <col collapsed="false" customWidth="true" hidden="false" outlineLevel="0" max="11379" min="11379" style="70" width="8"/>
    <col collapsed="false" customWidth="false" hidden="false" outlineLevel="0" max="11380" min="11380" style="70" width="42.57"/>
    <col collapsed="false" customWidth="true" hidden="false" outlineLevel="0" max="11381" min="11381" style="70" width="3.29"/>
    <col collapsed="false" customWidth="true" hidden="false" outlineLevel="0" max="11382" min="11382" style="70" width="8"/>
    <col collapsed="false" customWidth="false" hidden="false" outlineLevel="0" max="11383" min="11383" style="70" width="42.57"/>
    <col collapsed="false" customWidth="true" hidden="false" outlineLevel="0" max="11384" min="11384" style="70" width="3.29"/>
    <col collapsed="false" customWidth="true" hidden="false" outlineLevel="0" max="11385" min="11385" style="70" width="8"/>
    <col collapsed="false" customWidth="false" hidden="false" outlineLevel="0" max="11386" min="11386" style="70" width="42.57"/>
    <col collapsed="false" customWidth="true" hidden="false" outlineLevel="0" max="11387" min="11387" style="70" width="3.29"/>
    <col collapsed="false" customWidth="true" hidden="false" outlineLevel="0" max="11388" min="11388" style="70" width="8"/>
    <col collapsed="false" customWidth="false" hidden="false" outlineLevel="0" max="11389" min="11389" style="70" width="42.57"/>
    <col collapsed="false" customWidth="true" hidden="false" outlineLevel="0" max="11390" min="11390" style="70" width="3.29"/>
    <col collapsed="false" customWidth="true" hidden="false" outlineLevel="0" max="11391" min="11391" style="70" width="8"/>
    <col collapsed="false" customWidth="false" hidden="false" outlineLevel="0" max="11392" min="11392" style="70" width="42.57"/>
    <col collapsed="false" customWidth="true" hidden="false" outlineLevel="0" max="11393" min="11393" style="70" width="3.29"/>
    <col collapsed="false" customWidth="true" hidden="false" outlineLevel="0" max="11394" min="11394" style="70" width="8"/>
    <col collapsed="false" customWidth="false" hidden="false" outlineLevel="0" max="11395" min="11395" style="70" width="42.57"/>
    <col collapsed="false" customWidth="true" hidden="false" outlineLevel="0" max="11396" min="11396" style="70" width="3.29"/>
    <col collapsed="false" customWidth="true" hidden="false" outlineLevel="0" max="11397" min="11397" style="70" width="8"/>
    <col collapsed="false" customWidth="false" hidden="false" outlineLevel="0" max="11398" min="11398" style="70" width="42.57"/>
    <col collapsed="false" customWidth="true" hidden="false" outlineLevel="0" max="11399" min="11399" style="70" width="3.29"/>
    <col collapsed="false" customWidth="true" hidden="false" outlineLevel="0" max="11400" min="11400" style="70" width="8"/>
    <col collapsed="false" customWidth="false" hidden="false" outlineLevel="0" max="11401" min="11401" style="70" width="42.57"/>
    <col collapsed="false" customWidth="true" hidden="false" outlineLevel="0" max="11402" min="11402" style="70" width="3.29"/>
    <col collapsed="false" customWidth="true" hidden="false" outlineLevel="0" max="11403" min="11403" style="70" width="8"/>
    <col collapsed="false" customWidth="false" hidden="false" outlineLevel="0" max="11404" min="11404" style="70" width="42.57"/>
    <col collapsed="false" customWidth="true" hidden="false" outlineLevel="0" max="11405" min="11405" style="70" width="3.29"/>
    <col collapsed="false" customWidth="true" hidden="false" outlineLevel="0" max="11406" min="11406" style="70" width="8"/>
    <col collapsed="false" customWidth="false" hidden="false" outlineLevel="0" max="11407" min="11407" style="70" width="42.57"/>
    <col collapsed="false" customWidth="true" hidden="false" outlineLevel="0" max="11408" min="11408" style="70" width="3.29"/>
    <col collapsed="false" customWidth="true" hidden="false" outlineLevel="0" max="11409" min="11409" style="70" width="8"/>
    <col collapsed="false" customWidth="false" hidden="false" outlineLevel="0" max="11410" min="11410" style="70" width="42.57"/>
    <col collapsed="false" customWidth="true" hidden="false" outlineLevel="0" max="11411" min="11411" style="70" width="3.29"/>
    <col collapsed="false" customWidth="true" hidden="false" outlineLevel="0" max="11412" min="11412" style="70" width="8"/>
    <col collapsed="false" customWidth="false" hidden="false" outlineLevel="0" max="11413" min="11413" style="70" width="42.57"/>
    <col collapsed="false" customWidth="true" hidden="false" outlineLevel="0" max="11414" min="11414" style="70" width="3.29"/>
    <col collapsed="false" customWidth="true" hidden="false" outlineLevel="0" max="11415" min="11415" style="70" width="8"/>
    <col collapsed="false" customWidth="false" hidden="false" outlineLevel="0" max="11416" min="11416" style="70" width="42.57"/>
    <col collapsed="false" customWidth="true" hidden="false" outlineLevel="0" max="11417" min="11417" style="70" width="3.29"/>
    <col collapsed="false" customWidth="true" hidden="false" outlineLevel="0" max="11418" min="11418" style="70" width="8"/>
    <col collapsed="false" customWidth="false" hidden="false" outlineLevel="0" max="11419" min="11419" style="70" width="42.57"/>
    <col collapsed="false" customWidth="true" hidden="false" outlineLevel="0" max="11420" min="11420" style="70" width="3.29"/>
    <col collapsed="false" customWidth="true" hidden="false" outlineLevel="0" max="11421" min="11421" style="70" width="8"/>
    <col collapsed="false" customWidth="false" hidden="false" outlineLevel="0" max="11422" min="11422" style="70" width="42.57"/>
    <col collapsed="false" customWidth="true" hidden="false" outlineLevel="0" max="11423" min="11423" style="70" width="3.29"/>
    <col collapsed="false" customWidth="true" hidden="false" outlineLevel="0" max="11424" min="11424" style="70" width="8"/>
    <col collapsed="false" customWidth="false" hidden="false" outlineLevel="0" max="11425" min="11425" style="70" width="42.57"/>
    <col collapsed="false" customWidth="true" hidden="false" outlineLevel="0" max="11426" min="11426" style="70" width="3.29"/>
    <col collapsed="false" customWidth="true" hidden="false" outlineLevel="0" max="11427" min="11427" style="70" width="8"/>
    <col collapsed="false" customWidth="false" hidden="false" outlineLevel="0" max="11428" min="11428" style="70" width="42.57"/>
    <col collapsed="false" customWidth="true" hidden="false" outlineLevel="0" max="11429" min="11429" style="70" width="3.29"/>
    <col collapsed="false" customWidth="true" hidden="false" outlineLevel="0" max="11430" min="11430" style="70" width="8"/>
    <col collapsed="false" customWidth="false" hidden="false" outlineLevel="0" max="11431" min="11431" style="70" width="42.57"/>
    <col collapsed="false" customWidth="true" hidden="false" outlineLevel="0" max="11432" min="11432" style="70" width="3.29"/>
    <col collapsed="false" customWidth="true" hidden="false" outlineLevel="0" max="11433" min="11433" style="70" width="8"/>
    <col collapsed="false" customWidth="false" hidden="false" outlineLevel="0" max="11434" min="11434" style="70" width="42.57"/>
    <col collapsed="false" customWidth="true" hidden="false" outlineLevel="0" max="11435" min="11435" style="70" width="3.29"/>
    <col collapsed="false" customWidth="true" hidden="false" outlineLevel="0" max="11436" min="11436" style="70" width="8"/>
    <col collapsed="false" customWidth="false" hidden="false" outlineLevel="0" max="11437" min="11437" style="70" width="42.57"/>
    <col collapsed="false" customWidth="true" hidden="false" outlineLevel="0" max="11438" min="11438" style="70" width="3.29"/>
    <col collapsed="false" customWidth="true" hidden="false" outlineLevel="0" max="11439" min="11439" style="70" width="8"/>
    <col collapsed="false" customWidth="false" hidden="false" outlineLevel="0" max="11440" min="11440" style="70" width="42.57"/>
    <col collapsed="false" customWidth="true" hidden="false" outlineLevel="0" max="11441" min="11441" style="70" width="3.29"/>
    <col collapsed="false" customWidth="true" hidden="false" outlineLevel="0" max="11442" min="11442" style="70" width="8"/>
    <col collapsed="false" customWidth="false" hidden="false" outlineLevel="0" max="11443" min="11443" style="70" width="42.57"/>
    <col collapsed="false" customWidth="true" hidden="false" outlineLevel="0" max="11444" min="11444" style="70" width="3.29"/>
    <col collapsed="false" customWidth="true" hidden="false" outlineLevel="0" max="11445" min="11445" style="70" width="8"/>
    <col collapsed="false" customWidth="false" hidden="false" outlineLevel="0" max="11446" min="11446" style="70" width="42.57"/>
    <col collapsed="false" customWidth="true" hidden="false" outlineLevel="0" max="11447" min="11447" style="70" width="3.29"/>
    <col collapsed="false" customWidth="true" hidden="false" outlineLevel="0" max="11448" min="11448" style="70" width="8"/>
    <col collapsed="false" customWidth="false" hidden="false" outlineLevel="0" max="11449" min="11449" style="70" width="42.57"/>
    <col collapsed="false" customWidth="true" hidden="false" outlineLevel="0" max="11450" min="11450" style="70" width="3.29"/>
    <col collapsed="false" customWidth="true" hidden="false" outlineLevel="0" max="11451" min="11451" style="70" width="8"/>
    <col collapsed="false" customWidth="false" hidden="false" outlineLevel="0" max="11452" min="11452" style="70" width="42.57"/>
    <col collapsed="false" customWidth="true" hidden="false" outlineLevel="0" max="11453" min="11453" style="70" width="3.29"/>
    <col collapsed="false" customWidth="true" hidden="false" outlineLevel="0" max="11454" min="11454" style="70" width="8"/>
    <col collapsed="false" customWidth="false" hidden="false" outlineLevel="0" max="11455" min="11455" style="70" width="42.57"/>
    <col collapsed="false" customWidth="true" hidden="false" outlineLevel="0" max="11456" min="11456" style="70" width="3.29"/>
    <col collapsed="false" customWidth="true" hidden="false" outlineLevel="0" max="11457" min="11457" style="70" width="8"/>
    <col collapsed="false" customWidth="false" hidden="false" outlineLevel="0" max="11458" min="11458" style="70" width="42.57"/>
    <col collapsed="false" customWidth="true" hidden="false" outlineLevel="0" max="11459" min="11459" style="70" width="3.29"/>
    <col collapsed="false" customWidth="true" hidden="false" outlineLevel="0" max="11460" min="11460" style="70" width="8"/>
    <col collapsed="false" customWidth="false" hidden="false" outlineLevel="0" max="11461" min="11461" style="70" width="42.57"/>
    <col collapsed="false" customWidth="true" hidden="false" outlineLevel="0" max="11462" min="11462" style="70" width="3.29"/>
    <col collapsed="false" customWidth="true" hidden="false" outlineLevel="0" max="11463" min="11463" style="70" width="8"/>
    <col collapsed="false" customWidth="false" hidden="false" outlineLevel="0" max="11464" min="11464" style="70" width="42.57"/>
    <col collapsed="false" customWidth="true" hidden="false" outlineLevel="0" max="11465" min="11465" style="70" width="3.29"/>
    <col collapsed="false" customWidth="true" hidden="false" outlineLevel="0" max="11466" min="11466" style="70" width="8"/>
    <col collapsed="false" customWidth="false" hidden="false" outlineLevel="0" max="11467" min="11467" style="70" width="42.57"/>
    <col collapsed="false" customWidth="true" hidden="false" outlineLevel="0" max="11468" min="11468" style="70" width="3.29"/>
    <col collapsed="false" customWidth="true" hidden="false" outlineLevel="0" max="11469" min="11469" style="70" width="8"/>
    <col collapsed="false" customWidth="false" hidden="false" outlineLevel="0" max="11470" min="11470" style="70" width="42.57"/>
    <col collapsed="false" customWidth="true" hidden="false" outlineLevel="0" max="11471" min="11471" style="70" width="3.29"/>
    <col collapsed="false" customWidth="true" hidden="false" outlineLevel="0" max="11472" min="11472" style="70" width="8"/>
    <col collapsed="false" customWidth="false" hidden="false" outlineLevel="0" max="11473" min="11473" style="70" width="42.57"/>
    <col collapsed="false" customWidth="true" hidden="false" outlineLevel="0" max="11474" min="11474" style="70" width="3.29"/>
    <col collapsed="false" customWidth="true" hidden="false" outlineLevel="0" max="11475" min="11475" style="70" width="8"/>
    <col collapsed="false" customWidth="false" hidden="false" outlineLevel="0" max="11476" min="11476" style="70" width="42.57"/>
    <col collapsed="false" customWidth="true" hidden="false" outlineLevel="0" max="11477" min="11477" style="70" width="3.29"/>
    <col collapsed="false" customWidth="true" hidden="false" outlineLevel="0" max="11478" min="11478" style="70" width="8"/>
    <col collapsed="false" customWidth="false" hidden="false" outlineLevel="0" max="11479" min="11479" style="70" width="42.57"/>
    <col collapsed="false" customWidth="true" hidden="false" outlineLevel="0" max="11480" min="11480" style="70" width="3.29"/>
    <col collapsed="false" customWidth="true" hidden="false" outlineLevel="0" max="11481" min="11481" style="70" width="8"/>
    <col collapsed="false" customWidth="false" hidden="false" outlineLevel="0" max="11482" min="11482" style="70" width="42.57"/>
    <col collapsed="false" customWidth="true" hidden="false" outlineLevel="0" max="11483" min="11483" style="70" width="3.29"/>
    <col collapsed="false" customWidth="true" hidden="false" outlineLevel="0" max="11484" min="11484" style="70" width="8"/>
    <col collapsed="false" customWidth="false" hidden="false" outlineLevel="0" max="11485" min="11485" style="70" width="42.57"/>
    <col collapsed="false" customWidth="true" hidden="false" outlineLevel="0" max="11486" min="11486" style="70" width="3.29"/>
    <col collapsed="false" customWidth="true" hidden="false" outlineLevel="0" max="11487" min="11487" style="70" width="8"/>
    <col collapsed="false" customWidth="false" hidden="false" outlineLevel="0" max="11488" min="11488" style="70" width="42.57"/>
    <col collapsed="false" customWidth="true" hidden="false" outlineLevel="0" max="11489" min="11489" style="70" width="3.29"/>
    <col collapsed="false" customWidth="true" hidden="false" outlineLevel="0" max="11490" min="11490" style="70" width="8"/>
    <col collapsed="false" customWidth="false" hidden="false" outlineLevel="0" max="11491" min="11491" style="70" width="42.57"/>
    <col collapsed="false" customWidth="true" hidden="false" outlineLevel="0" max="11492" min="11492" style="70" width="3.29"/>
    <col collapsed="false" customWidth="true" hidden="false" outlineLevel="0" max="11493" min="11493" style="70" width="8"/>
    <col collapsed="false" customWidth="false" hidden="false" outlineLevel="0" max="11494" min="11494" style="70" width="42.57"/>
    <col collapsed="false" customWidth="true" hidden="false" outlineLevel="0" max="11495" min="11495" style="70" width="3.29"/>
    <col collapsed="false" customWidth="true" hidden="false" outlineLevel="0" max="11496" min="11496" style="70" width="8"/>
    <col collapsed="false" customWidth="false" hidden="false" outlineLevel="0" max="11497" min="11497" style="70" width="42.57"/>
    <col collapsed="false" customWidth="true" hidden="false" outlineLevel="0" max="11498" min="11498" style="70" width="3.29"/>
    <col collapsed="false" customWidth="true" hidden="false" outlineLevel="0" max="11499" min="11499" style="70" width="8"/>
    <col collapsed="false" customWidth="false" hidden="false" outlineLevel="0" max="11500" min="11500" style="70" width="42.57"/>
    <col collapsed="false" customWidth="true" hidden="false" outlineLevel="0" max="11501" min="11501" style="70" width="3.29"/>
    <col collapsed="false" customWidth="true" hidden="false" outlineLevel="0" max="11502" min="11502" style="70" width="8"/>
    <col collapsed="false" customWidth="false" hidden="false" outlineLevel="0" max="11503" min="11503" style="70" width="42.57"/>
    <col collapsed="false" customWidth="true" hidden="false" outlineLevel="0" max="11504" min="11504" style="70" width="3.29"/>
    <col collapsed="false" customWidth="true" hidden="false" outlineLevel="0" max="11505" min="11505" style="70" width="8"/>
    <col collapsed="false" customWidth="false" hidden="false" outlineLevel="0" max="11506" min="11506" style="70" width="42.57"/>
    <col collapsed="false" customWidth="true" hidden="false" outlineLevel="0" max="11507" min="11507" style="70" width="3.29"/>
    <col collapsed="false" customWidth="true" hidden="false" outlineLevel="0" max="11508" min="11508" style="70" width="8"/>
    <col collapsed="false" customWidth="false" hidden="false" outlineLevel="0" max="11509" min="11509" style="70" width="42.57"/>
    <col collapsed="false" customWidth="true" hidden="false" outlineLevel="0" max="11510" min="11510" style="70" width="3.29"/>
    <col collapsed="false" customWidth="true" hidden="false" outlineLevel="0" max="11511" min="11511" style="70" width="8"/>
    <col collapsed="false" customWidth="false" hidden="false" outlineLevel="0" max="11512" min="11512" style="70" width="42.57"/>
    <col collapsed="false" customWidth="true" hidden="false" outlineLevel="0" max="11513" min="11513" style="70" width="3.29"/>
    <col collapsed="false" customWidth="true" hidden="false" outlineLevel="0" max="11514" min="11514" style="70" width="8"/>
    <col collapsed="false" customWidth="false" hidden="false" outlineLevel="0" max="11515" min="11515" style="70" width="42.57"/>
    <col collapsed="false" customWidth="true" hidden="false" outlineLevel="0" max="11516" min="11516" style="70" width="3.29"/>
    <col collapsed="false" customWidth="true" hidden="false" outlineLevel="0" max="11517" min="11517" style="70" width="8"/>
    <col collapsed="false" customWidth="false" hidden="false" outlineLevel="0" max="11518" min="11518" style="70" width="42.57"/>
    <col collapsed="false" customWidth="true" hidden="false" outlineLevel="0" max="11519" min="11519" style="70" width="3.29"/>
    <col collapsed="false" customWidth="true" hidden="false" outlineLevel="0" max="11520" min="11520" style="70" width="8"/>
    <col collapsed="false" customWidth="false" hidden="false" outlineLevel="0" max="11521" min="11521" style="70" width="42.57"/>
    <col collapsed="false" customWidth="true" hidden="false" outlineLevel="0" max="11522" min="11522" style="70" width="3.29"/>
    <col collapsed="false" customWidth="true" hidden="false" outlineLevel="0" max="11523" min="11523" style="70" width="8"/>
    <col collapsed="false" customWidth="false" hidden="false" outlineLevel="0" max="11524" min="11524" style="70" width="42.57"/>
    <col collapsed="false" customWidth="true" hidden="false" outlineLevel="0" max="11525" min="11525" style="70" width="3.29"/>
    <col collapsed="false" customWidth="true" hidden="false" outlineLevel="0" max="11526" min="11526" style="70" width="8"/>
    <col collapsed="false" customWidth="false" hidden="false" outlineLevel="0" max="11527" min="11527" style="70" width="42.57"/>
    <col collapsed="false" customWidth="true" hidden="false" outlineLevel="0" max="11528" min="11528" style="70" width="3.29"/>
    <col collapsed="false" customWidth="true" hidden="false" outlineLevel="0" max="11529" min="11529" style="70" width="8"/>
    <col collapsed="false" customWidth="false" hidden="false" outlineLevel="0" max="11530" min="11530" style="70" width="42.57"/>
    <col collapsed="false" customWidth="true" hidden="false" outlineLevel="0" max="11531" min="11531" style="70" width="3.29"/>
    <col collapsed="false" customWidth="true" hidden="false" outlineLevel="0" max="11532" min="11532" style="70" width="8"/>
    <col collapsed="false" customWidth="false" hidden="false" outlineLevel="0" max="11533" min="11533" style="70" width="42.57"/>
    <col collapsed="false" customWidth="true" hidden="false" outlineLevel="0" max="11534" min="11534" style="70" width="3.29"/>
    <col collapsed="false" customWidth="true" hidden="false" outlineLevel="0" max="11535" min="11535" style="70" width="8"/>
    <col collapsed="false" customWidth="false" hidden="false" outlineLevel="0" max="11536" min="11536" style="70" width="42.57"/>
    <col collapsed="false" customWidth="true" hidden="false" outlineLevel="0" max="11537" min="11537" style="70" width="3.29"/>
    <col collapsed="false" customWidth="true" hidden="false" outlineLevel="0" max="11538" min="11538" style="70" width="8"/>
    <col collapsed="false" customWidth="false" hidden="false" outlineLevel="0" max="11539" min="11539" style="70" width="42.57"/>
    <col collapsed="false" customWidth="true" hidden="false" outlineLevel="0" max="11540" min="11540" style="70" width="3.29"/>
    <col collapsed="false" customWidth="true" hidden="false" outlineLevel="0" max="11541" min="11541" style="70" width="8"/>
    <col collapsed="false" customWidth="false" hidden="false" outlineLevel="0" max="11542" min="11542" style="70" width="42.57"/>
    <col collapsed="false" customWidth="true" hidden="false" outlineLevel="0" max="11543" min="11543" style="70" width="3.29"/>
    <col collapsed="false" customWidth="true" hidden="false" outlineLevel="0" max="11544" min="11544" style="70" width="8"/>
    <col collapsed="false" customWidth="false" hidden="false" outlineLevel="0" max="11545" min="11545" style="70" width="42.57"/>
    <col collapsed="false" customWidth="true" hidden="false" outlineLevel="0" max="11546" min="11546" style="70" width="3.29"/>
    <col collapsed="false" customWidth="true" hidden="false" outlineLevel="0" max="11547" min="11547" style="70" width="8"/>
    <col collapsed="false" customWidth="false" hidden="false" outlineLevel="0" max="11548" min="11548" style="70" width="42.57"/>
    <col collapsed="false" customWidth="true" hidden="false" outlineLevel="0" max="11549" min="11549" style="70" width="3.29"/>
    <col collapsed="false" customWidth="true" hidden="false" outlineLevel="0" max="11550" min="11550" style="70" width="8"/>
    <col collapsed="false" customWidth="false" hidden="false" outlineLevel="0" max="11551" min="11551" style="70" width="42.57"/>
    <col collapsed="false" customWidth="true" hidden="false" outlineLevel="0" max="11552" min="11552" style="70" width="3.29"/>
    <col collapsed="false" customWidth="true" hidden="false" outlineLevel="0" max="11553" min="11553" style="70" width="8"/>
    <col collapsed="false" customWidth="false" hidden="false" outlineLevel="0" max="11554" min="11554" style="70" width="42.57"/>
    <col collapsed="false" customWidth="true" hidden="false" outlineLevel="0" max="11555" min="11555" style="70" width="3.29"/>
    <col collapsed="false" customWidth="true" hidden="false" outlineLevel="0" max="11556" min="11556" style="70" width="8"/>
    <col collapsed="false" customWidth="false" hidden="false" outlineLevel="0" max="11557" min="11557" style="70" width="42.57"/>
    <col collapsed="false" customWidth="true" hidden="false" outlineLevel="0" max="11558" min="11558" style="70" width="3.29"/>
    <col collapsed="false" customWidth="true" hidden="false" outlineLevel="0" max="11559" min="11559" style="70" width="8"/>
    <col collapsed="false" customWidth="false" hidden="false" outlineLevel="0" max="11560" min="11560" style="70" width="42.57"/>
    <col collapsed="false" customWidth="true" hidden="false" outlineLevel="0" max="11561" min="11561" style="70" width="3.29"/>
    <col collapsed="false" customWidth="true" hidden="false" outlineLevel="0" max="11562" min="11562" style="70" width="8"/>
    <col collapsed="false" customWidth="false" hidden="false" outlineLevel="0" max="11563" min="11563" style="70" width="42.57"/>
    <col collapsed="false" customWidth="true" hidden="false" outlineLevel="0" max="11564" min="11564" style="70" width="3.29"/>
    <col collapsed="false" customWidth="true" hidden="false" outlineLevel="0" max="11565" min="11565" style="70" width="8"/>
    <col collapsed="false" customWidth="false" hidden="false" outlineLevel="0" max="11566" min="11566" style="70" width="42.57"/>
    <col collapsed="false" customWidth="true" hidden="false" outlineLevel="0" max="11567" min="11567" style="70" width="3.29"/>
    <col collapsed="false" customWidth="true" hidden="false" outlineLevel="0" max="11568" min="11568" style="70" width="8"/>
    <col collapsed="false" customWidth="false" hidden="false" outlineLevel="0" max="11569" min="11569" style="70" width="42.57"/>
    <col collapsed="false" customWidth="true" hidden="false" outlineLevel="0" max="11570" min="11570" style="70" width="3.29"/>
    <col collapsed="false" customWidth="true" hidden="false" outlineLevel="0" max="11571" min="11571" style="70" width="8"/>
    <col collapsed="false" customWidth="false" hidden="false" outlineLevel="0" max="11572" min="11572" style="70" width="42.57"/>
    <col collapsed="false" customWidth="true" hidden="false" outlineLevel="0" max="11573" min="11573" style="70" width="3.29"/>
    <col collapsed="false" customWidth="true" hidden="false" outlineLevel="0" max="11574" min="11574" style="70" width="8"/>
    <col collapsed="false" customWidth="false" hidden="false" outlineLevel="0" max="11575" min="11575" style="70" width="42.57"/>
    <col collapsed="false" customWidth="true" hidden="false" outlineLevel="0" max="11576" min="11576" style="70" width="3.29"/>
    <col collapsed="false" customWidth="true" hidden="false" outlineLevel="0" max="11577" min="11577" style="70" width="8"/>
    <col collapsed="false" customWidth="false" hidden="false" outlineLevel="0" max="11578" min="11578" style="70" width="42.57"/>
    <col collapsed="false" customWidth="true" hidden="false" outlineLevel="0" max="11579" min="11579" style="70" width="3.29"/>
    <col collapsed="false" customWidth="true" hidden="false" outlineLevel="0" max="11580" min="11580" style="70" width="8"/>
    <col collapsed="false" customWidth="false" hidden="false" outlineLevel="0" max="11581" min="11581" style="70" width="42.57"/>
    <col collapsed="false" customWidth="true" hidden="false" outlineLevel="0" max="11582" min="11582" style="70" width="3.29"/>
    <col collapsed="false" customWidth="true" hidden="false" outlineLevel="0" max="11583" min="11583" style="70" width="8"/>
    <col collapsed="false" customWidth="false" hidden="false" outlineLevel="0" max="11584" min="11584" style="70" width="42.57"/>
    <col collapsed="false" customWidth="true" hidden="false" outlineLevel="0" max="11585" min="11585" style="70" width="3.29"/>
    <col collapsed="false" customWidth="true" hidden="false" outlineLevel="0" max="11586" min="11586" style="70" width="8"/>
    <col collapsed="false" customWidth="false" hidden="false" outlineLevel="0" max="11587" min="11587" style="70" width="42.57"/>
    <col collapsed="false" customWidth="true" hidden="false" outlineLevel="0" max="11588" min="11588" style="70" width="3.29"/>
    <col collapsed="false" customWidth="true" hidden="false" outlineLevel="0" max="11589" min="11589" style="70" width="8"/>
    <col collapsed="false" customWidth="false" hidden="false" outlineLevel="0" max="11590" min="11590" style="70" width="42.57"/>
    <col collapsed="false" customWidth="true" hidden="false" outlineLevel="0" max="11591" min="11591" style="70" width="3.29"/>
    <col collapsed="false" customWidth="true" hidden="false" outlineLevel="0" max="11592" min="11592" style="70" width="8"/>
    <col collapsed="false" customWidth="false" hidden="false" outlineLevel="0" max="11593" min="11593" style="70" width="42.57"/>
    <col collapsed="false" customWidth="true" hidden="false" outlineLevel="0" max="11594" min="11594" style="70" width="3.29"/>
    <col collapsed="false" customWidth="true" hidden="false" outlineLevel="0" max="11595" min="11595" style="70" width="8"/>
    <col collapsed="false" customWidth="false" hidden="false" outlineLevel="0" max="11596" min="11596" style="70" width="42.57"/>
    <col collapsed="false" customWidth="true" hidden="false" outlineLevel="0" max="11597" min="11597" style="70" width="3.29"/>
    <col collapsed="false" customWidth="true" hidden="false" outlineLevel="0" max="11598" min="11598" style="70" width="8"/>
    <col collapsed="false" customWidth="false" hidden="false" outlineLevel="0" max="11599" min="11599" style="70" width="42.57"/>
    <col collapsed="false" customWidth="true" hidden="false" outlineLevel="0" max="11600" min="11600" style="70" width="3.29"/>
    <col collapsed="false" customWidth="true" hidden="false" outlineLevel="0" max="11601" min="11601" style="70" width="8"/>
    <col collapsed="false" customWidth="false" hidden="false" outlineLevel="0" max="11602" min="11602" style="70" width="42.57"/>
    <col collapsed="false" customWidth="true" hidden="false" outlineLevel="0" max="11603" min="11603" style="70" width="3.29"/>
    <col collapsed="false" customWidth="true" hidden="false" outlineLevel="0" max="11604" min="11604" style="70" width="8"/>
    <col collapsed="false" customWidth="false" hidden="false" outlineLevel="0" max="11605" min="11605" style="70" width="42.57"/>
    <col collapsed="false" customWidth="true" hidden="false" outlineLevel="0" max="11606" min="11606" style="70" width="3.29"/>
    <col collapsed="false" customWidth="true" hidden="false" outlineLevel="0" max="11607" min="11607" style="70" width="8"/>
    <col collapsed="false" customWidth="false" hidden="false" outlineLevel="0" max="11608" min="11608" style="70" width="42.57"/>
    <col collapsed="false" customWidth="true" hidden="false" outlineLevel="0" max="11609" min="11609" style="70" width="3.29"/>
    <col collapsed="false" customWidth="true" hidden="false" outlineLevel="0" max="11610" min="11610" style="70" width="8"/>
    <col collapsed="false" customWidth="false" hidden="false" outlineLevel="0" max="11611" min="11611" style="70" width="42.57"/>
    <col collapsed="false" customWidth="true" hidden="false" outlineLevel="0" max="11612" min="11612" style="70" width="3.29"/>
    <col collapsed="false" customWidth="true" hidden="false" outlineLevel="0" max="11613" min="11613" style="70" width="8"/>
    <col collapsed="false" customWidth="false" hidden="false" outlineLevel="0" max="11614" min="11614" style="70" width="42.57"/>
    <col collapsed="false" customWidth="true" hidden="false" outlineLevel="0" max="11615" min="11615" style="70" width="3.29"/>
    <col collapsed="false" customWidth="true" hidden="false" outlineLevel="0" max="11616" min="11616" style="70" width="8"/>
    <col collapsed="false" customWidth="false" hidden="false" outlineLevel="0" max="11617" min="11617" style="70" width="42.57"/>
    <col collapsed="false" customWidth="true" hidden="false" outlineLevel="0" max="11618" min="11618" style="70" width="3.29"/>
    <col collapsed="false" customWidth="true" hidden="false" outlineLevel="0" max="11619" min="11619" style="70" width="8"/>
    <col collapsed="false" customWidth="false" hidden="false" outlineLevel="0" max="11620" min="11620" style="70" width="42.57"/>
    <col collapsed="false" customWidth="true" hidden="false" outlineLevel="0" max="11621" min="11621" style="70" width="3.29"/>
    <col collapsed="false" customWidth="true" hidden="false" outlineLevel="0" max="11622" min="11622" style="70" width="8"/>
    <col collapsed="false" customWidth="false" hidden="false" outlineLevel="0" max="11623" min="11623" style="70" width="42.57"/>
    <col collapsed="false" customWidth="true" hidden="false" outlineLevel="0" max="11624" min="11624" style="70" width="3.29"/>
    <col collapsed="false" customWidth="true" hidden="false" outlineLevel="0" max="11625" min="11625" style="70" width="8"/>
    <col collapsed="false" customWidth="false" hidden="false" outlineLevel="0" max="11626" min="11626" style="70" width="42.57"/>
    <col collapsed="false" customWidth="true" hidden="false" outlineLevel="0" max="11627" min="11627" style="70" width="3.29"/>
    <col collapsed="false" customWidth="true" hidden="false" outlineLevel="0" max="11628" min="11628" style="70" width="8"/>
    <col collapsed="false" customWidth="false" hidden="false" outlineLevel="0" max="11629" min="11629" style="70" width="42.57"/>
    <col collapsed="false" customWidth="true" hidden="false" outlineLevel="0" max="11630" min="11630" style="70" width="3.29"/>
    <col collapsed="false" customWidth="true" hidden="false" outlineLevel="0" max="11631" min="11631" style="70" width="8"/>
    <col collapsed="false" customWidth="false" hidden="false" outlineLevel="0" max="11632" min="11632" style="70" width="42.57"/>
    <col collapsed="false" customWidth="true" hidden="false" outlineLevel="0" max="11633" min="11633" style="70" width="3.29"/>
    <col collapsed="false" customWidth="true" hidden="false" outlineLevel="0" max="11634" min="11634" style="70" width="8"/>
    <col collapsed="false" customWidth="false" hidden="false" outlineLevel="0" max="11635" min="11635" style="70" width="42.57"/>
    <col collapsed="false" customWidth="true" hidden="false" outlineLevel="0" max="11636" min="11636" style="70" width="3.29"/>
    <col collapsed="false" customWidth="true" hidden="false" outlineLevel="0" max="11637" min="11637" style="70" width="8"/>
    <col collapsed="false" customWidth="false" hidden="false" outlineLevel="0" max="11638" min="11638" style="70" width="42.57"/>
    <col collapsed="false" customWidth="true" hidden="false" outlineLevel="0" max="11639" min="11639" style="70" width="3.29"/>
    <col collapsed="false" customWidth="true" hidden="false" outlineLevel="0" max="11640" min="11640" style="70" width="8"/>
    <col collapsed="false" customWidth="false" hidden="false" outlineLevel="0" max="11641" min="11641" style="70" width="42.57"/>
    <col collapsed="false" customWidth="true" hidden="false" outlineLevel="0" max="11642" min="11642" style="70" width="3.29"/>
    <col collapsed="false" customWidth="true" hidden="false" outlineLevel="0" max="11643" min="11643" style="70" width="8"/>
    <col collapsed="false" customWidth="false" hidden="false" outlineLevel="0" max="11644" min="11644" style="70" width="42.57"/>
    <col collapsed="false" customWidth="true" hidden="false" outlineLevel="0" max="11645" min="11645" style="70" width="3.29"/>
    <col collapsed="false" customWidth="true" hidden="false" outlineLevel="0" max="11646" min="11646" style="70" width="8"/>
    <col collapsed="false" customWidth="false" hidden="false" outlineLevel="0" max="11647" min="11647" style="70" width="42.57"/>
    <col collapsed="false" customWidth="true" hidden="false" outlineLevel="0" max="11648" min="11648" style="70" width="3.29"/>
    <col collapsed="false" customWidth="true" hidden="false" outlineLevel="0" max="11649" min="11649" style="70" width="8"/>
    <col collapsed="false" customWidth="false" hidden="false" outlineLevel="0" max="11650" min="11650" style="70" width="42.57"/>
    <col collapsed="false" customWidth="true" hidden="false" outlineLevel="0" max="11651" min="11651" style="70" width="3.29"/>
    <col collapsed="false" customWidth="true" hidden="false" outlineLevel="0" max="11652" min="11652" style="70" width="8"/>
    <col collapsed="false" customWidth="false" hidden="false" outlineLevel="0" max="11653" min="11653" style="70" width="42.57"/>
    <col collapsed="false" customWidth="true" hidden="false" outlineLevel="0" max="11654" min="11654" style="70" width="3.29"/>
    <col collapsed="false" customWidth="true" hidden="false" outlineLevel="0" max="11655" min="11655" style="70" width="8"/>
    <col collapsed="false" customWidth="false" hidden="false" outlineLevel="0" max="11656" min="11656" style="70" width="42.57"/>
    <col collapsed="false" customWidth="true" hidden="false" outlineLevel="0" max="11657" min="11657" style="70" width="3.29"/>
    <col collapsed="false" customWidth="true" hidden="false" outlineLevel="0" max="11658" min="11658" style="70" width="8"/>
    <col collapsed="false" customWidth="false" hidden="false" outlineLevel="0" max="11659" min="11659" style="70" width="42.57"/>
    <col collapsed="false" customWidth="true" hidden="false" outlineLevel="0" max="11660" min="11660" style="70" width="3.29"/>
    <col collapsed="false" customWidth="true" hidden="false" outlineLevel="0" max="11661" min="11661" style="70" width="8"/>
    <col collapsed="false" customWidth="false" hidden="false" outlineLevel="0" max="11662" min="11662" style="70" width="42.57"/>
    <col collapsed="false" customWidth="true" hidden="false" outlineLevel="0" max="11663" min="11663" style="70" width="3.29"/>
    <col collapsed="false" customWidth="true" hidden="false" outlineLevel="0" max="11664" min="11664" style="70" width="8"/>
    <col collapsed="false" customWidth="false" hidden="false" outlineLevel="0" max="11665" min="11665" style="70" width="42.57"/>
    <col collapsed="false" customWidth="true" hidden="false" outlineLevel="0" max="11666" min="11666" style="70" width="3.29"/>
    <col collapsed="false" customWidth="true" hidden="false" outlineLevel="0" max="11667" min="11667" style="70" width="8"/>
    <col collapsed="false" customWidth="false" hidden="false" outlineLevel="0" max="11668" min="11668" style="70" width="42.57"/>
    <col collapsed="false" customWidth="true" hidden="false" outlineLevel="0" max="11669" min="11669" style="70" width="3.29"/>
    <col collapsed="false" customWidth="true" hidden="false" outlineLevel="0" max="11670" min="11670" style="70" width="8"/>
    <col collapsed="false" customWidth="false" hidden="false" outlineLevel="0" max="11671" min="11671" style="70" width="42.57"/>
    <col collapsed="false" customWidth="true" hidden="false" outlineLevel="0" max="11672" min="11672" style="70" width="3.29"/>
    <col collapsed="false" customWidth="true" hidden="false" outlineLevel="0" max="11673" min="11673" style="70" width="8"/>
    <col collapsed="false" customWidth="false" hidden="false" outlineLevel="0" max="11674" min="11674" style="70" width="42.57"/>
    <col collapsed="false" customWidth="true" hidden="false" outlineLevel="0" max="11675" min="11675" style="70" width="3.29"/>
    <col collapsed="false" customWidth="true" hidden="false" outlineLevel="0" max="11676" min="11676" style="70" width="8"/>
    <col collapsed="false" customWidth="false" hidden="false" outlineLevel="0" max="11677" min="11677" style="70" width="42.57"/>
    <col collapsed="false" customWidth="true" hidden="false" outlineLevel="0" max="11678" min="11678" style="70" width="3.29"/>
    <col collapsed="false" customWidth="true" hidden="false" outlineLevel="0" max="11679" min="11679" style="70" width="8"/>
    <col collapsed="false" customWidth="false" hidden="false" outlineLevel="0" max="11680" min="11680" style="70" width="42.57"/>
    <col collapsed="false" customWidth="true" hidden="false" outlineLevel="0" max="11681" min="11681" style="70" width="3.29"/>
    <col collapsed="false" customWidth="true" hidden="false" outlineLevel="0" max="11682" min="11682" style="70" width="8"/>
    <col collapsed="false" customWidth="false" hidden="false" outlineLevel="0" max="11683" min="11683" style="70" width="42.57"/>
    <col collapsed="false" customWidth="true" hidden="false" outlineLevel="0" max="11684" min="11684" style="70" width="3.29"/>
    <col collapsed="false" customWidth="true" hidden="false" outlineLevel="0" max="11685" min="11685" style="70" width="8"/>
    <col collapsed="false" customWidth="false" hidden="false" outlineLevel="0" max="11686" min="11686" style="70" width="42.57"/>
    <col collapsed="false" customWidth="true" hidden="false" outlineLevel="0" max="11687" min="11687" style="70" width="3.29"/>
    <col collapsed="false" customWidth="true" hidden="false" outlineLevel="0" max="11688" min="11688" style="70" width="8"/>
    <col collapsed="false" customWidth="false" hidden="false" outlineLevel="0" max="11689" min="11689" style="70" width="42.57"/>
    <col collapsed="false" customWidth="true" hidden="false" outlineLevel="0" max="11690" min="11690" style="70" width="3.29"/>
    <col collapsed="false" customWidth="true" hidden="false" outlineLevel="0" max="11691" min="11691" style="70" width="8"/>
    <col collapsed="false" customWidth="false" hidden="false" outlineLevel="0" max="11692" min="11692" style="70" width="42.57"/>
    <col collapsed="false" customWidth="true" hidden="false" outlineLevel="0" max="11693" min="11693" style="70" width="3.29"/>
    <col collapsed="false" customWidth="true" hidden="false" outlineLevel="0" max="11694" min="11694" style="70" width="8"/>
    <col collapsed="false" customWidth="false" hidden="false" outlineLevel="0" max="11695" min="11695" style="70" width="42.57"/>
    <col collapsed="false" customWidth="true" hidden="false" outlineLevel="0" max="11696" min="11696" style="70" width="3.29"/>
    <col collapsed="false" customWidth="true" hidden="false" outlineLevel="0" max="11697" min="11697" style="70" width="8"/>
    <col collapsed="false" customWidth="false" hidden="false" outlineLevel="0" max="11698" min="11698" style="70" width="42.57"/>
    <col collapsed="false" customWidth="true" hidden="false" outlineLevel="0" max="11699" min="11699" style="70" width="3.29"/>
    <col collapsed="false" customWidth="true" hidden="false" outlineLevel="0" max="11700" min="11700" style="70" width="8"/>
    <col collapsed="false" customWidth="false" hidden="false" outlineLevel="0" max="11701" min="11701" style="70" width="42.57"/>
    <col collapsed="false" customWidth="true" hidden="false" outlineLevel="0" max="11702" min="11702" style="70" width="3.29"/>
    <col collapsed="false" customWidth="true" hidden="false" outlineLevel="0" max="11703" min="11703" style="70" width="8"/>
    <col collapsed="false" customWidth="false" hidden="false" outlineLevel="0" max="11704" min="11704" style="70" width="42.57"/>
    <col collapsed="false" customWidth="true" hidden="false" outlineLevel="0" max="11705" min="11705" style="70" width="3.29"/>
    <col collapsed="false" customWidth="true" hidden="false" outlineLevel="0" max="11706" min="11706" style="70" width="8"/>
    <col collapsed="false" customWidth="false" hidden="false" outlineLevel="0" max="11707" min="11707" style="70" width="42.57"/>
    <col collapsed="false" customWidth="true" hidden="false" outlineLevel="0" max="11708" min="11708" style="70" width="3.29"/>
    <col collapsed="false" customWidth="true" hidden="false" outlineLevel="0" max="11709" min="11709" style="70" width="8"/>
    <col collapsed="false" customWidth="false" hidden="false" outlineLevel="0" max="11710" min="11710" style="70" width="42.57"/>
    <col collapsed="false" customWidth="true" hidden="false" outlineLevel="0" max="11711" min="11711" style="70" width="3.29"/>
    <col collapsed="false" customWidth="true" hidden="false" outlineLevel="0" max="11712" min="11712" style="70" width="8"/>
    <col collapsed="false" customWidth="false" hidden="false" outlineLevel="0" max="11713" min="11713" style="70" width="42.57"/>
    <col collapsed="false" customWidth="true" hidden="false" outlineLevel="0" max="11714" min="11714" style="70" width="3.29"/>
    <col collapsed="false" customWidth="true" hidden="false" outlineLevel="0" max="11715" min="11715" style="70" width="8"/>
    <col collapsed="false" customWidth="false" hidden="false" outlineLevel="0" max="11716" min="11716" style="70" width="42.57"/>
    <col collapsed="false" customWidth="true" hidden="false" outlineLevel="0" max="11717" min="11717" style="70" width="3.29"/>
    <col collapsed="false" customWidth="true" hidden="false" outlineLevel="0" max="11718" min="11718" style="70" width="8"/>
    <col collapsed="false" customWidth="false" hidden="false" outlineLevel="0" max="11719" min="11719" style="70" width="42.57"/>
    <col collapsed="false" customWidth="true" hidden="false" outlineLevel="0" max="11720" min="11720" style="70" width="3.29"/>
    <col collapsed="false" customWidth="true" hidden="false" outlineLevel="0" max="11721" min="11721" style="70" width="8"/>
    <col collapsed="false" customWidth="false" hidden="false" outlineLevel="0" max="11722" min="11722" style="70" width="42.57"/>
    <col collapsed="false" customWidth="true" hidden="false" outlineLevel="0" max="11723" min="11723" style="70" width="3.29"/>
    <col collapsed="false" customWidth="true" hidden="false" outlineLevel="0" max="11724" min="11724" style="70" width="8"/>
    <col collapsed="false" customWidth="false" hidden="false" outlineLevel="0" max="11725" min="11725" style="70" width="42.57"/>
    <col collapsed="false" customWidth="true" hidden="false" outlineLevel="0" max="11726" min="11726" style="70" width="3.29"/>
    <col collapsed="false" customWidth="true" hidden="false" outlineLevel="0" max="11727" min="11727" style="70" width="8"/>
    <col collapsed="false" customWidth="false" hidden="false" outlineLevel="0" max="11728" min="11728" style="70" width="42.57"/>
    <col collapsed="false" customWidth="true" hidden="false" outlineLevel="0" max="11729" min="11729" style="70" width="3.29"/>
    <col collapsed="false" customWidth="true" hidden="false" outlineLevel="0" max="11730" min="11730" style="70" width="8"/>
    <col collapsed="false" customWidth="false" hidden="false" outlineLevel="0" max="11731" min="11731" style="70" width="42.57"/>
    <col collapsed="false" customWidth="true" hidden="false" outlineLevel="0" max="11732" min="11732" style="70" width="3.29"/>
    <col collapsed="false" customWidth="true" hidden="false" outlineLevel="0" max="11733" min="11733" style="70" width="8"/>
    <col collapsed="false" customWidth="false" hidden="false" outlineLevel="0" max="11734" min="11734" style="70" width="42.57"/>
    <col collapsed="false" customWidth="true" hidden="false" outlineLevel="0" max="11735" min="11735" style="70" width="3.29"/>
    <col collapsed="false" customWidth="true" hidden="false" outlineLevel="0" max="11736" min="11736" style="70" width="8"/>
    <col collapsed="false" customWidth="false" hidden="false" outlineLevel="0" max="11737" min="11737" style="70" width="42.57"/>
    <col collapsed="false" customWidth="true" hidden="false" outlineLevel="0" max="11738" min="11738" style="70" width="3.29"/>
    <col collapsed="false" customWidth="true" hidden="false" outlineLevel="0" max="11739" min="11739" style="70" width="8"/>
    <col collapsed="false" customWidth="false" hidden="false" outlineLevel="0" max="11740" min="11740" style="70" width="42.57"/>
    <col collapsed="false" customWidth="true" hidden="false" outlineLevel="0" max="11741" min="11741" style="70" width="3.29"/>
    <col collapsed="false" customWidth="true" hidden="false" outlineLevel="0" max="11742" min="11742" style="70" width="8"/>
    <col collapsed="false" customWidth="false" hidden="false" outlineLevel="0" max="11743" min="11743" style="70" width="42.57"/>
    <col collapsed="false" customWidth="true" hidden="false" outlineLevel="0" max="11744" min="11744" style="70" width="3.29"/>
    <col collapsed="false" customWidth="true" hidden="false" outlineLevel="0" max="11745" min="11745" style="70" width="8"/>
    <col collapsed="false" customWidth="false" hidden="false" outlineLevel="0" max="11746" min="11746" style="70" width="42.57"/>
    <col collapsed="false" customWidth="true" hidden="false" outlineLevel="0" max="11747" min="11747" style="70" width="3.29"/>
    <col collapsed="false" customWidth="true" hidden="false" outlineLevel="0" max="11748" min="11748" style="70" width="8"/>
    <col collapsed="false" customWidth="false" hidden="false" outlineLevel="0" max="11749" min="11749" style="70" width="42.57"/>
    <col collapsed="false" customWidth="true" hidden="false" outlineLevel="0" max="11750" min="11750" style="70" width="3.29"/>
    <col collapsed="false" customWidth="true" hidden="false" outlineLevel="0" max="11751" min="11751" style="70" width="8"/>
    <col collapsed="false" customWidth="false" hidden="false" outlineLevel="0" max="11752" min="11752" style="70" width="42.57"/>
    <col collapsed="false" customWidth="true" hidden="false" outlineLevel="0" max="11753" min="11753" style="70" width="3.29"/>
    <col collapsed="false" customWidth="true" hidden="false" outlineLevel="0" max="11754" min="11754" style="70" width="8"/>
    <col collapsed="false" customWidth="false" hidden="false" outlineLevel="0" max="11755" min="11755" style="70" width="42.57"/>
    <col collapsed="false" customWidth="true" hidden="false" outlineLevel="0" max="11756" min="11756" style="70" width="3.29"/>
    <col collapsed="false" customWidth="true" hidden="false" outlineLevel="0" max="11757" min="11757" style="70" width="8"/>
    <col collapsed="false" customWidth="false" hidden="false" outlineLevel="0" max="11758" min="11758" style="70" width="42.57"/>
    <col collapsed="false" customWidth="true" hidden="false" outlineLevel="0" max="11759" min="11759" style="70" width="3.29"/>
    <col collapsed="false" customWidth="true" hidden="false" outlineLevel="0" max="11760" min="11760" style="70" width="8"/>
    <col collapsed="false" customWidth="false" hidden="false" outlineLevel="0" max="11761" min="11761" style="70" width="42.57"/>
    <col collapsed="false" customWidth="true" hidden="false" outlineLevel="0" max="11762" min="11762" style="70" width="3.29"/>
    <col collapsed="false" customWidth="true" hidden="false" outlineLevel="0" max="11763" min="11763" style="70" width="8"/>
    <col collapsed="false" customWidth="false" hidden="false" outlineLevel="0" max="11764" min="11764" style="70" width="42.57"/>
    <col collapsed="false" customWidth="true" hidden="false" outlineLevel="0" max="11765" min="11765" style="70" width="3.29"/>
    <col collapsed="false" customWidth="true" hidden="false" outlineLevel="0" max="11766" min="11766" style="70" width="8"/>
    <col collapsed="false" customWidth="false" hidden="false" outlineLevel="0" max="11767" min="11767" style="70" width="42.57"/>
    <col collapsed="false" customWidth="true" hidden="false" outlineLevel="0" max="11768" min="11768" style="70" width="3.29"/>
    <col collapsed="false" customWidth="true" hidden="false" outlineLevel="0" max="11769" min="11769" style="70" width="8"/>
    <col collapsed="false" customWidth="false" hidden="false" outlineLevel="0" max="11770" min="11770" style="70" width="42.57"/>
    <col collapsed="false" customWidth="true" hidden="false" outlineLevel="0" max="11771" min="11771" style="70" width="3.29"/>
    <col collapsed="false" customWidth="true" hidden="false" outlineLevel="0" max="11772" min="11772" style="70" width="8"/>
    <col collapsed="false" customWidth="false" hidden="false" outlineLevel="0" max="11773" min="11773" style="70" width="42.57"/>
    <col collapsed="false" customWidth="true" hidden="false" outlineLevel="0" max="11774" min="11774" style="70" width="3.29"/>
    <col collapsed="false" customWidth="true" hidden="false" outlineLevel="0" max="11775" min="11775" style="70" width="8"/>
    <col collapsed="false" customWidth="false" hidden="false" outlineLevel="0" max="11776" min="11776" style="70" width="42.57"/>
    <col collapsed="false" customWidth="true" hidden="false" outlineLevel="0" max="11777" min="11777" style="70" width="3.29"/>
    <col collapsed="false" customWidth="true" hidden="false" outlineLevel="0" max="11778" min="11778" style="70" width="8"/>
    <col collapsed="false" customWidth="false" hidden="false" outlineLevel="0" max="11779" min="11779" style="70" width="42.57"/>
    <col collapsed="false" customWidth="true" hidden="false" outlineLevel="0" max="11780" min="11780" style="70" width="3.29"/>
    <col collapsed="false" customWidth="true" hidden="false" outlineLevel="0" max="11781" min="11781" style="70" width="8"/>
    <col collapsed="false" customWidth="false" hidden="false" outlineLevel="0" max="11782" min="11782" style="70" width="42.57"/>
    <col collapsed="false" customWidth="true" hidden="false" outlineLevel="0" max="11783" min="11783" style="70" width="3.29"/>
    <col collapsed="false" customWidth="true" hidden="false" outlineLevel="0" max="11784" min="11784" style="70" width="8"/>
    <col collapsed="false" customWidth="false" hidden="false" outlineLevel="0" max="11785" min="11785" style="70" width="42.57"/>
    <col collapsed="false" customWidth="true" hidden="false" outlineLevel="0" max="11786" min="11786" style="70" width="3.29"/>
    <col collapsed="false" customWidth="true" hidden="false" outlineLevel="0" max="11787" min="11787" style="70" width="8"/>
    <col collapsed="false" customWidth="false" hidden="false" outlineLevel="0" max="11788" min="11788" style="70" width="42.57"/>
    <col collapsed="false" customWidth="true" hidden="false" outlineLevel="0" max="11789" min="11789" style="70" width="3.29"/>
    <col collapsed="false" customWidth="true" hidden="false" outlineLevel="0" max="11790" min="11790" style="70" width="8"/>
    <col collapsed="false" customWidth="false" hidden="false" outlineLevel="0" max="11791" min="11791" style="70" width="42.57"/>
    <col collapsed="false" customWidth="true" hidden="false" outlineLevel="0" max="11792" min="11792" style="70" width="3.29"/>
    <col collapsed="false" customWidth="true" hidden="false" outlineLevel="0" max="11793" min="11793" style="70" width="8"/>
    <col collapsed="false" customWidth="false" hidden="false" outlineLevel="0" max="11794" min="11794" style="70" width="42.57"/>
    <col collapsed="false" customWidth="true" hidden="false" outlineLevel="0" max="11795" min="11795" style="70" width="3.29"/>
    <col collapsed="false" customWidth="true" hidden="false" outlineLevel="0" max="11796" min="11796" style="70" width="8"/>
    <col collapsed="false" customWidth="false" hidden="false" outlineLevel="0" max="11797" min="11797" style="70" width="42.57"/>
    <col collapsed="false" customWidth="true" hidden="false" outlineLevel="0" max="11798" min="11798" style="70" width="3.29"/>
    <col collapsed="false" customWidth="true" hidden="false" outlineLevel="0" max="11799" min="11799" style="70" width="8"/>
    <col collapsed="false" customWidth="false" hidden="false" outlineLevel="0" max="11800" min="11800" style="70" width="42.57"/>
    <col collapsed="false" customWidth="true" hidden="false" outlineLevel="0" max="11801" min="11801" style="70" width="3.29"/>
    <col collapsed="false" customWidth="true" hidden="false" outlineLevel="0" max="11802" min="11802" style="70" width="8"/>
    <col collapsed="false" customWidth="false" hidden="false" outlineLevel="0" max="11803" min="11803" style="70" width="42.57"/>
    <col collapsed="false" customWidth="true" hidden="false" outlineLevel="0" max="11804" min="11804" style="70" width="3.29"/>
    <col collapsed="false" customWidth="true" hidden="false" outlineLevel="0" max="11805" min="11805" style="70" width="8"/>
    <col collapsed="false" customWidth="false" hidden="false" outlineLevel="0" max="11806" min="11806" style="70" width="42.57"/>
    <col collapsed="false" customWidth="true" hidden="false" outlineLevel="0" max="11807" min="11807" style="70" width="3.29"/>
    <col collapsed="false" customWidth="true" hidden="false" outlineLevel="0" max="11808" min="11808" style="70" width="8"/>
    <col collapsed="false" customWidth="false" hidden="false" outlineLevel="0" max="11809" min="11809" style="70" width="42.57"/>
    <col collapsed="false" customWidth="true" hidden="false" outlineLevel="0" max="11810" min="11810" style="70" width="3.29"/>
    <col collapsed="false" customWidth="true" hidden="false" outlineLevel="0" max="11811" min="11811" style="70" width="8"/>
    <col collapsed="false" customWidth="false" hidden="false" outlineLevel="0" max="11812" min="11812" style="70" width="42.57"/>
    <col collapsed="false" customWidth="true" hidden="false" outlineLevel="0" max="11813" min="11813" style="70" width="3.29"/>
    <col collapsed="false" customWidth="true" hidden="false" outlineLevel="0" max="11814" min="11814" style="70" width="8"/>
    <col collapsed="false" customWidth="false" hidden="false" outlineLevel="0" max="11815" min="11815" style="70" width="42.57"/>
    <col collapsed="false" customWidth="true" hidden="false" outlineLevel="0" max="11816" min="11816" style="70" width="3.29"/>
    <col collapsed="false" customWidth="true" hidden="false" outlineLevel="0" max="11817" min="11817" style="70" width="8"/>
    <col collapsed="false" customWidth="false" hidden="false" outlineLevel="0" max="11818" min="11818" style="70" width="42.57"/>
    <col collapsed="false" customWidth="true" hidden="false" outlineLevel="0" max="11819" min="11819" style="70" width="3.29"/>
    <col collapsed="false" customWidth="true" hidden="false" outlineLevel="0" max="11820" min="11820" style="70" width="8"/>
    <col collapsed="false" customWidth="false" hidden="false" outlineLevel="0" max="11821" min="11821" style="70" width="42.57"/>
    <col collapsed="false" customWidth="true" hidden="false" outlineLevel="0" max="11822" min="11822" style="70" width="3.29"/>
    <col collapsed="false" customWidth="true" hidden="false" outlineLevel="0" max="11823" min="11823" style="70" width="8"/>
    <col collapsed="false" customWidth="false" hidden="false" outlineLevel="0" max="11824" min="11824" style="70" width="42.57"/>
    <col collapsed="false" customWidth="true" hidden="false" outlineLevel="0" max="11825" min="11825" style="70" width="3.29"/>
    <col collapsed="false" customWidth="true" hidden="false" outlineLevel="0" max="11826" min="11826" style="70" width="8"/>
    <col collapsed="false" customWidth="false" hidden="false" outlineLevel="0" max="11827" min="11827" style="70" width="42.57"/>
    <col collapsed="false" customWidth="true" hidden="false" outlineLevel="0" max="11828" min="11828" style="70" width="3.29"/>
    <col collapsed="false" customWidth="true" hidden="false" outlineLevel="0" max="11829" min="11829" style="70" width="8"/>
    <col collapsed="false" customWidth="false" hidden="false" outlineLevel="0" max="11830" min="11830" style="70" width="42.57"/>
    <col collapsed="false" customWidth="true" hidden="false" outlineLevel="0" max="11831" min="11831" style="70" width="3.29"/>
    <col collapsed="false" customWidth="true" hidden="false" outlineLevel="0" max="11832" min="11832" style="70" width="8"/>
    <col collapsed="false" customWidth="false" hidden="false" outlineLevel="0" max="11833" min="11833" style="70" width="42.57"/>
    <col collapsed="false" customWidth="true" hidden="false" outlineLevel="0" max="11834" min="11834" style="70" width="3.29"/>
    <col collapsed="false" customWidth="true" hidden="false" outlineLevel="0" max="11835" min="11835" style="70" width="8"/>
    <col collapsed="false" customWidth="false" hidden="false" outlineLevel="0" max="11836" min="11836" style="70" width="42.57"/>
    <col collapsed="false" customWidth="true" hidden="false" outlineLevel="0" max="11837" min="11837" style="70" width="3.29"/>
    <col collapsed="false" customWidth="true" hidden="false" outlineLevel="0" max="11838" min="11838" style="70" width="8"/>
    <col collapsed="false" customWidth="false" hidden="false" outlineLevel="0" max="11839" min="11839" style="70" width="42.57"/>
    <col collapsed="false" customWidth="true" hidden="false" outlineLevel="0" max="11840" min="11840" style="70" width="3.29"/>
    <col collapsed="false" customWidth="true" hidden="false" outlineLevel="0" max="11841" min="11841" style="70" width="8"/>
    <col collapsed="false" customWidth="false" hidden="false" outlineLevel="0" max="11842" min="11842" style="70" width="42.57"/>
    <col collapsed="false" customWidth="true" hidden="false" outlineLevel="0" max="11843" min="11843" style="70" width="3.29"/>
    <col collapsed="false" customWidth="true" hidden="false" outlineLevel="0" max="11844" min="11844" style="70" width="8"/>
    <col collapsed="false" customWidth="false" hidden="false" outlineLevel="0" max="11845" min="11845" style="70" width="42.57"/>
    <col collapsed="false" customWidth="true" hidden="false" outlineLevel="0" max="11846" min="11846" style="70" width="3.29"/>
    <col collapsed="false" customWidth="true" hidden="false" outlineLevel="0" max="11847" min="11847" style="70" width="8"/>
    <col collapsed="false" customWidth="false" hidden="false" outlineLevel="0" max="11848" min="11848" style="70" width="42.57"/>
    <col collapsed="false" customWidth="true" hidden="false" outlineLevel="0" max="11849" min="11849" style="70" width="3.29"/>
    <col collapsed="false" customWidth="true" hidden="false" outlineLevel="0" max="11850" min="11850" style="70" width="8"/>
    <col collapsed="false" customWidth="false" hidden="false" outlineLevel="0" max="11851" min="11851" style="70" width="42.57"/>
    <col collapsed="false" customWidth="true" hidden="false" outlineLevel="0" max="11852" min="11852" style="70" width="3.29"/>
    <col collapsed="false" customWidth="true" hidden="false" outlineLevel="0" max="11853" min="11853" style="70" width="8"/>
    <col collapsed="false" customWidth="false" hidden="false" outlineLevel="0" max="11854" min="11854" style="70" width="42.57"/>
    <col collapsed="false" customWidth="true" hidden="false" outlineLevel="0" max="11855" min="11855" style="70" width="3.29"/>
    <col collapsed="false" customWidth="true" hidden="false" outlineLevel="0" max="11856" min="11856" style="70" width="8"/>
    <col collapsed="false" customWidth="false" hidden="false" outlineLevel="0" max="11857" min="11857" style="70" width="42.57"/>
    <col collapsed="false" customWidth="true" hidden="false" outlineLevel="0" max="11858" min="11858" style="70" width="3.29"/>
    <col collapsed="false" customWidth="true" hidden="false" outlineLevel="0" max="11859" min="11859" style="70" width="8"/>
    <col collapsed="false" customWidth="false" hidden="false" outlineLevel="0" max="11860" min="11860" style="70" width="42.57"/>
    <col collapsed="false" customWidth="true" hidden="false" outlineLevel="0" max="11861" min="11861" style="70" width="3.29"/>
    <col collapsed="false" customWidth="true" hidden="false" outlineLevel="0" max="11862" min="11862" style="70" width="8"/>
    <col collapsed="false" customWidth="false" hidden="false" outlineLevel="0" max="11863" min="11863" style="70" width="42.57"/>
    <col collapsed="false" customWidth="true" hidden="false" outlineLevel="0" max="11864" min="11864" style="70" width="3.29"/>
    <col collapsed="false" customWidth="true" hidden="false" outlineLevel="0" max="11865" min="11865" style="70" width="8"/>
    <col collapsed="false" customWidth="false" hidden="false" outlineLevel="0" max="11866" min="11866" style="70" width="42.57"/>
    <col collapsed="false" customWidth="true" hidden="false" outlineLevel="0" max="11867" min="11867" style="70" width="3.29"/>
    <col collapsed="false" customWidth="true" hidden="false" outlineLevel="0" max="11868" min="11868" style="70" width="8"/>
    <col collapsed="false" customWidth="false" hidden="false" outlineLevel="0" max="11869" min="11869" style="70" width="42.57"/>
    <col collapsed="false" customWidth="true" hidden="false" outlineLevel="0" max="11870" min="11870" style="70" width="3.29"/>
    <col collapsed="false" customWidth="true" hidden="false" outlineLevel="0" max="11871" min="11871" style="70" width="8"/>
    <col collapsed="false" customWidth="false" hidden="false" outlineLevel="0" max="11872" min="11872" style="70" width="42.57"/>
    <col collapsed="false" customWidth="true" hidden="false" outlineLevel="0" max="11873" min="11873" style="70" width="3.29"/>
    <col collapsed="false" customWidth="true" hidden="false" outlineLevel="0" max="11874" min="11874" style="70" width="8"/>
    <col collapsed="false" customWidth="false" hidden="false" outlineLevel="0" max="11875" min="11875" style="70" width="42.57"/>
    <col collapsed="false" customWidth="true" hidden="false" outlineLevel="0" max="11876" min="11876" style="70" width="3.29"/>
    <col collapsed="false" customWidth="true" hidden="false" outlineLevel="0" max="11877" min="11877" style="70" width="8"/>
    <col collapsed="false" customWidth="false" hidden="false" outlineLevel="0" max="11878" min="11878" style="70" width="42.57"/>
    <col collapsed="false" customWidth="true" hidden="false" outlineLevel="0" max="11879" min="11879" style="70" width="3.29"/>
    <col collapsed="false" customWidth="true" hidden="false" outlineLevel="0" max="11880" min="11880" style="70" width="8"/>
    <col collapsed="false" customWidth="false" hidden="false" outlineLevel="0" max="11881" min="11881" style="70" width="42.57"/>
    <col collapsed="false" customWidth="true" hidden="false" outlineLevel="0" max="11882" min="11882" style="70" width="3.29"/>
    <col collapsed="false" customWidth="true" hidden="false" outlineLevel="0" max="11883" min="11883" style="70" width="8"/>
    <col collapsed="false" customWidth="false" hidden="false" outlineLevel="0" max="11884" min="11884" style="70" width="42.57"/>
    <col collapsed="false" customWidth="true" hidden="false" outlineLevel="0" max="11885" min="11885" style="70" width="3.29"/>
    <col collapsed="false" customWidth="true" hidden="false" outlineLevel="0" max="11886" min="11886" style="70" width="8"/>
    <col collapsed="false" customWidth="false" hidden="false" outlineLevel="0" max="11887" min="11887" style="70" width="42.57"/>
    <col collapsed="false" customWidth="true" hidden="false" outlineLevel="0" max="11888" min="11888" style="70" width="3.29"/>
    <col collapsed="false" customWidth="true" hidden="false" outlineLevel="0" max="11889" min="11889" style="70" width="8"/>
    <col collapsed="false" customWidth="false" hidden="false" outlineLevel="0" max="11890" min="11890" style="70" width="42.57"/>
    <col collapsed="false" customWidth="true" hidden="false" outlineLevel="0" max="11891" min="11891" style="70" width="3.29"/>
    <col collapsed="false" customWidth="true" hidden="false" outlineLevel="0" max="11892" min="11892" style="70" width="8"/>
    <col collapsed="false" customWidth="false" hidden="false" outlineLevel="0" max="11893" min="11893" style="70" width="42.57"/>
    <col collapsed="false" customWidth="true" hidden="false" outlineLevel="0" max="11894" min="11894" style="70" width="3.29"/>
    <col collapsed="false" customWidth="true" hidden="false" outlineLevel="0" max="11895" min="11895" style="70" width="8"/>
    <col collapsed="false" customWidth="false" hidden="false" outlineLevel="0" max="11896" min="11896" style="70" width="42.57"/>
    <col collapsed="false" customWidth="true" hidden="false" outlineLevel="0" max="11897" min="11897" style="70" width="3.29"/>
    <col collapsed="false" customWidth="true" hidden="false" outlineLevel="0" max="11898" min="11898" style="70" width="8"/>
    <col collapsed="false" customWidth="false" hidden="false" outlineLevel="0" max="11899" min="11899" style="70" width="42.57"/>
    <col collapsed="false" customWidth="true" hidden="false" outlineLevel="0" max="11900" min="11900" style="70" width="3.29"/>
    <col collapsed="false" customWidth="true" hidden="false" outlineLevel="0" max="11901" min="11901" style="70" width="8"/>
    <col collapsed="false" customWidth="false" hidden="false" outlineLevel="0" max="11902" min="11902" style="70" width="42.57"/>
    <col collapsed="false" customWidth="true" hidden="false" outlineLevel="0" max="11903" min="11903" style="70" width="3.29"/>
    <col collapsed="false" customWidth="true" hidden="false" outlineLevel="0" max="11904" min="11904" style="70" width="8"/>
    <col collapsed="false" customWidth="false" hidden="false" outlineLevel="0" max="11905" min="11905" style="70" width="42.57"/>
    <col collapsed="false" customWidth="true" hidden="false" outlineLevel="0" max="11906" min="11906" style="70" width="3.29"/>
    <col collapsed="false" customWidth="true" hidden="false" outlineLevel="0" max="11907" min="11907" style="70" width="8"/>
    <col collapsed="false" customWidth="false" hidden="false" outlineLevel="0" max="11908" min="11908" style="70" width="42.57"/>
    <col collapsed="false" customWidth="true" hidden="false" outlineLevel="0" max="11909" min="11909" style="70" width="3.29"/>
    <col collapsed="false" customWidth="true" hidden="false" outlineLevel="0" max="11910" min="11910" style="70" width="8"/>
    <col collapsed="false" customWidth="false" hidden="false" outlineLevel="0" max="11911" min="11911" style="70" width="42.57"/>
    <col collapsed="false" customWidth="true" hidden="false" outlineLevel="0" max="11912" min="11912" style="70" width="3.29"/>
    <col collapsed="false" customWidth="true" hidden="false" outlineLevel="0" max="11913" min="11913" style="70" width="8"/>
    <col collapsed="false" customWidth="false" hidden="false" outlineLevel="0" max="11914" min="11914" style="70" width="42.57"/>
    <col collapsed="false" customWidth="true" hidden="false" outlineLevel="0" max="11915" min="11915" style="70" width="3.29"/>
    <col collapsed="false" customWidth="true" hidden="false" outlineLevel="0" max="11916" min="11916" style="70" width="8"/>
    <col collapsed="false" customWidth="false" hidden="false" outlineLevel="0" max="11917" min="11917" style="70" width="42.57"/>
    <col collapsed="false" customWidth="true" hidden="false" outlineLevel="0" max="11918" min="11918" style="70" width="3.29"/>
    <col collapsed="false" customWidth="true" hidden="false" outlineLevel="0" max="11919" min="11919" style="70" width="8"/>
    <col collapsed="false" customWidth="false" hidden="false" outlineLevel="0" max="11920" min="11920" style="70" width="42.57"/>
    <col collapsed="false" customWidth="true" hidden="false" outlineLevel="0" max="11921" min="11921" style="70" width="3.29"/>
    <col collapsed="false" customWidth="true" hidden="false" outlineLevel="0" max="11922" min="11922" style="70" width="8"/>
    <col collapsed="false" customWidth="false" hidden="false" outlineLevel="0" max="11923" min="11923" style="70" width="42.57"/>
    <col collapsed="false" customWidth="true" hidden="false" outlineLevel="0" max="11924" min="11924" style="70" width="3.29"/>
    <col collapsed="false" customWidth="true" hidden="false" outlineLevel="0" max="11925" min="11925" style="70" width="8"/>
    <col collapsed="false" customWidth="false" hidden="false" outlineLevel="0" max="11926" min="11926" style="70" width="42.57"/>
    <col collapsed="false" customWidth="true" hidden="false" outlineLevel="0" max="11927" min="11927" style="70" width="3.29"/>
    <col collapsed="false" customWidth="true" hidden="false" outlineLevel="0" max="11928" min="11928" style="70" width="8"/>
    <col collapsed="false" customWidth="false" hidden="false" outlineLevel="0" max="11929" min="11929" style="70" width="42.57"/>
    <col collapsed="false" customWidth="true" hidden="false" outlineLevel="0" max="11930" min="11930" style="70" width="3.29"/>
    <col collapsed="false" customWidth="true" hidden="false" outlineLevel="0" max="11931" min="11931" style="70" width="8"/>
    <col collapsed="false" customWidth="false" hidden="false" outlineLevel="0" max="11932" min="11932" style="70" width="42.57"/>
    <col collapsed="false" customWidth="true" hidden="false" outlineLevel="0" max="11933" min="11933" style="70" width="3.29"/>
    <col collapsed="false" customWidth="true" hidden="false" outlineLevel="0" max="11934" min="11934" style="70" width="8"/>
    <col collapsed="false" customWidth="false" hidden="false" outlineLevel="0" max="11935" min="11935" style="70" width="42.57"/>
    <col collapsed="false" customWidth="true" hidden="false" outlineLevel="0" max="11936" min="11936" style="70" width="3.29"/>
    <col collapsed="false" customWidth="true" hidden="false" outlineLevel="0" max="11937" min="11937" style="70" width="8"/>
    <col collapsed="false" customWidth="false" hidden="false" outlineLevel="0" max="11938" min="11938" style="70" width="42.57"/>
    <col collapsed="false" customWidth="true" hidden="false" outlineLevel="0" max="11939" min="11939" style="70" width="3.29"/>
    <col collapsed="false" customWidth="true" hidden="false" outlineLevel="0" max="11940" min="11940" style="70" width="8"/>
    <col collapsed="false" customWidth="false" hidden="false" outlineLevel="0" max="11941" min="11941" style="70" width="42.57"/>
    <col collapsed="false" customWidth="true" hidden="false" outlineLevel="0" max="11942" min="11942" style="70" width="3.29"/>
    <col collapsed="false" customWidth="true" hidden="false" outlineLevel="0" max="11943" min="11943" style="70" width="8"/>
    <col collapsed="false" customWidth="false" hidden="false" outlineLevel="0" max="11944" min="11944" style="70" width="42.57"/>
    <col collapsed="false" customWidth="true" hidden="false" outlineLevel="0" max="11945" min="11945" style="70" width="3.29"/>
    <col collapsed="false" customWidth="true" hidden="false" outlineLevel="0" max="11946" min="11946" style="70" width="8"/>
    <col collapsed="false" customWidth="false" hidden="false" outlineLevel="0" max="11947" min="11947" style="70" width="42.57"/>
    <col collapsed="false" customWidth="true" hidden="false" outlineLevel="0" max="11948" min="11948" style="70" width="3.29"/>
    <col collapsed="false" customWidth="true" hidden="false" outlineLevel="0" max="11949" min="11949" style="70" width="8"/>
    <col collapsed="false" customWidth="false" hidden="false" outlineLevel="0" max="11950" min="11950" style="70" width="42.57"/>
    <col collapsed="false" customWidth="true" hidden="false" outlineLevel="0" max="11951" min="11951" style="70" width="3.29"/>
    <col collapsed="false" customWidth="true" hidden="false" outlineLevel="0" max="11952" min="11952" style="70" width="8"/>
    <col collapsed="false" customWidth="false" hidden="false" outlineLevel="0" max="11953" min="11953" style="70" width="42.57"/>
    <col collapsed="false" customWidth="true" hidden="false" outlineLevel="0" max="11954" min="11954" style="70" width="3.29"/>
    <col collapsed="false" customWidth="true" hidden="false" outlineLevel="0" max="11955" min="11955" style="70" width="8"/>
    <col collapsed="false" customWidth="false" hidden="false" outlineLevel="0" max="11956" min="11956" style="70" width="42.57"/>
    <col collapsed="false" customWidth="true" hidden="false" outlineLevel="0" max="11957" min="11957" style="70" width="3.29"/>
    <col collapsed="false" customWidth="true" hidden="false" outlineLevel="0" max="11958" min="11958" style="70" width="8"/>
    <col collapsed="false" customWidth="false" hidden="false" outlineLevel="0" max="11959" min="11959" style="70" width="42.57"/>
    <col collapsed="false" customWidth="true" hidden="false" outlineLevel="0" max="11960" min="11960" style="70" width="3.29"/>
    <col collapsed="false" customWidth="true" hidden="false" outlineLevel="0" max="11961" min="11961" style="70" width="8"/>
    <col collapsed="false" customWidth="false" hidden="false" outlineLevel="0" max="11962" min="11962" style="70" width="42.57"/>
    <col collapsed="false" customWidth="true" hidden="false" outlineLevel="0" max="11963" min="11963" style="70" width="3.29"/>
    <col collapsed="false" customWidth="true" hidden="false" outlineLevel="0" max="11964" min="11964" style="70" width="8"/>
    <col collapsed="false" customWidth="false" hidden="false" outlineLevel="0" max="11965" min="11965" style="70" width="42.57"/>
    <col collapsed="false" customWidth="true" hidden="false" outlineLevel="0" max="11966" min="11966" style="70" width="3.29"/>
    <col collapsed="false" customWidth="true" hidden="false" outlineLevel="0" max="11967" min="11967" style="70" width="8"/>
    <col collapsed="false" customWidth="false" hidden="false" outlineLevel="0" max="11968" min="11968" style="70" width="42.57"/>
    <col collapsed="false" customWidth="true" hidden="false" outlineLevel="0" max="11969" min="11969" style="70" width="3.29"/>
    <col collapsed="false" customWidth="true" hidden="false" outlineLevel="0" max="11970" min="11970" style="70" width="8"/>
    <col collapsed="false" customWidth="false" hidden="false" outlineLevel="0" max="11971" min="11971" style="70" width="42.57"/>
    <col collapsed="false" customWidth="true" hidden="false" outlineLevel="0" max="11972" min="11972" style="70" width="3.29"/>
    <col collapsed="false" customWidth="true" hidden="false" outlineLevel="0" max="11973" min="11973" style="70" width="8"/>
    <col collapsed="false" customWidth="false" hidden="false" outlineLevel="0" max="11974" min="11974" style="70" width="42.57"/>
    <col collapsed="false" customWidth="true" hidden="false" outlineLevel="0" max="11975" min="11975" style="70" width="3.29"/>
    <col collapsed="false" customWidth="true" hidden="false" outlineLevel="0" max="11976" min="11976" style="70" width="8"/>
    <col collapsed="false" customWidth="false" hidden="false" outlineLevel="0" max="11977" min="11977" style="70" width="42.57"/>
    <col collapsed="false" customWidth="true" hidden="false" outlineLevel="0" max="11978" min="11978" style="70" width="3.29"/>
    <col collapsed="false" customWidth="true" hidden="false" outlineLevel="0" max="11979" min="11979" style="70" width="8"/>
    <col collapsed="false" customWidth="false" hidden="false" outlineLevel="0" max="11980" min="11980" style="70" width="42.57"/>
    <col collapsed="false" customWidth="true" hidden="false" outlineLevel="0" max="11981" min="11981" style="70" width="3.29"/>
    <col collapsed="false" customWidth="true" hidden="false" outlineLevel="0" max="11982" min="11982" style="70" width="8"/>
    <col collapsed="false" customWidth="false" hidden="false" outlineLevel="0" max="11983" min="11983" style="70" width="42.57"/>
    <col collapsed="false" customWidth="true" hidden="false" outlineLevel="0" max="11984" min="11984" style="70" width="3.29"/>
    <col collapsed="false" customWidth="true" hidden="false" outlineLevel="0" max="11985" min="11985" style="70" width="8"/>
    <col collapsed="false" customWidth="false" hidden="false" outlineLevel="0" max="11986" min="11986" style="70" width="42.57"/>
    <col collapsed="false" customWidth="true" hidden="false" outlineLevel="0" max="11987" min="11987" style="70" width="3.29"/>
    <col collapsed="false" customWidth="true" hidden="false" outlineLevel="0" max="11988" min="11988" style="70" width="8"/>
    <col collapsed="false" customWidth="false" hidden="false" outlineLevel="0" max="11989" min="11989" style="70" width="42.57"/>
    <col collapsed="false" customWidth="true" hidden="false" outlineLevel="0" max="11990" min="11990" style="70" width="3.29"/>
    <col collapsed="false" customWidth="true" hidden="false" outlineLevel="0" max="11991" min="11991" style="70" width="8"/>
    <col collapsed="false" customWidth="false" hidden="false" outlineLevel="0" max="11992" min="11992" style="70" width="42.57"/>
    <col collapsed="false" customWidth="true" hidden="false" outlineLevel="0" max="11993" min="11993" style="70" width="3.29"/>
    <col collapsed="false" customWidth="true" hidden="false" outlineLevel="0" max="11994" min="11994" style="70" width="8"/>
    <col collapsed="false" customWidth="false" hidden="false" outlineLevel="0" max="11995" min="11995" style="70" width="42.57"/>
    <col collapsed="false" customWidth="true" hidden="false" outlineLevel="0" max="11996" min="11996" style="70" width="3.29"/>
    <col collapsed="false" customWidth="true" hidden="false" outlineLevel="0" max="11997" min="11997" style="70" width="8"/>
    <col collapsed="false" customWidth="false" hidden="false" outlineLevel="0" max="11998" min="11998" style="70" width="42.57"/>
    <col collapsed="false" customWidth="true" hidden="false" outlineLevel="0" max="11999" min="11999" style="70" width="3.29"/>
    <col collapsed="false" customWidth="true" hidden="false" outlineLevel="0" max="12000" min="12000" style="70" width="8"/>
    <col collapsed="false" customWidth="false" hidden="false" outlineLevel="0" max="12001" min="12001" style="70" width="42.57"/>
    <col collapsed="false" customWidth="true" hidden="false" outlineLevel="0" max="12002" min="12002" style="70" width="3.29"/>
    <col collapsed="false" customWidth="true" hidden="false" outlineLevel="0" max="12003" min="12003" style="70" width="8"/>
    <col collapsed="false" customWidth="false" hidden="false" outlineLevel="0" max="12004" min="12004" style="70" width="42.57"/>
    <col collapsed="false" customWidth="true" hidden="false" outlineLevel="0" max="12005" min="12005" style="70" width="3.29"/>
    <col collapsed="false" customWidth="true" hidden="false" outlineLevel="0" max="12006" min="12006" style="70" width="8"/>
    <col collapsed="false" customWidth="false" hidden="false" outlineLevel="0" max="12007" min="12007" style="70" width="42.57"/>
    <col collapsed="false" customWidth="true" hidden="false" outlineLevel="0" max="12008" min="12008" style="70" width="3.29"/>
    <col collapsed="false" customWidth="true" hidden="false" outlineLevel="0" max="12009" min="12009" style="70" width="8"/>
    <col collapsed="false" customWidth="false" hidden="false" outlineLevel="0" max="12010" min="12010" style="70" width="42.57"/>
    <col collapsed="false" customWidth="true" hidden="false" outlineLevel="0" max="12011" min="12011" style="70" width="3.29"/>
    <col collapsed="false" customWidth="true" hidden="false" outlineLevel="0" max="12012" min="12012" style="70" width="8"/>
    <col collapsed="false" customWidth="false" hidden="false" outlineLevel="0" max="12013" min="12013" style="70" width="42.57"/>
    <col collapsed="false" customWidth="true" hidden="false" outlineLevel="0" max="12014" min="12014" style="70" width="3.29"/>
    <col collapsed="false" customWidth="true" hidden="false" outlineLevel="0" max="12015" min="12015" style="70" width="8"/>
    <col collapsed="false" customWidth="false" hidden="false" outlineLevel="0" max="12016" min="12016" style="70" width="42.57"/>
    <col collapsed="false" customWidth="true" hidden="false" outlineLevel="0" max="12017" min="12017" style="70" width="3.29"/>
    <col collapsed="false" customWidth="true" hidden="false" outlineLevel="0" max="12018" min="12018" style="70" width="8"/>
    <col collapsed="false" customWidth="false" hidden="false" outlineLevel="0" max="12019" min="12019" style="70" width="42.57"/>
    <col collapsed="false" customWidth="true" hidden="false" outlineLevel="0" max="12020" min="12020" style="70" width="3.29"/>
    <col collapsed="false" customWidth="true" hidden="false" outlineLevel="0" max="12021" min="12021" style="70" width="8"/>
    <col collapsed="false" customWidth="false" hidden="false" outlineLevel="0" max="12022" min="12022" style="70" width="42.57"/>
    <col collapsed="false" customWidth="true" hidden="false" outlineLevel="0" max="12023" min="12023" style="70" width="3.29"/>
    <col collapsed="false" customWidth="true" hidden="false" outlineLevel="0" max="12024" min="12024" style="70" width="8"/>
    <col collapsed="false" customWidth="false" hidden="false" outlineLevel="0" max="12025" min="12025" style="70" width="42.57"/>
    <col collapsed="false" customWidth="true" hidden="false" outlineLevel="0" max="12026" min="12026" style="70" width="3.29"/>
    <col collapsed="false" customWidth="true" hidden="false" outlineLevel="0" max="12027" min="12027" style="70" width="8"/>
    <col collapsed="false" customWidth="false" hidden="false" outlineLevel="0" max="12028" min="12028" style="70" width="42.57"/>
    <col collapsed="false" customWidth="true" hidden="false" outlineLevel="0" max="12029" min="12029" style="70" width="3.29"/>
    <col collapsed="false" customWidth="true" hidden="false" outlineLevel="0" max="12030" min="12030" style="70" width="8"/>
    <col collapsed="false" customWidth="false" hidden="false" outlineLevel="0" max="12031" min="12031" style="70" width="42.57"/>
    <col collapsed="false" customWidth="true" hidden="false" outlineLevel="0" max="12032" min="12032" style="70" width="3.29"/>
    <col collapsed="false" customWidth="true" hidden="false" outlineLevel="0" max="12033" min="12033" style="70" width="8"/>
    <col collapsed="false" customWidth="false" hidden="false" outlineLevel="0" max="12034" min="12034" style="70" width="42.57"/>
    <col collapsed="false" customWidth="true" hidden="false" outlineLevel="0" max="12035" min="12035" style="70" width="3.29"/>
    <col collapsed="false" customWidth="true" hidden="false" outlineLevel="0" max="12036" min="12036" style="70" width="8"/>
    <col collapsed="false" customWidth="false" hidden="false" outlineLevel="0" max="12037" min="12037" style="70" width="42.57"/>
    <col collapsed="false" customWidth="true" hidden="false" outlineLevel="0" max="12038" min="12038" style="70" width="3.29"/>
    <col collapsed="false" customWidth="true" hidden="false" outlineLevel="0" max="12039" min="12039" style="70" width="8"/>
    <col collapsed="false" customWidth="false" hidden="false" outlineLevel="0" max="12040" min="12040" style="70" width="42.57"/>
    <col collapsed="false" customWidth="true" hidden="false" outlineLevel="0" max="12041" min="12041" style="70" width="3.29"/>
    <col collapsed="false" customWidth="true" hidden="false" outlineLevel="0" max="12042" min="12042" style="70" width="8"/>
    <col collapsed="false" customWidth="false" hidden="false" outlineLevel="0" max="12043" min="12043" style="70" width="42.57"/>
    <col collapsed="false" customWidth="true" hidden="false" outlineLevel="0" max="12044" min="12044" style="70" width="3.29"/>
    <col collapsed="false" customWidth="true" hidden="false" outlineLevel="0" max="12045" min="12045" style="70" width="8"/>
    <col collapsed="false" customWidth="false" hidden="false" outlineLevel="0" max="12046" min="12046" style="70" width="42.57"/>
    <col collapsed="false" customWidth="true" hidden="false" outlineLevel="0" max="12047" min="12047" style="70" width="3.29"/>
    <col collapsed="false" customWidth="true" hidden="false" outlineLevel="0" max="12048" min="12048" style="70" width="8"/>
    <col collapsed="false" customWidth="false" hidden="false" outlineLevel="0" max="12049" min="12049" style="70" width="42.57"/>
    <col collapsed="false" customWidth="true" hidden="false" outlineLevel="0" max="12050" min="12050" style="70" width="3.29"/>
    <col collapsed="false" customWidth="true" hidden="false" outlineLevel="0" max="12051" min="12051" style="70" width="8"/>
    <col collapsed="false" customWidth="false" hidden="false" outlineLevel="0" max="12052" min="12052" style="70" width="42.57"/>
    <col collapsed="false" customWidth="true" hidden="false" outlineLevel="0" max="12053" min="12053" style="70" width="3.29"/>
    <col collapsed="false" customWidth="true" hidden="false" outlineLevel="0" max="12054" min="12054" style="70" width="8"/>
    <col collapsed="false" customWidth="false" hidden="false" outlineLevel="0" max="12055" min="12055" style="70" width="42.57"/>
    <col collapsed="false" customWidth="true" hidden="false" outlineLevel="0" max="12056" min="12056" style="70" width="3.29"/>
    <col collapsed="false" customWidth="true" hidden="false" outlineLevel="0" max="12057" min="12057" style="70" width="8"/>
    <col collapsed="false" customWidth="false" hidden="false" outlineLevel="0" max="12058" min="12058" style="70" width="42.57"/>
    <col collapsed="false" customWidth="true" hidden="false" outlineLevel="0" max="12059" min="12059" style="70" width="3.29"/>
    <col collapsed="false" customWidth="true" hidden="false" outlineLevel="0" max="12060" min="12060" style="70" width="8"/>
    <col collapsed="false" customWidth="false" hidden="false" outlineLevel="0" max="12061" min="12061" style="70" width="42.57"/>
    <col collapsed="false" customWidth="true" hidden="false" outlineLevel="0" max="12062" min="12062" style="70" width="3.29"/>
    <col collapsed="false" customWidth="true" hidden="false" outlineLevel="0" max="12063" min="12063" style="70" width="8"/>
    <col collapsed="false" customWidth="false" hidden="false" outlineLevel="0" max="12064" min="12064" style="70" width="42.57"/>
    <col collapsed="false" customWidth="true" hidden="false" outlineLevel="0" max="12065" min="12065" style="70" width="3.29"/>
    <col collapsed="false" customWidth="true" hidden="false" outlineLevel="0" max="12066" min="12066" style="70" width="8"/>
    <col collapsed="false" customWidth="false" hidden="false" outlineLevel="0" max="12067" min="12067" style="70" width="42.57"/>
    <col collapsed="false" customWidth="true" hidden="false" outlineLevel="0" max="12068" min="12068" style="70" width="3.29"/>
    <col collapsed="false" customWidth="true" hidden="false" outlineLevel="0" max="12069" min="12069" style="70" width="8"/>
    <col collapsed="false" customWidth="false" hidden="false" outlineLevel="0" max="12070" min="12070" style="70" width="42.57"/>
    <col collapsed="false" customWidth="true" hidden="false" outlineLevel="0" max="12071" min="12071" style="70" width="3.29"/>
    <col collapsed="false" customWidth="true" hidden="false" outlineLevel="0" max="12072" min="12072" style="70" width="8"/>
    <col collapsed="false" customWidth="false" hidden="false" outlineLevel="0" max="12073" min="12073" style="70" width="42.57"/>
    <col collapsed="false" customWidth="true" hidden="false" outlineLevel="0" max="12074" min="12074" style="70" width="3.29"/>
    <col collapsed="false" customWidth="true" hidden="false" outlineLevel="0" max="12075" min="12075" style="70" width="8"/>
    <col collapsed="false" customWidth="false" hidden="false" outlineLevel="0" max="12076" min="12076" style="70" width="42.57"/>
    <col collapsed="false" customWidth="true" hidden="false" outlineLevel="0" max="12077" min="12077" style="70" width="3.29"/>
    <col collapsed="false" customWidth="true" hidden="false" outlineLevel="0" max="12078" min="12078" style="70" width="8"/>
    <col collapsed="false" customWidth="false" hidden="false" outlineLevel="0" max="12079" min="12079" style="70" width="42.57"/>
    <col collapsed="false" customWidth="true" hidden="false" outlineLevel="0" max="12080" min="12080" style="70" width="3.29"/>
    <col collapsed="false" customWidth="true" hidden="false" outlineLevel="0" max="12081" min="12081" style="70" width="8"/>
    <col collapsed="false" customWidth="false" hidden="false" outlineLevel="0" max="12082" min="12082" style="70" width="42.57"/>
    <col collapsed="false" customWidth="true" hidden="false" outlineLevel="0" max="12083" min="12083" style="70" width="3.29"/>
    <col collapsed="false" customWidth="true" hidden="false" outlineLevel="0" max="12084" min="12084" style="70" width="8"/>
    <col collapsed="false" customWidth="false" hidden="false" outlineLevel="0" max="12085" min="12085" style="70" width="42.57"/>
    <col collapsed="false" customWidth="true" hidden="false" outlineLevel="0" max="12086" min="12086" style="70" width="3.29"/>
    <col collapsed="false" customWidth="true" hidden="false" outlineLevel="0" max="12087" min="12087" style="70" width="8"/>
    <col collapsed="false" customWidth="false" hidden="false" outlineLevel="0" max="12088" min="12088" style="70" width="42.57"/>
    <col collapsed="false" customWidth="true" hidden="false" outlineLevel="0" max="12089" min="12089" style="70" width="3.29"/>
    <col collapsed="false" customWidth="true" hidden="false" outlineLevel="0" max="12090" min="12090" style="70" width="8"/>
    <col collapsed="false" customWidth="false" hidden="false" outlineLevel="0" max="12091" min="12091" style="70" width="42.57"/>
    <col collapsed="false" customWidth="true" hidden="false" outlineLevel="0" max="12092" min="12092" style="70" width="3.29"/>
    <col collapsed="false" customWidth="true" hidden="false" outlineLevel="0" max="12093" min="12093" style="70" width="8"/>
    <col collapsed="false" customWidth="false" hidden="false" outlineLevel="0" max="12094" min="12094" style="70" width="42.57"/>
    <col collapsed="false" customWidth="true" hidden="false" outlineLevel="0" max="12095" min="12095" style="70" width="3.29"/>
    <col collapsed="false" customWidth="true" hidden="false" outlineLevel="0" max="12096" min="12096" style="70" width="8"/>
    <col collapsed="false" customWidth="false" hidden="false" outlineLevel="0" max="12097" min="12097" style="70" width="42.57"/>
    <col collapsed="false" customWidth="true" hidden="false" outlineLevel="0" max="12098" min="12098" style="70" width="3.29"/>
    <col collapsed="false" customWidth="true" hidden="false" outlineLevel="0" max="12099" min="12099" style="70" width="8"/>
    <col collapsed="false" customWidth="false" hidden="false" outlineLevel="0" max="12100" min="12100" style="70" width="42.57"/>
    <col collapsed="false" customWidth="true" hidden="false" outlineLevel="0" max="12101" min="12101" style="70" width="3.29"/>
    <col collapsed="false" customWidth="true" hidden="false" outlineLevel="0" max="12102" min="12102" style="70" width="8"/>
    <col collapsed="false" customWidth="false" hidden="false" outlineLevel="0" max="12103" min="12103" style="70" width="42.57"/>
    <col collapsed="false" customWidth="true" hidden="false" outlineLevel="0" max="12104" min="12104" style="70" width="3.29"/>
    <col collapsed="false" customWidth="true" hidden="false" outlineLevel="0" max="12105" min="12105" style="70" width="8"/>
    <col collapsed="false" customWidth="false" hidden="false" outlineLevel="0" max="12106" min="12106" style="70" width="42.57"/>
    <col collapsed="false" customWidth="true" hidden="false" outlineLevel="0" max="12107" min="12107" style="70" width="3.29"/>
    <col collapsed="false" customWidth="true" hidden="false" outlineLevel="0" max="12108" min="12108" style="70" width="8"/>
    <col collapsed="false" customWidth="false" hidden="false" outlineLevel="0" max="12109" min="12109" style="70" width="42.57"/>
    <col collapsed="false" customWidth="true" hidden="false" outlineLevel="0" max="12110" min="12110" style="70" width="3.29"/>
    <col collapsed="false" customWidth="true" hidden="false" outlineLevel="0" max="12111" min="12111" style="70" width="8"/>
    <col collapsed="false" customWidth="false" hidden="false" outlineLevel="0" max="12112" min="12112" style="70" width="42.57"/>
    <col collapsed="false" customWidth="true" hidden="false" outlineLevel="0" max="12113" min="12113" style="70" width="3.29"/>
    <col collapsed="false" customWidth="true" hidden="false" outlineLevel="0" max="12114" min="12114" style="70" width="8"/>
    <col collapsed="false" customWidth="false" hidden="false" outlineLevel="0" max="12115" min="12115" style="70" width="42.57"/>
    <col collapsed="false" customWidth="true" hidden="false" outlineLevel="0" max="12116" min="12116" style="70" width="3.29"/>
    <col collapsed="false" customWidth="true" hidden="false" outlineLevel="0" max="12117" min="12117" style="70" width="8"/>
    <col collapsed="false" customWidth="false" hidden="false" outlineLevel="0" max="12118" min="12118" style="70" width="42.57"/>
    <col collapsed="false" customWidth="true" hidden="false" outlineLevel="0" max="12119" min="12119" style="70" width="3.29"/>
    <col collapsed="false" customWidth="true" hidden="false" outlineLevel="0" max="12120" min="12120" style="70" width="8"/>
    <col collapsed="false" customWidth="false" hidden="false" outlineLevel="0" max="12121" min="12121" style="70" width="42.57"/>
    <col collapsed="false" customWidth="true" hidden="false" outlineLevel="0" max="12122" min="12122" style="70" width="3.29"/>
    <col collapsed="false" customWidth="true" hidden="false" outlineLevel="0" max="12123" min="12123" style="70" width="8"/>
    <col collapsed="false" customWidth="false" hidden="false" outlineLevel="0" max="12124" min="12124" style="70" width="42.57"/>
    <col collapsed="false" customWidth="true" hidden="false" outlineLevel="0" max="12125" min="12125" style="70" width="3.29"/>
    <col collapsed="false" customWidth="true" hidden="false" outlineLevel="0" max="12126" min="12126" style="70" width="8"/>
    <col collapsed="false" customWidth="false" hidden="false" outlineLevel="0" max="12127" min="12127" style="70" width="42.57"/>
    <col collapsed="false" customWidth="true" hidden="false" outlineLevel="0" max="12128" min="12128" style="70" width="3.29"/>
    <col collapsed="false" customWidth="true" hidden="false" outlineLevel="0" max="12129" min="12129" style="70" width="8"/>
    <col collapsed="false" customWidth="false" hidden="false" outlineLevel="0" max="12130" min="12130" style="70" width="42.57"/>
    <col collapsed="false" customWidth="true" hidden="false" outlineLevel="0" max="12131" min="12131" style="70" width="3.29"/>
    <col collapsed="false" customWidth="true" hidden="false" outlineLevel="0" max="12132" min="12132" style="70" width="8"/>
    <col collapsed="false" customWidth="false" hidden="false" outlineLevel="0" max="12133" min="12133" style="70" width="42.57"/>
    <col collapsed="false" customWidth="true" hidden="false" outlineLevel="0" max="12134" min="12134" style="70" width="3.29"/>
    <col collapsed="false" customWidth="true" hidden="false" outlineLevel="0" max="12135" min="12135" style="70" width="8"/>
    <col collapsed="false" customWidth="false" hidden="false" outlineLevel="0" max="12136" min="12136" style="70" width="42.57"/>
    <col collapsed="false" customWidth="true" hidden="false" outlineLevel="0" max="12137" min="12137" style="70" width="3.29"/>
    <col collapsed="false" customWidth="true" hidden="false" outlineLevel="0" max="12138" min="12138" style="70" width="8"/>
    <col collapsed="false" customWidth="false" hidden="false" outlineLevel="0" max="12139" min="12139" style="70" width="42.57"/>
    <col collapsed="false" customWidth="true" hidden="false" outlineLevel="0" max="12140" min="12140" style="70" width="3.29"/>
    <col collapsed="false" customWidth="true" hidden="false" outlineLevel="0" max="12141" min="12141" style="70" width="8"/>
    <col collapsed="false" customWidth="false" hidden="false" outlineLevel="0" max="12142" min="12142" style="70" width="42.57"/>
    <col collapsed="false" customWidth="true" hidden="false" outlineLevel="0" max="12143" min="12143" style="70" width="3.29"/>
    <col collapsed="false" customWidth="true" hidden="false" outlineLevel="0" max="12144" min="12144" style="70" width="8"/>
    <col collapsed="false" customWidth="false" hidden="false" outlineLevel="0" max="12145" min="12145" style="70" width="42.57"/>
    <col collapsed="false" customWidth="true" hidden="false" outlineLevel="0" max="12146" min="12146" style="70" width="3.29"/>
    <col collapsed="false" customWidth="true" hidden="false" outlineLevel="0" max="12147" min="12147" style="70" width="8"/>
    <col collapsed="false" customWidth="false" hidden="false" outlineLevel="0" max="12148" min="12148" style="70" width="42.57"/>
    <col collapsed="false" customWidth="true" hidden="false" outlineLevel="0" max="12149" min="12149" style="70" width="3.29"/>
    <col collapsed="false" customWidth="true" hidden="false" outlineLevel="0" max="12150" min="12150" style="70" width="8"/>
    <col collapsed="false" customWidth="false" hidden="false" outlineLevel="0" max="12151" min="12151" style="70" width="42.57"/>
    <col collapsed="false" customWidth="true" hidden="false" outlineLevel="0" max="12152" min="12152" style="70" width="3.29"/>
    <col collapsed="false" customWidth="true" hidden="false" outlineLevel="0" max="12153" min="12153" style="70" width="8"/>
    <col collapsed="false" customWidth="false" hidden="false" outlineLevel="0" max="12154" min="12154" style="70" width="42.57"/>
    <col collapsed="false" customWidth="true" hidden="false" outlineLevel="0" max="12155" min="12155" style="70" width="3.29"/>
    <col collapsed="false" customWidth="true" hidden="false" outlineLevel="0" max="12156" min="12156" style="70" width="8"/>
    <col collapsed="false" customWidth="false" hidden="false" outlineLevel="0" max="12157" min="12157" style="70" width="42.57"/>
    <col collapsed="false" customWidth="true" hidden="false" outlineLevel="0" max="12158" min="12158" style="70" width="3.29"/>
    <col collapsed="false" customWidth="true" hidden="false" outlineLevel="0" max="12159" min="12159" style="70" width="8"/>
    <col collapsed="false" customWidth="false" hidden="false" outlineLevel="0" max="12160" min="12160" style="70" width="42.57"/>
    <col collapsed="false" customWidth="true" hidden="false" outlineLevel="0" max="12161" min="12161" style="70" width="3.29"/>
    <col collapsed="false" customWidth="true" hidden="false" outlineLevel="0" max="12162" min="12162" style="70" width="8"/>
    <col collapsed="false" customWidth="false" hidden="false" outlineLevel="0" max="12163" min="12163" style="70" width="42.57"/>
    <col collapsed="false" customWidth="true" hidden="false" outlineLevel="0" max="12164" min="12164" style="70" width="3.29"/>
    <col collapsed="false" customWidth="true" hidden="false" outlineLevel="0" max="12165" min="12165" style="70" width="8"/>
    <col collapsed="false" customWidth="false" hidden="false" outlineLevel="0" max="12166" min="12166" style="70" width="42.57"/>
    <col collapsed="false" customWidth="true" hidden="false" outlineLevel="0" max="12167" min="12167" style="70" width="3.29"/>
    <col collapsed="false" customWidth="true" hidden="false" outlineLevel="0" max="12168" min="12168" style="70" width="8"/>
    <col collapsed="false" customWidth="false" hidden="false" outlineLevel="0" max="12169" min="12169" style="70" width="42.57"/>
    <col collapsed="false" customWidth="true" hidden="false" outlineLevel="0" max="12170" min="12170" style="70" width="3.29"/>
    <col collapsed="false" customWidth="true" hidden="false" outlineLevel="0" max="12171" min="12171" style="70" width="8"/>
    <col collapsed="false" customWidth="false" hidden="false" outlineLevel="0" max="12172" min="12172" style="70" width="42.57"/>
    <col collapsed="false" customWidth="true" hidden="false" outlineLevel="0" max="12173" min="12173" style="70" width="3.29"/>
    <col collapsed="false" customWidth="true" hidden="false" outlineLevel="0" max="12174" min="12174" style="70" width="8"/>
    <col collapsed="false" customWidth="false" hidden="false" outlineLevel="0" max="12175" min="12175" style="70" width="42.57"/>
    <col collapsed="false" customWidth="true" hidden="false" outlineLevel="0" max="12176" min="12176" style="70" width="3.29"/>
    <col collapsed="false" customWidth="true" hidden="false" outlineLevel="0" max="12177" min="12177" style="70" width="8"/>
    <col collapsed="false" customWidth="false" hidden="false" outlineLevel="0" max="12178" min="12178" style="70" width="42.57"/>
    <col collapsed="false" customWidth="true" hidden="false" outlineLevel="0" max="12179" min="12179" style="70" width="3.29"/>
    <col collapsed="false" customWidth="true" hidden="false" outlineLevel="0" max="12180" min="12180" style="70" width="8"/>
    <col collapsed="false" customWidth="false" hidden="false" outlineLevel="0" max="12181" min="12181" style="70" width="42.57"/>
    <col collapsed="false" customWidth="true" hidden="false" outlineLevel="0" max="12182" min="12182" style="70" width="3.29"/>
    <col collapsed="false" customWidth="true" hidden="false" outlineLevel="0" max="12183" min="12183" style="70" width="8"/>
    <col collapsed="false" customWidth="false" hidden="false" outlineLevel="0" max="12184" min="12184" style="70" width="42.57"/>
    <col collapsed="false" customWidth="true" hidden="false" outlineLevel="0" max="12185" min="12185" style="70" width="3.29"/>
    <col collapsed="false" customWidth="true" hidden="false" outlineLevel="0" max="12186" min="12186" style="70" width="8"/>
    <col collapsed="false" customWidth="false" hidden="false" outlineLevel="0" max="12187" min="12187" style="70" width="42.57"/>
    <col collapsed="false" customWidth="true" hidden="false" outlineLevel="0" max="12188" min="12188" style="70" width="3.29"/>
    <col collapsed="false" customWidth="true" hidden="false" outlineLevel="0" max="12189" min="12189" style="70" width="8"/>
    <col collapsed="false" customWidth="false" hidden="false" outlineLevel="0" max="12190" min="12190" style="70" width="42.57"/>
    <col collapsed="false" customWidth="true" hidden="false" outlineLevel="0" max="12191" min="12191" style="70" width="3.29"/>
    <col collapsed="false" customWidth="true" hidden="false" outlineLevel="0" max="12192" min="12192" style="70" width="8"/>
    <col collapsed="false" customWidth="false" hidden="false" outlineLevel="0" max="12193" min="12193" style="70" width="42.57"/>
    <col collapsed="false" customWidth="true" hidden="false" outlineLevel="0" max="12194" min="12194" style="70" width="3.29"/>
    <col collapsed="false" customWidth="true" hidden="false" outlineLevel="0" max="12195" min="12195" style="70" width="8"/>
    <col collapsed="false" customWidth="false" hidden="false" outlineLevel="0" max="12196" min="12196" style="70" width="42.57"/>
    <col collapsed="false" customWidth="true" hidden="false" outlineLevel="0" max="12197" min="12197" style="70" width="3.29"/>
    <col collapsed="false" customWidth="true" hidden="false" outlineLevel="0" max="12198" min="12198" style="70" width="8"/>
    <col collapsed="false" customWidth="false" hidden="false" outlineLevel="0" max="12199" min="12199" style="70" width="42.57"/>
    <col collapsed="false" customWidth="true" hidden="false" outlineLevel="0" max="12200" min="12200" style="70" width="3.29"/>
    <col collapsed="false" customWidth="true" hidden="false" outlineLevel="0" max="12201" min="12201" style="70" width="8"/>
    <col collapsed="false" customWidth="false" hidden="false" outlineLevel="0" max="12202" min="12202" style="70" width="42.57"/>
    <col collapsed="false" customWidth="true" hidden="false" outlineLevel="0" max="12203" min="12203" style="70" width="3.29"/>
    <col collapsed="false" customWidth="true" hidden="false" outlineLevel="0" max="12204" min="12204" style="70" width="8"/>
    <col collapsed="false" customWidth="false" hidden="false" outlineLevel="0" max="12205" min="12205" style="70" width="42.57"/>
    <col collapsed="false" customWidth="true" hidden="false" outlineLevel="0" max="12206" min="12206" style="70" width="3.29"/>
    <col collapsed="false" customWidth="true" hidden="false" outlineLevel="0" max="12207" min="12207" style="70" width="8"/>
    <col collapsed="false" customWidth="false" hidden="false" outlineLevel="0" max="12208" min="12208" style="70" width="42.57"/>
    <col collapsed="false" customWidth="true" hidden="false" outlineLevel="0" max="12209" min="12209" style="70" width="3.29"/>
    <col collapsed="false" customWidth="true" hidden="false" outlineLevel="0" max="12210" min="12210" style="70" width="8"/>
    <col collapsed="false" customWidth="false" hidden="false" outlineLevel="0" max="12211" min="12211" style="70" width="42.57"/>
    <col collapsed="false" customWidth="true" hidden="false" outlineLevel="0" max="12212" min="12212" style="70" width="3.29"/>
    <col collapsed="false" customWidth="true" hidden="false" outlineLevel="0" max="12213" min="12213" style="70" width="8"/>
    <col collapsed="false" customWidth="false" hidden="false" outlineLevel="0" max="12214" min="12214" style="70" width="42.57"/>
    <col collapsed="false" customWidth="true" hidden="false" outlineLevel="0" max="12215" min="12215" style="70" width="3.29"/>
    <col collapsed="false" customWidth="true" hidden="false" outlineLevel="0" max="12216" min="12216" style="70" width="8"/>
    <col collapsed="false" customWidth="false" hidden="false" outlineLevel="0" max="12217" min="12217" style="70" width="42.57"/>
    <col collapsed="false" customWidth="true" hidden="false" outlineLevel="0" max="12218" min="12218" style="70" width="3.29"/>
    <col collapsed="false" customWidth="true" hidden="false" outlineLevel="0" max="12219" min="12219" style="70" width="8"/>
    <col collapsed="false" customWidth="false" hidden="false" outlineLevel="0" max="12220" min="12220" style="70" width="42.57"/>
    <col collapsed="false" customWidth="true" hidden="false" outlineLevel="0" max="12221" min="12221" style="70" width="3.29"/>
    <col collapsed="false" customWidth="true" hidden="false" outlineLevel="0" max="12222" min="12222" style="70" width="8"/>
    <col collapsed="false" customWidth="false" hidden="false" outlineLevel="0" max="12223" min="12223" style="70" width="42.57"/>
    <col collapsed="false" customWidth="true" hidden="false" outlineLevel="0" max="12224" min="12224" style="70" width="3.29"/>
    <col collapsed="false" customWidth="true" hidden="false" outlineLevel="0" max="12225" min="12225" style="70" width="8"/>
    <col collapsed="false" customWidth="false" hidden="false" outlineLevel="0" max="12226" min="12226" style="70" width="42.57"/>
    <col collapsed="false" customWidth="true" hidden="false" outlineLevel="0" max="12227" min="12227" style="70" width="3.29"/>
    <col collapsed="false" customWidth="true" hidden="false" outlineLevel="0" max="12228" min="12228" style="70" width="8"/>
    <col collapsed="false" customWidth="false" hidden="false" outlineLevel="0" max="12229" min="12229" style="70" width="42.57"/>
    <col collapsed="false" customWidth="true" hidden="false" outlineLevel="0" max="12230" min="12230" style="70" width="3.29"/>
    <col collapsed="false" customWidth="true" hidden="false" outlineLevel="0" max="12231" min="12231" style="70" width="8"/>
    <col collapsed="false" customWidth="false" hidden="false" outlineLevel="0" max="12232" min="12232" style="70" width="42.57"/>
    <col collapsed="false" customWidth="true" hidden="false" outlineLevel="0" max="12233" min="12233" style="70" width="3.29"/>
    <col collapsed="false" customWidth="true" hidden="false" outlineLevel="0" max="12234" min="12234" style="70" width="8"/>
    <col collapsed="false" customWidth="false" hidden="false" outlineLevel="0" max="12235" min="12235" style="70" width="42.57"/>
    <col collapsed="false" customWidth="true" hidden="false" outlineLevel="0" max="12236" min="12236" style="70" width="3.29"/>
    <col collapsed="false" customWidth="true" hidden="false" outlineLevel="0" max="12237" min="12237" style="70" width="8"/>
    <col collapsed="false" customWidth="false" hidden="false" outlineLevel="0" max="12238" min="12238" style="70" width="42.57"/>
    <col collapsed="false" customWidth="true" hidden="false" outlineLevel="0" max="12239" min="12239" style="70" width="3.29"/>
    <col collapsed="false" customWidth="true" hidden="false" outlineLevel="0" max="12240" min="12240" style="70" width="8"/>
    <col collapsed="false" customWidth="false" hidden="false" outlineLevel="0" max="12241" min="12241" style="70" width="42.57"/>
    <col collapsed="false" customWidth="true" hidden="false" outlineLevel="0" max="12242" min="12242" style="70" width="3.29"/>
    <col collapsed="false" customWidth="true" hidden="false" outlineLevel="0" max="12243" min="12243" style="70" width="8"/>
    <col collapsed="false" customWidth="false" hidden="false" outlineLevel="0" max="12244" min="12244" style="70" width="42.57"/>
    <col collapsed="false" customWidth="true" hidden="false" outlineLevel="0" max="12245" min="12245" style="70" width="3.29"/>
    <col collapsed="false" customWidth="true" hidden="false" outlineLevel="0" max="12246" min="12246" style="70" width="8"/>
    <col collapsed="false" customWidth="false" hidden="false" outlineLevel="0" max="12247" min="12247" style="70" width="42.57"/>
    <col collapsed="false" customWidth="true" hidden="false" outlineLevel="0" max="12248" min="12248" style="70" width="3.29"/>
    <col collapsed="false" customWidth="true" hidden="false" outlineLevel="0" max="12249" min="12249" style="70" width="8"/>
    <col collapsed="false" customWidth="false" hidden="false" outlineLevel="0" max="12250" min="12250" style="70" width="42.57"/>
    <col collapsed="false" customWidth="true" hidden="false" outlineLevel="0" max="12251" min="12251" style="70" width="3.29"/>
    <col collapsed="false" customWidth="true" hidden="false" outlineLevel="0" max="12252" min="12252" style="70" width="8"/>
    <col collapsed="false" customWidth="false" hidden="false" outlineLevel="0" max="12253" min="12253" style="70" width="42.57"/>
    <col collapsed="false" customWidth="true" hidden="false" outlineLevel="0" max="12254" min="12254" style="70" width="3.29"/>
    <col collapsed="false" customWidth="true" hidden="false" outlineLevel="0" max="12255" min="12255" style="70" width="8"/>
    <col collapsed="false" customWidth="false" hidden="false" outlineLevel="0" max="12256" min="12256" style="70" width="42.57"/>
    <col collapsed="false" customWidth="true" hidden="false" outlineLevel="0" max="12257" min="12257" style="70" width="3.29"/>
    <col collapsed="false" customWidth="true" hidden="false" outlineLevel="0" max="12258" min="12258" style="70" width="8"/>
    <col collapsed="false" customWidth="false" hidden="false" outlineLevel="0" max="12259" min="12259" style="70" width="42.57"/>
    <col collapsed="false" customWidth="true" hidden="false" outlineLevel="0" max="12260" min="12260" style="70" width="3.29"/>
    <col collapsed="false" customWidth="true" hidden="false" outlineLevel="0" max="12261" min="12261" style="70" width="8"/>
    <col collapsed="false" customWidth="false" hidden="false" outlineLevel="0" max="12262" min="12262" style="70" width="42.57"/>
    <col collapsed="false" customWidth="true" hidden="false" outlineLevel="0" max="12263" min="12263" style="70" width="3.29"/>
    <col collapsed="false" customWidth="true" hidden="false" outlineLevel="0" max="12264" min="12264" style="70" width="8"/>
    <col collapsed="false" customWidth="false" hidden="false" outlineLevel="0" max="12265" min="12265" style="70" width="42.57"/>
    <col collapsed="false" customWidth="true" hidden="false" outlineLevel="0" max="12266" min="12266" style="70" width="3.29"/>
    <col collapsed="false" customWidth="true" hidden="false" outlineLevel="0" max="12267" min="12267" style="70" width="8"/>
    <col collapsed="false" customWidth="false" hidden="false" outlineLevel="0" max="12268" min="12268" style="70" width="42.57"/>
    <col collapsed="false" customWidth="true" hidden="false" outlineLevel="0" max="12269" min="12269" style="70" width="3.29"/>
    <col collapsed="false" customWidth="true" hidden="false" outlineLevel="0" max="12270" min="12270" style="70" width="8"/>
    <col collapsed="false" customWidth="false" hidden="false" outlineLevel="0" max="12271" min="12271" style="70" width="42.57"/>
    <col collapsed="false" customWidth="true" hidden="false" outlineLevel="0" max="12272" min="12272" style="70" width="3.29"/>
    <col collapsed="false" customWidth="true" hidden="false" outlineLevel="0" max="12273" min="12273" style="70" width="8"/>
    <col collapsed="false" customWidth="false" hidden="false" outlineLevel="0" max="12274" min="12274" style="70" width="42.57"/>
    <col collapsed="false" customWidth="true" hidden="false" outlineLevel="0" max="12275" min="12275" style="70" width="3.29"/>
    <col collapsed="false" customWidth="true" hidden="false" outlineLevel="0" max="12276" min="12276" style="70" width="8"/>
    <col collapsed="false" customWidth="false" hidden="false" outlineLevel="0" max="12277" min="12277" style="70" width="42.57"/>
    <col collapsed="false" customWidth="true" hidden="false" outlineLevel="0" max="12278" min="12278" style="70" width="3.29"/>
    <col collapsed="false" customWidth="true" hidden="false" outlineLevel="0" max="12279" min="12279" style="70" width="8"/>
    <col collapsed="false" customWidth="false" hidden="false" outlineLevel="0" max="12280" min="12280" style="70" width="42.57"/>
    <col collapsed="false" customWidth="true" hidden="false" outlineLevel="0" max="12281" min="12281" style="70" width="3.29"/>
    <col collapsed="false" customWidth="true" hidden="false" outlineLevel="0" max="12282" min="12282" style="70" width="8"/>
    <col collapsed="false" customWidth="false" hidden="false" outlineLevel="0" max="12283" min="12283" style="70" width="42.57"/>
    <col collapsed="false" customWidth="true" hidden="false" outlineLevel="0" max="12284" min="12284" style="70" width="3.29"/>
    <col collapsed="false" customWidth="true" hidden="false" outlineLevel="0" max="12285" min="12285" style="70" width="8"/>
    <col collapsed="false" customWidth="false" hidden="false" outlineLevel="0" max="12286" min="12286" style="70" width="42.57"/>
    <col collapsed="false" customWidth="true" hidden="false" outlineLevel="0" max="12287" min="12287" style="70" width="3.29"/>
    <col collapsed="false" customWidth="true" hidden="false" outlineLevel="0" max="12288" min="12288" style="70" width="8"/>
    <col collapsed="false" customWidth="false" hidden="false" outlineLevel="0" max="12289" min="12289" style="70" width="42.57"/>
    <col collapsed="false" customWidth="true" hidden="false" outlineLevel="0" max="12290" min="12290" style="70" width="3.29"/>
    <col collapsed="false" customWidth="true" hidden="false" outlineLevel="0" max="12291" min="12291" style="70" width="8"/>
    <col collapsed="false" customWidth="false" hidden="false" outlineLevel="0" max="12292" min="12292" style="70" width="42.57"/>
    <col collapsed="false" customWidth="true" hidden="false" outlineLevel="0" max="12293" min="12293" style="70" width="3.29"/>
    <col collapsed="false" customWidth="true" hidden="false" outlineLevel="0" max="12294" min="12294" style="70" width="8"/>
    <col collapsed="false" customWidth="false" hidden="false" outlineLevel="0" max="12295" min="12295" style="70" width="42.57"/>
    <col collapsed="false" customWidth="true" hidden="false" outlineLevel="0" max="12296" min="12296" style="70" width="3.29"/>
    <col collapsed="false" customWidth="true" hidden="false" outlineLevel="0" max="12297" min="12297" style="70" width="8"/>
    <col collapsed="false" customWidth="false" hidden="false" outlineLevel="0" max="12298" min="12298" style="70" width="42.57"/>
    <col collapsed="false" customWidth="true" hidden="false" outlineLevel="0" max="12299" min="12299" style="70" width="3.29"/>
    <col collapsed="false" customWidth="true" hidden="false" outlineLevel="0" max="12300" min="12300" style="70" width="8"/>
    <col collapsed="false" customWidth="false" hidden="false" outlineLevel="0" max="12301" min="12301" style="70" width="42.57"/>
    <col collapsed="false" customWidth="true" hidden="false" outlineLevel="0" max="12302" min="12302" style="70" width="3.29"/>
    <col collapsed="false" customWidth="true" hidden="false" outlineLevel="0" max="12303" min="12303" style="70" width="8"/>
    <col collapsed="false" customWidth="false" hidden="false" outlineLevel="0" max="12304" min="12304" style="70" width="42.57"/>
    <col collapsed="false" customWidth="true" hidden="false" outlineLevel="0" max="12305" min="12305" style="70" width="3.29"/>
    <col collapsed="false" customWidth="true" hidden="false" outlineLevel="0" max="12306" min="12306" style="70" width="8"/>
    <col collapsed="false" customWidth="false" hidden="false" outlineLevel="0" max="12307" min="12307" style="70" width="42.57"/>
    <col collapsed="false" customWidth="true" hidden="false" outlineLevel="0" max="12308" min="12308" style="70" width="3.29"/>
    <col collapsed="false" customWidth="true" hidden="false" outlineLevel="0" max="12309" min="12309" style="70" width="8"/>
    <col collapsed="false" customWidth="false" hidden="false" outlineLevel="0" max="12310" min="12310" style="70" width="42.57"/>
    <col collapsed="false" customWidth="true" hidden="false" outlineLevel="0" max="12311" min="12311" style="70" width="3.29"/>
    <col collapsed="false" customWidth="true" hidden="false" outlineLevel="0" max="12312" min="12312" style="70" width="8"/>
    <col collapsed="false" customWidth="false" hidden="false" outlineLevel="0" max="12313" min="12313" style="70" width="42.57"/>
    <col collapsed="false" customWidth="true" hidden="false" outlineLevel="0" max="12314" min="12314" style="70" width="3.29"/>
    <col collapsed="false" customWidth="true" hidden="false" outlineLevel="0" max="12315" min="12315" style="70" width="8"/>
    <col collapsed="false" customWidth="false" hidden="false" outlineLevel="0" max="12316" min="12316" style="70" width="42.57"/>
    <col collapsed="false" customWidth="true" hidden="false" outlineLevel="0" max="12317" min="12317" style="70" width="3.29"/>
    <col collapsed="false" customWidth="true" hidden="false" outlineLevel="0" max="12318" min="12318" style="70" width="8"/>
    <col collapsed="false" customWidth="false" hidden="false" outlineLevel="0" max="12319" min="12319" style="70" width="42.57"/>
    <col collapsed="false" customWidth="true" hidden="false" outlineLevel="0" max="12320" min="12320" style="70" width="3.29"/>
    <col collapsed="false" customWidth="true" hidden="false" outlineLevel="0" max="12321" min="12321" style="70" width="8"/>
    <col collapsed="false" customWidth="false" hidden="false" outlineLevel="0" max="12322" min="12322" style="70" width="42.57"/>
    <col collapsed="false" customWidth="true" hidden="false" outlineLevel="0" max="12323" min="12323" style="70" width="3.29"/>
    <col collapsed="false" customWidth="true" hidden="false" outlineLevel="0" max="12324" min="12324" style="70" width="8"/>
    <col collapsed="false" customWidth="false" hidden="false" outlineLevel="0" max="12325" min="12325" style="70" width="42.57"/>
    <col collapsed="false" customWidth="true" hidden="false" outlineLevel="0" max="12326" min="12326" style="70" width="3.29"/>
    <col collapsed="false" customWidth="true" hidden="false" outlineLevel="0" max="12327" min="12327" style="70" width="8"/>
    <col collapsed="false" customWidth="false" hidden="false" outlineLevel="0" max="12328" min="12328" style="70" width="42.57"/>
    <col collapsed="false" customWidth="true" hidden="false" outlineLevel="0" max="12329" min="12329" style="70" width="3.29"/>
    <col collapsed="false" customWidth="true" hidden="false" outlineLevel="0" max="12330" min="12330" style="70" width="8"/>
    <col collapsed="false" customWidth="false" hidden="false" outlineLevel="0" max="12331" min="12331" style="70" width="42.57"/>
    <col collapsed="false" customWidth="true" hidden="false" outlineLevel="0" max="12332" min="12332" style="70" width="3.29"/>
    <col collapsed="false" customWidth="true" hidden="false" outlineLevel="0" max="12333" min="12333" style="70" width="8"/>
    <col collapsed="false" customWidth="false" hidden="false" outlineLevel="0" max="12334" min="12334" style="70" width="42.57"/>
    <col collapsed="false" customWidth="true" hidden="false" outlineLevel="0" max="12335" min="12335" style="70" width="3.29"/>
    <col collapsed="false" customWidth="true" hidden="false" outlineLevel="0" max="12336" min="12336" style="70" width="8"/>
    <col collapsed="false" customWidth="false" hidden="false" outlineLevel="0" max="12337" min="12337" style="70" width="42.57"/>
    <col collapsed="false" customWidth="true" hidden="false" outlineLevel="0" max="12338" min="12338" style="70" width="3.29"/>
    <col collapsed="false" customWidth="true" hidden="false" outlineLevel="0" max="12339" min="12339" style="70" width="8"/>
    <col collapsed="false" customWidth="false" hidden="false" outlineLevel="0" max="12340" min="12340" style="70" width="42.57"/>
    <col collapsed="false" customWidth="true" hidden="false" outlineLevel="0" max="12341" min="12341" style="70" width="3.29"/>
    <col collapsed="false" customWidth="true" hidden="false" outlineLevel="0" max="12342" min="12342" style="70" width="8"/>
    <col collapsed="false" customWidth="false" hidden="false" outlineLevel="0" max="12343" min="12343" style="70" width="42.57"/>
    <col collapsed="false" customWidth="true" hidden="false" outlineLevel="0" max="12344" min="12344" style="70" width="3.29"/>
    <col collapsed="false" customWidth="true" hidden="false" outlineLevel="0" max="12345" min="12345" style="70" width="8"/>
    <col collapsed="false" customWidth="false" hidden="false" outlineLevel="0" max="12346" min="12346" style="70" width="42.57"/>
    <col collapsed="false" customWidth="true" hidden="false" outlineLevel="0" max="12347" min="12347" style="70" width="3.29"/>
    <col collapsed="false" customWidth="true" hidden="false" outlineLevel="0" max="12348" min="12348" style="70" width="8"/>
    <col collapsed="false" customWidth="false" hidden="false" outlineLevel="0" max="12349" min="12349" style="70" width="42.57"/>
    <col collapsed="false" customWidth="true" hidden="false" outlineLevel="0" max="12350" min="12350" style="70" width="3.29"/>
    <col collapsed="false" customWidth="true" hidden="false" outlineLevel="0" max="12351" min="12351" style="70" width="8"/>
    <col collapsed="false" customWidth="false" hidden="false" outlineLevel="0" max="12352" min="12352" style="70" width="42.57"/>
    <col collapsed="false" customWidth="true" hidden="false" outlineLevel="0" max="12353" min="12353" style="70" width="3.29"/>
    <col collapsed="false" customWidth="true" hidden="false" outlineLevel="0" max="12354" min="12354" style="70" width="8"/>
    <col collapsed="false" customWidth="false" hidden="false" outlineLevel="0" max="12355" min="12355" style="70" width="42.57"/>
    <col collapsed="false" customWidth="true" hidden="false" outlineLevel="0" max="12356" min="12356" style="70" width="3.29"/>
    <col collapsed="false" customWidth="true" hidden="false" outlineLevel="0" max="12357" min="12357" style="70" width="8"/>
    <col collapsed="false" customWidth="false" hidden="false" outlineLevel="0" max="12358" min="12358" style="70" width="42.57"/>
    <col collapsed="false" customWidth="true" hidden="false" outlineLevel="0" max="12359" min="12359" style="70" width="3.29"/>
    <col collapsed="false" customWidth="true" hidden="false" outlineLevel="0" max="12360" min="12360" style="70" width="8"/>
    <col collapsed="false" customWidth="false" hidden="false" outlineLevel="0" max="12361" min="12361" style="70" width="42.57"/>
    <col collapsed="false" customWidth="true" hidden="false" outlineLevel="0" max="12362" min="12362" style="70" width="3.29"/>
    <col collapsed="false" customWidth="true" hidden="false" outlineLevel="0" max="12363" min="12363" style="70" width="8"/>
    <col collapsed="false" customWidth="false" hidden="false" outlineLevel="0" max="12364" min="12364" style="70" width="42.57"/>
    <col collapsed="false" customWidth="true" hidden="false" outlineLevel="0" max="12365" min="12365" style="70" width="3.29"/>
    <col collapsed="false" customWidth="true" hidden="false" outlineLevel="0" max="12366" min="12366" style="70" width="8"/>
    <col collapsed="false" customWidth="false" hidden="false" outlineLevel="0" max="12367" min="12367" style="70" width="42.57"/>
    <col collapsed="false" customWidth="true" hidden="false" outlineLevel="0" max="12368" min="12368" style="70" width="3.29"/>
    <col collapsed="false" customWidth="true" hidden="false" outlineLevel="0" max="12369" min="12369" style="70" width="8"/>
    <col collapsed="false" customWidth="false" hidden="false" outlineLevel="0" max="12370" min="12370" style="70" width="42.57"/>
    <col collapsed="false" customWidth="true" hidden="false" outlineLevel="0" max="12371" min="12371" style="70" width="3.29"/>
    <col collapsed="false" customWidth="true" hidden="false" outlineLevel="0" max="12372" min="12372" style="70" width="8"/>
    <col collapsed="false" customWidth="false" hidden="false" outlineLevel="0" max="12373" min="12373" style="70" width="42.57"/>
    <col collapsed="false" customWidth="true" hidden="false" outlineLevel="0" max="12374" min="12374" style="70" width="3.29"/>
    <col collapsed="false" customWidth="true" hidden="false" outlineLevel="0" max="12375" min="12375" style="70" width="8"/>
    <col collapsed="false" customWidth="false" hidden="false" outlineLevel="0" max="12376" min="12376" style="70" width="42.57"/>
    <col collapsed="false" customWidth="true" hidden="false" outlineLevel="0" max="12377" min="12377" style="70" width="3.29"/>
    <col collapsed="false" customWidth="true" hidden="false" outlineLevel="0" max="12378" min="12378" style="70" width="8"/>
    <col collapsed="false" customWidth="false" hidden="false" outlineLevel="0" max="12379" min="12379" style="70" width="42.57"/>
    <col collapsed="false" customWidth="true" hidden="false" outlineLevel="0" max="12380" min="12380" style="70" width="3.29"/>
    <col collapsed="false" customWidth="true" hidden="false" outlineLevel="0" max="12381" min="12381" style="70" width="8"/>
    <col collapsed="false" customWidth="false" hidden="false" outlineLevel="0" max="12382" min="12382" style="70" width="42.57"/>
    <col collapsed="false" customWidth="true" hidden="false" outlineLevel="0" max="12383" min="12383" style="70" width="3.29"/>
    <col collapsed="false" customWidth="true" hidden="false" outlineLevel="0" max="12384" min="12384" style="70" width="8"/>
    <col collapsed="false" customWidth="false" hidden="false" outlineLevel="0" max="12385" min="12385" style="70" width="42.57"/>
    <col collapsed="false" customWidth="true" hidden="false" outlineLevel="0" max="12386" min="12386" style="70" width="3.29"/>
    <col collapsed="false" customWidth="true" hidden="false" outlineLevel="0" max="12387" min="12387" style="70" width="8"/>
    <col collapsed="false" customWidth="false" hidden="false" outlineLevel="0" max="12388" min="12388" style="70" width="42.57"/>
    <col collapsed="false" customWidth="true" hidden="false" outlineLevel="0" max="12389" min="12389" style="70" width="3.29"/>
    <col collapsed="false" customWidth="true" hidden="false" outlineLevel="0" max="12390" min="12390" style="70" width="8"/>
    <col collapsed="false" customWidth="false" hidden="false" outlineLevel="0" max="12391" min="12391" style="70" width="42.57"/>
    <col collapsed="false" customWidth="true" hidden="false" outlineLevel="0" max="12392" min="12392" style="70" width="3.29"/>
    <col collapsed="false" customWidth="true" hidden="false" outlineLevel="0" max="12393" min="12393" style="70" width="8"/>
    <col collapsed="false" customWidth="false" hidden="false" outlineLevel="0" max="12394" min="12394" style="70" width="42.57"/>
    <col collapsed="false" customWidth="true" hidden="false" outlineLevel="0" max="12395" min="12395" style="70" width="3.29"/>
    <col collapsed="false" customWidth="true" hidden="false" outlineLevel="0" max="12396" min="12396" style="70" width="8"/>
    <col collapsed="false" customWidth="false" hidden="false" outlineLevel="0" max="12397" min="12397" style="70" width="42.57"/>
    <col collapsed="false" customWidth="true" hidden="false" outlineLevel="0" max="12398" min="12398" style="70" width="3.29"/>
    <col collapsed="false" customWidth="true" hidden="false" outlineLevel="0" max="12399" min="12399" style="70" width="8"/>
    <col collapsed="false" customWidth="false" hidden="false" outlineLevel="0" max="12400" min="12400" style="70" width="42.57"/>
    <col collapsed="false" customWidth="true" hidden="false" outlineLevel="0" max="12401" min="12401" style="70" width="3.29"/>
    <col collapsed="false" customWidth="true" hidden="false" outlineLevel="0" max="12402" min="12402" style="70" width="8"/>
    <col collapsed="false" customWidth="false" hidden="false" outlineLevel="0" max="12403" min="12403" style="70" width="42.57"/>
    <col collapsed="false" customWidth="true" hidden="false" outlineLevel="0" max="12404" min="12404" style="70" width="3.29"/>
    <col collapsed="false" customWidth="true" hidden="false" outlineLevel="0" max="12405" min="12405" style="70" width="8"/>
    <col collapsed="false" customWidth="false" hidden="false" outlineLevel="0" max="12406" min="12406" style="70" width="42.57"/>
    <col collapsed="false" customWidth="true" hidden="false" outlineLevel="0" max="12407" min="12407" style="70" width="3.29"/>
    <col collapsed="false" customWidth="true" hidden="false" outlineLevel="0" max="12408" min="12408" style="70" width="8"/>
    <col collapsed="false" customWidth="false" hidden="false" outlineLevel="0" max="12409" min="12409" style="70" width="42.57"/>
    <col collapsed="false" customWidth="true" hidden="false" outlineLevel="0" max="12410" min="12410" style="70" width="3.29"/>
    <col collapsed="false" customWidth="true" hidden="false" outlineLevel="0" max="12411" min="12411" style="70" width="8"/>
    <col collapsed="false" customWidth="false" hidden="false" outlineLevel="0" max="12412" min="12412" style="70" width="42.57"/>
    <col collapsed="false" customWidth="true" hidden="false" outlineLevel="0" max="12413" min="12413" style="70" width="3.29"/>
    <col collapsed="false" customWidth="true" hidden="false" outlineLevel="0" max="12414" min="12414" style="70" width="8"/>
    <col collapsed="false" customWidth="false" hidden="false" outlineLevel="0" max="12415" min="12415" style="70" width="42.57"/>
    <col collapsed="false" customWidth="true" hidden="false" outlineLevel="0" max="12416" min="12416" style="70" width="3.29"/>
    <col collapsed="false" customWidth="true" hidden="false" outlineLevel="0" max="12417" min="12417" style="70" width="8"/>
    <col collapsed="false" customWidth="false" hidden="false" outlineLevel="0" max="12418" min="12418" style="70" width="42.57"/>
    <col collapsed="false" customWidth="true" hidden="false" outlineLevel="0" max="12419" min="12419" style="70" width="3.29"/>
    <col collapsed="false" customWidth="true" hidden="false" outlineLevel="0" max="12420" min="12420" style="70" width="8"/>
    <col collapsed="false" customWidth="false" hidden="false" outlineLevel="0" max="12421" min="12421" style="70" width="42.57"/>
    <col collapsed="false" customWidth="true" hidden="false" outlineLevel="0" max="12422" min="12422" style="70" width="3.29"/>
    <col collapsed="false" customWidth="true" hidden="false" outlineLevel="0" max="12423" min="12423" style="70" width="8"/>
    <col collapsed="false" customWidth="false" hidden="false" outlineLevel="0" max="12424" min="12424" style="70" width="42.57"/>
    <col collapsed="false" customWidth="true" hidden="false" outlineLevel="0" max="12425" min="12425" style="70" width="3.29"/>
    <col collapsed="false" customWidth="true" hidden="false" outlineLevel="0" max="12426" min="12426" style="70" width="8"/>
    <col collapsed="false" customWidth="false" hidden="false" outlineLevel="0" max="12427" min="12427" style="70" width="42.57"/>
    <col collapsed="false" customWidth="true" hidden="false" outlineLevel="0" max="12428" min="12428" style="70" width="3.29"/>
    <col collapsed="false" customWidth="true" hidden="false" outlineLevel="0" max="12429" min="12429" style="70" width="8"/>
    <col collapsed="false" customWidth="false" hidden="false" outlineLevel="0" max="12430" min="12430" style="70" width="42.57"/>
    <col collapsed="false" customWidth="true" hidden="false" outlineLevel="0" max="12431" min="12431" style="70" width="3.29"/>
    <col collapsed="false" customWidth="true" hidden="false" outlineLevel="0" max="12432" min="12432" style="70" width="8"/>
    <col collapsed="false" customWidth="false" hidden="false" outlineLevel="0" max="12433" min="12433" style="70" width="42.57"/>
    <col collapsed="false" customWidth="true" hidden="false" outlineLevel="0" max="12434" min="12434" style="70" width="3.29"/>
    <col collapsed="false" customWidth="true" hidden="false" outlineLevel="0" max="12435" min="12435" style="70" width="8"/>
    <col collapsed="false" customWidth="false" hidden="false" outlineLevel="0" max="12436" min="12436" style="70" width="42.57"/>
    <col collapsed="false" customWidth="true" hidden="false" outlineLevel="0" max="12437" min="12437" style="70" width="3.29"/>
    <col collapsed="false" customWidth="true" hidden="false" outlineLevel="0" max="12438" min="12438" style="70" width="8"/>
    <col collapsed="false" customWidth="false" hidden="false" outlineLevel="0" max="12439" min="12439" style="70" width="42.57"/>
    <col collapsed="false" customWidth="true" hidden="false" outlineLevel="0" max="12440" min="12440" style="70" width="3.29"/>
    <col collapsed="false" customWidth="true" hidden="false" outlineLevel="0" max="12441" min="12441" style="70" width="8"/>
    <col collapsed="false" customWidth="false" hidden="false" outlineLevel="0" max="12442" min="12442" style="70" width="42.57"/>
    <col collapsed="false" customWidth="true" hidden="false" outlineLevel="0" max="12443" min="12443" style="70" width="3.29"/>
    <col collapsed="false" customWidth="true" hidden="false" outlineLevel="0" max="12444" min="12444" style="70" width="8"/>
    <col collapsed="false" customWidth="false" hidden="false" outlineLevel="0" max="12445" min="12445" style="70" width="42.57"/>
    <col collapsed="false" customWidth="true" hidden="false" outlineLevel="0" max="12446" min="12446" style="70" width="3.29"/>
    <col collapsed="false" customWidth="true" hidden="false" outlineLevel="0" max="12447" min="12447" style="70" width="8"/>
    <col collapsed="false" customWidth="false" hidden="false" outlineLevel="0" max="12448" min="12448" style="70" width="42.57"/>
    <col collapsed="false" customWidth="true" hidden="false" outlineLevel="0" max="12449" min="12449" style="70" width="3.29"/>
    <col collapsed="false" customWidth="true" hidden="false" outlineLevel="0" max="12450" min="12450" style="70" width="8"/>
    <col collapsed="false" customWidth="false" hidden="false" outlineLevel="0" max="12451" min="12451" style="70" width="42.57"/>
    <col collapsed="false" customWidth="true" hidden="false" outlineLevel="0" max="12452" min="12452" style="70" width="3.29"/>
    <col collapsed="false" customWidth="true" hidden="false" outlineLevel="0" max="12453" min="12453" style="70" width="8"/>
    <col collapsed="false" customWidth="false" hidden="false" outlineLevel="0" max="12454" min="12454" style="70" width="42.57"/>
    <col collapsed="false" customWidth="true" hidden="false" outlineLevel="0" max="12455" min="12455" style="70" width="3.29"/>
    <col collapsed="false" customWidth="true" hidden="false" outlineLevel="0" max="12456" min="12456" style="70" width="8"/>
    <col collapsed="false" customWidth="false" hidden="false" outlineLevel="0" max="12457" min="12457" style="70" width="42.57"/>
    <col collapsed="false" customWidth="true" hidden="false" outlineLevel="0" max="12458" min="12458" style="70" width="3.29"/>
    <col collapsed="false" customWidth="true" hidden="false" outlineLevel="0" max="12459" min="12459" style="70" width="8"/>
    <col collapsed="false" customWidth="false" hidden="false" outlineLevel="0" max="12460" min="12460" style="70" width="42.57"/>
    <col collapsed="false" customWidth="true" hidden="false" outlineLevel="0" max="12461" min="12461" style="70" width="3.29"/>
    <col collapsed="false" customWidth="true" hidden="false" outlineLevel="0" max="12462" min="12462" style="70" width="8"/>
    <col collapsed="false" customWidth="false" hidden="false" outlineLevel="0" max="12463" min="12463" style="70" width="42.57"/>
    <col collapsed="false" customWidth="true" hidden="false" outlineLevel="0" max="12464" min="12464" style="70" width="3.29"/>
    <col collapsed="false" customWidth="true" hidden="false" outlineLevel="0" max="12465" min="12465" style="70" width="8"/>
    <col collapsed="false" customWidth="false" hidden="false" outlineLevel="0" max="12466" min="12466" style="70" width="42.57"/>
    <col collapsed="false" customWidth="true" hidden="false" outlineLevel="0" max="12467" min="12467" style="70" width="3.29"/>
    <col collapsed="false" customWidth="true" hidden="false" outlineLevel="0" max="12468" min="12468" style="70" width="8"/>
    <col collapsed="false" customWidth="false" hidden="false" outlineLevel="0" max="12469" min="12469" style="70" width="42.57"/>
    <col collapsed="false" customWidth="true" hidden="false" outlineLevel="0" max="12470" min="12470" style="70" width="3.29"/>
    <col collapsed="false" customWidth="true" hidden="false" outlineLevel="0" max="12471" min="12471" style="70" width="8"/>
    <col collapsed="false" customWidth="false" hidden="false" outlineLevel="0" max="12472" min="12472" style="70" width="42.57"/>
    <col collapsed="false" customWidth="true" hidden="false" outlineLevel="0" max="12473" min="12473" style="70" width="3.29"/>
    <col collapsed="false" customWidth="true" hidden="false" outlineLevel="0" max="12474" min="12474" style="70" width="8"/>
    <col collapsed="false" customWidth="false" hidden="false" outlineLevel="0" max="12475" min="12475" style="70" width="42.57"/>
    <col collapsed="false" customWidth="true" hidden="false" outlineLevel="0" max="12476" min="12476" style="70" width="3.29"/>
    <col collapsed="false" customWidth="true" hidden="false" outlineLevel="0" max="12477" min="12477" style="70" width="8"/>
    <col collapsed="false" customWidth="false" hidden="false" outlineLevel="0" max="12478" min="12478" style="70" width="42.57"/>
    <col collapsed="false" customWidth="true" hidden="false" outlineLevel="0" max="12479" min="12479" style="70" width="3.29"/>
    <col collapsed="false" customWidth="true" hidden="false" outlineLevel="0" max="12480" min="12480" style="70" width="8"/>
    <col collapsed="false" customWidth="false" hidden="false" outlineLevel="0" max="12481" min="12481" style="70" width="42.57"/>
    <col collapsed="false" customWidth="true" hidden="false" outlineLevel="0" max="12482" min="12482" style="70" width="3.29"/>
    <col collapsed="false" customWidth="true" hidden="false" outlineLevel="0" max="12483" min="12483" style="70" width="8"/>
    <col collapsed="false" customWidth="false" hidden="false" outlineLevel="0" max="12484" min="12484" style="70" width="42.57"/>
    <col collapsed="false" customWidth="true" hidden="false" outlineLevel="0" max="12485" min="12485" style="70" width="3.29"/>
    <col collapsed="false" customWidth="true" hidden="false" outlineLevel="0" max="12486" min="12486" style="70" width="8"/>
    <col collapsed="false" customWidth="false" hidden="false" outlineLevel="0" max="12487" min="12487" style="70" width="42.57"/>
    <col collapsed="false" customWidth="true" hidden="false" outlineLevel="0" max="12488" min="12488" style="70" width="3.29"/>
    <col collapsed="false" customWidth="true" hidden="false" outlineLevel="0" max="12489" min="12489" style="70" width="8"/>
    <col collapsed="false" customWidth="false" hidden="false" outlineLevel="0" max="12490" min="12490" style="70" width="42.57"/>
    <col collapsed="false" customWidth="true" hidden="false" outlineLevel="0" max="12491" min="12491" style="70" width="3.29"/>
    <col collapsed="false" customWidth="true" hidden="false" outlineLevel="0" max="12492" min="12492" style="70" width="8"/>
    <col collapsed="false" customWidth="false" hidden="false" outlineLevel="0" max="12493" min="12493" style="70" width="42.57"/>
    <col collapsed="false" customWidth="true" hidden="false" outlineLevel="0" max="12494" min="12494" style="70" width="3.29"/>
    <col collapsed="false" customWidth="true" hidden="false" outlineLevel="0" max="12495" min="12495" style="70" width="8"/>
    <col collapsed="false" customWidth="false" hidden="false" outlineLevel="0" max="12496" min="12496" style="70" width="42.57"/>
    <col collapsed="false" customWidth="true" hidden="false" outlineLevel="0" max="12497" min="12497" style="70" width="3.29"/>
    <col collapsed="false" customWidth="true" hidden="false" outlineLevel="0" max="12498" min="12498" style="70" width="8"/>
    <col collapsed="false" customWidth="false" hidden="false" outlineLevel="0" max="12499" min="12499" style="70" width="42.57"/>
    <col collapsed="false" customWidth="true" hidden="false" outlineLevel="0" max="12500" min="12500" style="70" width="3.29"/>
    <col collapsed="false" customWidth="true" hidden="false" outlineLevel="0" max="12501" min="12501" style="70" width="8"/>
    <col collapsed="false" customWidth="false" hidden="false" outlineLevel="0" max="12502" min="12502" style="70" width="42.57"/>
    <col collapsed="false" customWidth="true" hidden="false" outlineLevel="0" max="12503" min="12503" style="70" width="3.29"/>
    <col collapsed="false" customWidth="true" hidden="false" outlineLevel="0" max="12504" min="12504" style="70" width="8"/>
    <col collapsed="false" customWidth="false" hidden="false" outlineLevel="0" max="12505" min="12505" style="70" width="42.57"/>
    <col collapsed="false" customWidth="true" hidden="false" outlineLevel="0" max="12506" min="12506" style="70" width="3.29"/>
    <col collapsed="false" customWidth="true" hidden="false" outlineLevel="0" max="12507" min="12507" style="70" width="8"/>
    <col collapsed="false" customWidth="false" hidden="false" outlineLevel="0" max="12508" min="12508" style="70" width="42.57"/>
    <col collapsed="false" customWidth="true" hidden="false" outlineLevel="0" max="12509" min="12509" style="70" width="3.29"/>
    <col collapsed="false" customWidth="true" hidden="false" outlineLevel="0" max="12510" min="12510" style="70" width="8"/>
    <col collapsed="false" customWidth="false" hidden="false" outlineLevel="0" max="12511" min="12511" style="70" width="42.57"/>
    <col collapsed="false" customWidth="true" hidden="false" outlineLevel="0" max="12512" min="12512" style="70" width="3.29"/>
    <col collapsed="false" customWidth="true" hidden="false" outlineLevel="0" max="12513" min="12513" style="70" width="8"/>
    <col collapsed="false" customWidth="false" hidden="false" outlineLevel="0" max="12514" min="12514" style="70" width="42.57"/>
    <col collapsed="false" customWidth="true" hidden="false" outlineLevel="0" max="12515" min="12515" style="70" width="3.29"/>
    <col collapsed="false" customWidth="true" hidden="false" outlineLevel="0" max="12516" min="12516" style="70" width="8"/>
    <col collapsed="false" customWidth="false" hidden="false" outlineLevel="0" max="12517" min="12517" style="70" width="42.57"/>
    <col collapsed="false" customWidth="true" hidden="false" outlineLevel="0" max="12518" min="12518" style="70" width="3.29"/>
    <col collapsed="false" customWidth="true" hidden="false" outlineLevel="0" max="12519" min="12519" style="70" width="8"/>
    <col collapsed="false" customWidth="false" hidden="false" outlineLevel="0" max="12520" min="12520" style="70" width="42.57"/>
    <col collapsed="false" customWidth="true" hidden="false" outlineLevel="0" max="12521" min="12521" style="70" width="3.29"/>
    <col collapsed="false" customWidth="true" hidden="false" outlineLevel="0" max="12522" min="12522" style="70" width="8"/>
    <col collapsed="false" customWidth="false" hidden="false" outlineLevel="0" max="12523" min="12523" style="70" width="42.57"/>
    <col collapsed="false" customWidth="true" hidden="false" outlineLevel="0" max="12524" min="12524" style="70" width="3.29"/>
    <col collapsed="false" customWidth="true" hidden="false" outlineLevel="0" max="12525" min="12525" style="70" width="8"/>
    <col collapsed="false" customWidth="false" hidden="false" outlineLevel="0" max="12526" min="12526" style="70" width="42.57"/>
    <col collapsed="false" customWidth="true" hidden="false" outlineLevel="0" max="12527" min="12527" style="70" width="3.29"/>
    <col collapsed="false" customWidth="true" hidden="false" outlineLevel="0" max="12528" min="12528" style="70" width="8"/>
    <col collapsed="false" customWidth="false" hidden="false" outlineLevel="0" max="12529" min="12529" style="70" width="42.57"/>
    <col collapsed="false" customWidth="true" hidden="false" outlineLevel="0" max="12530" min="12530" style="70" width="3.29"/>
    <col collapsed="false" customWidth="true" hidden="false" outlineLevel="0" max="12531" min="12531" style="70" width="8"/>
    <col collapsed="false" customWidth="false" hidden="false" outlineLevel="0" max="12532" min="12532" style="70" width="42.57"/>
    <col collapsed="false" customWidth="true" hidden="false" outlineLevel="0" max="12533" min="12533" style="70" width="3.29"/>
    <col collapsed="false" customWidth="true" hidden="false" outlineLevel="0" max="12534" min="12534" style="70" width="8"/>
    <col collapsed="false" customWidth="false" hidden="false" outlineLevel="0" max="12535" min="12535" style="70" width="42.57"/>
    <col collapsed="false" customWidth="true" hidden="false" outlineLevel="0" max="12536" min="12536" style="70" width="3.29"/>
    <col collapsed="false" customWidth="true" hidden="false" outlineLevel="0" max="12537" min="12537" style="70" width="8"/>
    <col collapsed="false" customWidth="false" hidden="false" outlineLevel="0" max="12538" min="12538" style="70" width="42.57"/>
    <col collapsed="false" customWidth="true" hidden="false" outlineLevel="0" max="12539" min="12539" style="70" width="3.29"/>
    <col collapsed="false" customWidth="true" hidden="false" outlineLevel="0" max="12540" min="12540" style="70" width="8"/>
    <col collapsed="false" customWidth="false" hidden="false" outlineLevel="0" max="12541" min="12541" style="70" width="42.57"/>
    <col collapsed="false" customWidth="true" hidden="false" outlineLevel="0" max="12542" min="12542" style="70" width="3.29"/>
    <col collapsed="false" customWidth="true" hidden="false" outlineLevel="0" max="12543" min="12543" style="70" width="8"/>
    <col collapsed="false" customWidth="false" hidden="false" outlineLevel="0" max="12544" min="12544" style="70" width="42.57"/>
    <col collapsed="false" customWidth="true" hidden="false" outlineLevel="0" max="12545" min="12545" style="70" width="3.29"/>
    <col collapsed="false" customWidth="true" hidden="false" outlineLevel="0" max="12546" min="12546" style="70" width="8"/>
    <col collapsed="false" customWidth="false" hidden="false" outlineLevel="0" max="12547" min="12547" style="70" width="42.57"/>
    <col collapsed="false" customWidth="true" hidden="false" outlineLevel="0" max="12548" min="12548" style="70" width="3.29"/>
    <col collapsed="false" customWidth="true" hidden="false" outlineLevel="0" max="12549" min="12549" style="70" width="8"/>
    <col collapsed="false" customWidth="false" hidden="false" outlineLevel="0" max="12550" min="12550" style="70" width="42.57"/>
    <col collapsed="false" customWidth="true" hidden="false" outlineLevel="0" max="12551" min="12551" style="70" width="3.29"/>
    <col collapsed="false" customWidth="true" hidden="false" outlineLevel="0" max="12552" min="12552" style="70" width="8"/>
    <col collapsed="false" customWidth="false" hidden="false" outlineLevel="0" max="12553" min="12553" style="70" width="42.57"/>
    <col collapsed="false" customWidth="true" hidden="false" outlineLevel="0" max="12554" min="12554" style="70" width="3.29"/>
    <col collapsed="false" customWidth="true" hidden="false" outlineLevel="0" max="12555" min="12555" style="70" width="8"/>
    <col collapsed="false" customWidth="false" hidden="false" outlineLevel="0" max="12556" min="12556" style="70" width="42.57"/>
    <col collapsed="false" customWidth="true" hidden="false" outlineLevel="0" max="12557" min="12557" style="70" width="3.29"/>
    <col collapsed="false" customWidth="true" hidden="false" outlineLevel="0" max="12558" min="12558" style="70" width="8"/>
    <col collapsed="false" customWidth="false" hidden="false" outlineLevel="0" max="12559" min="12559" style="70" width="42.57"/>
    <col collapsed="false" customWidth="true" hidden="false" outlineLevel="0" max="12560" min="12560" style="70" width="3.29"/>
    <col collapsed="false" customWidth="true" hidden="false" outlineLevel="0" max="12561" min="12561" style="70" width="8"/>
    <col collapsed="false" customWidth="false" hidden="false" outlineLevel="0" max="12562" min="12562" style="70" width="42.57"/>
    <col collapsed="false" customWidth="true" hidden="false" outlineLevel="0" max="12563" min="12563" style="70" width="3.29"/>
    <col collapsed="false" customWidth="true" hidden="false" outlineLevel="0" max="12564" min="12564" style="70" width="8"/>
    <col collapsed="false" customWidth="false" hidden="false" outlineLevel="0" max="12565" min="12565" style="70" width="42.57"/>
    <col collapsed="false" customWidth="true" hidden="false" outlineLevel="0" max="12566" min="12566" style="70" width="3.29"/>
    <col collapsed="false" customWidth="true" hidden="false" outlineLevel="0" max="12567" min="12567" style="70" width="8"/>
    <col collapsed="false" customWidth="false" hidden="false" outlineLevel="0" max="12568" min="12568" style="70" width="42.57"/>
    <col collapsed="false" customWidth="true" hidden="false" outlineLevel="0" max="12569" min="12569" style="70" width="3.29"/>
    <col collapsed="false" customWidth="true" hidden="false" outlineLevel="0" max="12570" min="12570" style="70" width="8"/>
    <col collapsed="false" customWidth="false" hidden="false" outlineLevel="0" max="12571" min="12571" style="70" width="42.57"/>
    <col collapsed="false" customWidth="true" hidden="false" outlineLevel="0" max="12572" min="12572" style="70" width="3.29"/>
    <col collapsed="false" customWidth="true" hidden="false" outlineLevel="0" max="12573" min="12573" style="70" width="8"/>
    <col collapsed="false" customWidth="false" hidden="false" outlineLevel="0" max="12574" min="12574" style="70" width="42.57"/>
    <col collapsed="false" customWidth="true" hidden="false" outlineLevel="0" max="12575" min="12575" style="70" width="3.29"/>
    <col collapsed="false" customWidth="true" hidden="false" outlineLevel="0" max="12576" min="12576" style="70" width="8"/>
    <col collapsed="false" customWidth="false" hidden="false" outlineLevel="0" max="12577" min="12577" style="70" width="42.57"/>
    <col collapsed="false" customWidth="true" hidden="false" outlineLevel="0" max="12578" min="12578" style="70" width="3.29"/>
    <col collapsed="false" customWidth="true" hidden="false" outlineLevel="0" max="12579" min="12579" style="70" width="8"/>
    <col collapsed="false" customWidth="false" hidden="false" outlineLevel="0" max="12580" min="12580" style="70" width="42.57"/>
    <col collapsed="false" customWidth="true" hidden="false" outlineLevel="0" max="12581" min="12581" style="70" width="3.29"/>
    <col collapsed="false" customWidth="true" hidden="false" outlineLevel="0" max="12582" min="12582" style="70" width="8"/>
    <col collapsed="false" customWidth="false" hidden="false" outlineLevel="0" max="12583" min="12583" style="70" width="42.57"/>
    <col collapsed="false" customWidth="true" hidden="false" outlineLevel="0" max="12584" min="12584" style="70" width="3.29"/>
    <col collapsed="false" customWidth="true" hidden="false" outlineLevel="0" max="12585" min="12585" style="70" width="8"/>
    <col collapsed="false" customWidth="false" hidden="false" outlineLevel="0" max="12586" min="12586" style="70" width="42.57"/>
    <col collapsed="false" customWidth="true" hidden="false" outlineLevel="0" max="12587" min="12587" style="70" width="3.29"/>
    <col collapsed="false" customWidth="true" hidden="false" outlineLevel="0" max="12588" min="12588" style="70" width="8"/>
    <col collapsed="false" customWidth="false" hidden="false" outlineLevel="0" max="12589" min="12589" style="70" width="42.57"/>
    <col collapsed="false" customWidth="true" hidden="false" outlineLevel="0" max="12590" min="12590" style="70" width="3.29"/>
    <col collapsed="false" customWidth="true" hidden="false" outlineLevel="0" max="12591" min="12591" style="70" width="8"/>
    <col collapsed="false" customWidth="false" hidden="false" outlineLevel="0" max="12592" min="12592" style="70" width="42.57"/>
    <col collapsed="false" customWidth="true" hidden="false" outlineLevel="0" max="12593" min="12593" style="70" width="3.29"/>
    <col collapsed="false" customWidth="true" hidden="false" outlineLevel="0" max="12594" min="12594" style="70" width="8"/>
    <col collapsed="false" customWidth="false" hidden="false" outlineLevel="0" max="12595" min="12595" style="70" width="42.57"/>
    <col collapsed="false" customWidth="true" hidden="false" outlineLevel="0" max="12596" min="12596" style="70" width="3.29"/>
    <col collapsed="false" customWidth="true" hidden="false" outlineLevel="0" max="12597" min="12597" style="70" width="8"/>
    <col collapsed="false" customWidth="false" hidden="false" outlineLevel="0" max="12598" min="12598" style="70" width="42.57"/>
    <col collapsed="false" customWidth="true" hidden="false" outlineLevel="0" max="12599" min="12599" style="70" width="3.29"/>
    <col collapsed="false" customWidth="true" hidden="false" outlineLevel="0" max="12600" min="12600" style="70" width="8"/>
    <col collapsed="false" customWidth="false" hidden="false" outlineLevel="0" max="12601" min="12601" style="70" width="42.57"/>
    <col collapsed="false" customWidth="true" hidden="false" outlineLevel="0" max="12602" min="12602" style="70" width="3.29"/>
    <col collapsed="false" customWidth="true" hidden="false" outlineLevel="0" max="12603" min="12603" style="70" width="8"/>
    <col collapsed="false" customWidth="false" hidden="false" outlineLevel="0" max="12604" min="12604" style="70" width="42.57"/>
    <col collapsed="false" customWidth="true" hidden="false" outlineLevel="0" max="12605" min="12605" style="70" width="3.29"/>
    <col collapsed="false" customWidth="true" hidden="false" outlineLevel="0" max="12606" min="12606" style="70" width="8"/>
    <col collapsed="false" customWidth="false" hidden="false" outlineLevel="0" max="12607" min="12607" style="70" width="42.57"/>
    <col collapsed="false" customWidth="true" hidden="false" outlineLevel="0" max="12608" min="12608" style="70" width="3.29"/>
    <col collapsed="false" customWidth="true" hidden="false" outlineLevel="0" max="12609" min="12609" style="70" width="8"/>
    <col collapsed="false" customWidth="false" hidden="false" outlineLevel="0" max="12610" min="12610" style="70" width="42.57"/>
    <col collapsed="false" customWidth="true" hidden="false" outlineLevel="0" max="12611" min="12611" style="70" width="3.29"/>
    <col collapsed="false" customWidth="true" hidden="false" outlineLevel="0" max="12612" min="12612" style="70" width="8"/>
    <col collapsed="false" customWidth="false" hidden="false" outlineLevel="0" max="12613" min="12613" style="70" width="42.57"/>
    <col collapsed="false" customWidth="true" hidden="false" outlineLevel="0" max="12614" min="12614" style="70" width="3.29"/>
    <col collapsed="false" customWidth="true" hidden="false" outlineLevel="0" max="12615" min="12615" style="70" width="8"/>
    <col collapsed="false" customWidth="false" hidden="false" outlineLevel="0" max="12616" min="12616" style="70" width="42.57"/>
    <col collapsed="false" customWidth="true" hidden="false" outlineLevel="0" max="12617" min="12617" style="70" width="3.29"/>
    <col collapsed="false" customWidth="true" hidden="false" outlineLevel="0" max="12618" min="12618" style="70" width="8"/>
    <col collapsed="false" customWidth="false" hidden="false" outlineLevel="0" max="12619" min="12619" style="70" width="42.57"/>
    <col collapsed="false" customWidth="true" hidden="false" outlineLevel="0" max="12620" min="12620" style="70" width="3.29"/>
    <col collapsed="false" customWidth="true" hidden="false" outlineLevel="0" max="12621" min="12621" style="70" width="8"/>
    <col collapsed="false" customWidth="false" hidden="false" outlineLevel="0" max="12622" min="12622" style="70" width="42.57"/>
    <col collapsed="false" customWidth="true" hidden="false" outlineLevel="0" max="12623" min="12623" style="70" width="3.29"/>
    <col collapsed="false" customWidth="true" hidden="false" outlineLevel="0" max="12624" min="12624" style="70" width="8"/>
    <col collapsed="false" customWidth="false" hidden="false" outlineLevel="0" max="12625" min="12625" style="70" width="42.57"/>
    <col collapsed="false" customWidth="true" hidden="false" outlineLevel="0" max="12626" min="12626" style="70" width="3.29"/>
    <col collapsed="false" customWidth="true" hidden="false" outlineLevel="0" max="12627" min="12627" style="70" width="8"/>
    <col collapsed="false" customWidth="false" hidden="false" outlineLevel="0" max="12628" min="12628" style="70" width="42.57"/>
    <col collapsed="false" customWidth="true" hidden="false" outlineLevel="0" max="12629" min="12629" style="70" width="3.29"/>
    <col collapsed="false" customWidth="true" hidden="false" outlineLevel="0" max="12630" min="12630" style="70" width="8"/>
    <col collapsed="false" customWidth="false" hidden="false" outlineLevel="0" max="12631" min="12631" style="70" width="42.57"/>
    <col collapsed="false" customWidth="true" hidden="false" outlineLevel="0" max="12632" min="12632" style="70" width="3.29"/>
    <col collapsed="false" customWidth="true" hidden="false" outlineLevel="0" max="12633" min="12633" style="70" width="8"/>
    <col collapsed="false" customWidth="false" hidden="false" outlineLevel="0" max="12634" min="12634" style="70" width="42.57"/>
    <col collapsed="false" customWidth="true" hidden="false" outlineLevel="0" max="12635" min="12635" style="70" width="3.29"/>
    <col collapsed="false" customWidth="true" hidden="false" outlineLevel="0" max="12636" min="12636" style="70" width="8"/>
    <col collapsed="false" customWidth="false" hidden="false" outlineLevel="0" max="12637" min="12637" style="70" width="42.57"/>
    <col collapsed="false" customWidth="true" hidden="false" outlineLevel="0" max="12638" min="12638" style="70" width="3.29"/>
    <col collapsed="false" customWidth="true" hidden="false" outlineLevel="0" max="12639" min="12639" style="70" width="8"/>
    <col collapsed="false" customWidth="false" hidden="false" outlineLevel="0" max="12640" min="12640" style="70" width="42.57"/>
    <col collapsed="false" customWidth="true" hidden="false" outlineLevel="0" max="12641" min="12641" style="70" width="3.29"/>
    <col collapsed="false" customWidth="true" hidden="false" outlineLevel="0" max="12642" min="12642" style="70" width="8"/>
    <col collapsed="false" customWidth="false" hidden="false" outlineLevel="0" max="12643" min="12643" style="70" width="42.57"/>
    <col collapsed="false" customWidth="true" hidden="false" outlineLevel="0" max="12644" min="12644" style="70" width="3.29"/>
    <col collapsed="false" customWidth="true" hidden="false" outlineLevel="0" max="12645" min="12645" style="70" width="8"/>
    <col collapsed="false" customWidth="false" hidden="false" outlineLevel="0" max="12646" min="12646" style="70" width="42.57"/>
    <col collapsed="false" customWidth="true" hidden="false" outlineLevel="0" max="12647" min="12647" style="70" width="3.29"/>
    <col collapsed="false" customWidth="true" hidden="false" outlineLevel="0" max="12648" min="12648" style="70" width="8"/>
    <col collapsed="false" customWidth="false" hidden="false" outlineLevel="0" max="12649" min="12649" style="70" width="42.57"/>
    <col collapsed="false" customWidth="true" hidden="false" outlineLevel="0" max="12650" min="12650" style="70" width="3.29"/>
    <col collapsed="false" customWidth="true" hidden="false" outlineLevel="0" max="12651" min="12651" style="70" width="8"/>
    <col collapsed="false" customWidth="false" hidden="false" outlineLevel="0" max="12652" min="12652" style="70" width="42.57"/>
    <col collapsed="false" customWidth="true" hidden="false" outlineLevel="0" max="12653" min="12653" style="70" width="3.29"/>
    <col collapsed="false" customWidth="true" hidden="false" outlineLevel="0" max="12654" min="12654" style="70" width="8"/>
    <col collapsed="false" customWidth="false" hidden="false" outlineLevel="0" max="12655" min="12655" style="70" width="42.57"/>
    <col collapsed="false" customWidth="true" hidden="false" outlineLevel="0" max="12656" min="12656" style="70" width="3.29"/>
    <col collapsed="false" customWidth="true" hidden="false" outlineLevel="0" max="12657" min="12657" style="70" width="8"/>
    <col collapsed="false" customWidth="false" hidden="false" outlineLevel="0" max="12658" min="12658" style="70" width="42.57"/>
    <col collapsed="false" customWidth="true" hidden="false" outlineLevel="0" max="12659" min="12659" style="70" width="3.29"/>
    <col collapsed="false" customWidth="true" hidden="false" outlineLevel="0" max="12660" min="12660" style="70" width="8"/>
    <col collapsed="false" customWidth="false" hidden="false" outlineLevel="0" max="12661" min="12661" style="70" width="42.57"/>
    <col collapsed="false" customWidth="true" hidden="false" outlineLevel="0" max="12662" min="12662" style="70" width="3.29"/>
    <col collapsed="false" customWidth="true" hidden="false" outlineLevel="0" max="12663" min="12663" style="70" width="8"/>
    <col collapsed="false" customWidth="false" hidden="false" outlineLevel="0" max="12664" min="12664" style="70" width="42.57"/>
    <col collapsed="false" customWidth="true" hidden="false" outlineLevel="0" max="12665" min="12665" style="70" width="3.29"/>
    <col collapsed="false" customWidth="true" hidden="false" outlineLevel="0" max="12666" min="12666" style="70" width="8"/>
    <col collapsed="false" customWidth="false" hidden="false" outlineLevel="0" max="12667" min="12667" style="70" width="42.57"/>
    <col collapsed="false" customWidth="true" hidden="false" outlineLevel="0" max="12668" min="12668" style="70" width="3.29"/>
    <col collapsed="false" customWidth="true" hidden="false" outlineLevel="0" max="12669" min="12669" style="70" width="8"/>
    <col collapsed="false" customWidth="false" hidden="false" outlineLevel="0" max="12670" min="12670" style="70" width="42.57"/>
    <col collapsed="false" customWidth="true" hidden="false" outlineLevel="0" max="12671" min="12671" style="70" width="3.29"/>
    <col collapsed="false" customWidth="true" hidden="false" outlineLevel="0" max="12672" min="12672" style="70" width="8"/>
    <col collapsed="false" customWidth="false" hidden="false" outlineLevel="0" max="12673" min="12673" style="70" width="42.57"/>
    <col collapsed="false" customWidth="true" hidden="false" outlineLevel="0" max="12674" min="12674" style="70" width="3.29"/>
    <col collapsed="false" customWidth="true" hidden="false" outlineLevel="0" max="12675" min="12675" style="70" width="8"/>
    <col collapsed="false" customWidth="false" hidden="false" outlineLevel="0" max="12676" min="12676" style="70" width="42.57"/>
    <col collapsed="false" customWidth="true" hidden="false" outlineLevel="0" max="12677" min="12677" style="70" width="3.29"/>
    <col collapsed="false" customWidth="true" hidden="false" outlineLevel="0" max="12678" min="12678" style="70" width="8"/>
    <col collapsed="false" customWidth="false" hidden="false" outlineLevel="0" max="12679" min="12679" style="70" width="42.57"/>
    <col collapsed="false" customWidth="true" hidden="false" outlineLevel="0" max="12680" min="12680" style="70" width="3.29"/>
    <col collapsed="false" customWidth="true" hidden="false" outlineLevel="0" max="12681" min="12681" style="70" width="8"/>
    <col collapsed="false" customWidth="false" hidden="false" outlineLevel="0" max="12682" min="12682" style="70" width="42.57"/>
    <col collapsed="false" customWidth="true" hidden="false" outlineLevel="0" max="12683" min="12683" style="70" width="3.29"/>
    <col collapsed="false" customWidth="true" hidden="false" outlineLevel="0" max="12684" min="12684" style="70" width="8"/>
    <col collapsed="false" customWidth="false" hidden="false" outlineLevel="0" max="12685" min="12685" style="70" width="42.57"/>
    <col collapsed="false" customWidth="true" hidden="false" outlineLevel="0" max="12686" min="12686" style="70" width="3.29"/>
    <col collapsed="false" customWidth="true" hidden="false" outlineLevel="0" max="12687" min="12687" style="70" width="8"/>
    <col collapsed="false" customWidth="false" hidden="false" outlineLevel="0" max="12688" min="12688" style="70" width="42.57"/>
    <col collapsed="false" customWidth="true" hidden="false" outlineLevel="0" max="12689" min="12689" style="70" width="3.29"/>
    <col collapsed="false" customWidth="true" hidden="false" outlineLevel="0" max="12690" min="12690" style="70" width="8"/>
    <col collapsed="false" customWidth="false" hidden="false" outlineLevel="0" max="12691" min="12691" style="70" width="42.57"/>
    <col collapsed="false" customWidth="true" hidden="false" outlineLevel="0" max="12692" min="12692" style="70" width="3.29"/>
    <col collapsed="false" customWidth="true" hidden="false" outlineLevel="0" max="12693" min="12693" style="70" width="8"/>
    <col collapsed="false" customWidth="false" hidden="false" outlineLevel="0" max="12694" min="12694" style="70" width="42.57"/>
    <col collapsed="false" customWidth="true" hidden="false" outlineLevel="0" max="12695" min="12695" style="70" width="3.29"/>
    <col collapsed="false" customWidth="true" hidden="false" outlineLevel="0" max="12696" min="12696" style="70" width="8"/>
    <col collapsed="false" customWidth="false" hidden="false" outlineLevel="0" max="12697" min="12697" style="70" width="42.57"/>
    <col collapsed="false" customWidth="true" hidden="false" outlineLevel="0" max="12698" min="12698" style="70" width="3.29"/>
    <col collapsed="false" customWidth="true" hidden="false" outlineLevel="0" max="12699" min="12699" style="70" width="8"/>
    <col collapsed="false" customWidth="false" hidden="false" outlineLevel="0" max="12700" min="12700" style="70" width="42.57"/>
    <col collapsed="false" customWidth="true" hidden="false" outlineLevel="0" max="12701" min="12701" style="70" width="3.29"/>
    <col collapsed="false" customWidth="true" hidden="false" outlineLevel="0" max="12702" min="12702" style="70" width="8"/>
    <col collapsed="false" customWidth="false" hidden="false" outlineLevel="0" max="12703" min="12703" style="70" width="42.57"/>
    <col collapsed="false" customWidth="true" hidden="false" outlineLevel="0" max="12704" min="12704" style="70" width="3.29"/>
    <col collapsed="false" customWidth="true" hidden="false" outlineLevel="0" max="12705" min="12705" style="70" width="8"/>
    <col collapsed="false" customWidth="false" hidden="false" outlineLevel="0" max="12706" min="12706" style="70" width="42.57"/>
    <col collapsed="false" customWidth="true" hidden="false" outlineLevel="0" max="12707" min="12707" style="70" width="3.29"/>
    <col collapsed="false" customWidth="true" hidden="false" outlineLevel="0" max="12708" min="12708" style="70" width="8"/>
    <col collapsed="false" customWidth="false" hidden="false" outlineLevel="0" max="12709" min="12709" style="70" width="42.57"/>
    <col collapsed="false" customWidth="true" hidden="false" outlineLevel="0" max="12710" min="12710" style="70" width="3.29"/>
    <col collapsed="false" customWidth="true" hidden="false" outlineLevel="0" max="12711" min="12711" style="70" width="8"/>
    <col collapsed="false" customWidth="false" hidden="false" outlineLevel="0" max="12712" min="12712" style="70" width="42.57"/>
    <col collapsed="false" customWidth="true" hidden="false" outlineLevel="0" max="12713" min="12713" style="70" width="3.29"/>
    <col collapsed="false" customWidth="true" hidden="false" outlineLevel="0" max="12714" min="12714" style="70" width="8"/>
    <col collapsed="false" customWidth="false" hidden="false" outlineLevel="0" max="12715" min="12715" style="70" width="42.57"/>
    <col collapsed="false" customWidth="true" hidden="false" outlineLevel="0" max="12716" min="12716" style="70" width="3.29"/>
    <col collapsed="false" customWidth="true" hidden="false" outlineLevel="0" max="12717" min="12717" style="70" width="8"/>
    <col collapsed="false" customWidth="false" hidden="false" outlineLevel="0" max="12718" min="12718" style="70" width="42.57"/>
    <col collapsed="false" customWidth="true" hidden="false" outlineLevel="0" max="12719" min="12719" style="70" width="3.29"/>
    <col collapsed="false" customWidth="true" hidden="false" outlineLevel="0" max="12720" min="12720" style="70" width="8"/>
    <col collapsed="false" customWidth="false" hidden="false" outlineLevel="0" max="12721" min="12721" style="70" width="42.57"/>
    <col collapsed="false" customWidth="true" hidden="false" outlineLevel="0" max="12722" min="12722" style="70" width="3.29"/>
    <col collapsed="false" customWidth="true" hidden="false" outlineLevel="0" max="12723" min="12723" style="70" width="8"/>
    <col collapsed="false" customWidth="false" hidden="false" outlineLevel="0" max="12724" min="12724" style="70" width="42.57"/>
    <col collapsed="false" customWidth="true" hidden="false" outlineLevel="0" max="12725" min="12725" style="70" width="3.29"/>
    <col collapsed="false" customWidth="true" hidden="false" outlineLevel="0" max="12726" min="12726" style="70" width="8"/>
    <col collapsed="false" customWidth="false" hidden="false" outlineLevel="0" max="12727" min="12727" style="70" width="42.57"/>
    <col collapsed="false" customWidth="true" hidden="false" outlineLevel="0" max="12728" min="12728" style="70" width="3.29"/>
    <col collapsed="false" customWidth="true" hidden="false" outlineLevel="0" max="12729" min="12729" style="70" width="8"/>
    <col collapsed="false" customWidth="false" hidden="false" outlineLevel="0" max="12730" min="12730" style="70" width="42.57"/>
    <col collapsed="false" customWidth="true" hidden="false" outlineLevel="0" max="12731" min="12731" style="70" width="3.29"/>
    <col collapsed="false" customWidth="true" hidden="false" outlineLevel="0" max="12732" min="12732" style="70" width="8"/>
    <col collapsed="false" customWidth="false" hidden="false" outlineLevel="0" max="12733" min="12733" style="70" width="42.57"/>
    <col collapsed="false" customWidth="true" hidden="false" outlineLevel="0" max="12734" min="12734" style="70" width="3.29"/>
    <col collapsed="false" customWidth="true" hidden="false" outlineLevel="0" max="12735" min="12735" style="70" width="8"/>
    <col collapsed="false" customWidth="false" hidden="false" outlineLevel="0" max="12736" min="12736" style="70" width="42.57"/>
    <col collapsed="false" customWidth="true" hidden="false" outlineLevel="0" max="12737" min="12737" style="70" width="3.29"/>
    <col collapsed="false" customWidth="true" hidden="false" outlineLevel="0" max="12738" min="12738" style="70" width="8"/>
    <col collapsed="false" customWidth="false" hidden="false" outlineLevel="0" max="12739" min="12739" style="70" width="42.57"/>
    <col collapsed="false" customWidth="true" hidden="false" outlineLevel="0" max="12740" min="12740" style="70" width="3.29"/>
    <col collapsed="false" customWidth="true" hidden="false" outlineLevel="0" max="12741" min="12741" style="70" width="8"/>
    <col collapsed="false" customWidth="false" hidden="false" outlineLevel="0" max="12742" min="12742" style="70" width="42.57"/>
    <col collapsed="false" customWidth="true" hidden="false" outlineLevel="0" max="12743" min="12743" style="70" width="3.29"/>
    <col collapsed="false" customWidth="true" hidden="false" outlineLevel="0" max="12744" min="12744" style="70" width="8"/>
    <col collapsed="false" customWidth="false" hidden="false" outlineLevel="0" max="12745" min="12745" style="70" width="42.57"/>
    <col collapsed="false" customWidth="true" hidden="false" outlineLevel="0" max="12746" min="12746" style="70" width="3.29"/>
    <col collapsed="false" customWidth="true" hidden="false" outlineLevel="0" max="12747" min="12747" style="70" width="8"/>
    <col collapsed="false" customWidth="false" hidden="false" outlineLevel="0" max="12748" min="12748" style="70" width="42.57"/>
    <col collapsed="false" customWidth="true" hidden="false" outlineLevel="0" max="12749" min="12749" style="70" width="3.29"/>
    <col collapsed="false" customWidth="true" hidden="false" outlineLevel="0" max="12750" min="12750" style="70" width="8"/>
    <col collapsed="false" customWidth="false" hidden="false" outlineLevel="0" max="12751" min="12751" style="70" width="42.57"/>
    <col collapsed="false" customWidth="true" hidden="false" outlineLevel="0" max="12752" min="12752" style="70" width="3.29"/>
    <col collapsed="false" customWidth="true" hidden="false" outlineLevel="0" max="12753" min="12753" style="70" width="8"/>
    <col collapsed="false" customWidth="false" hidden="false" outlineLevel="0" max="12754" min="12754" style="70" width="42.57"/>
    <col collapsed="false" customWidth="true" hidden="false" outlineLevel="0" max="12755" min="12755" style="70" width="3.29"/>
    <col collapsed="false" customWidth="true" hidden="false" outlineLevel="0" max="12756" min="12756" style="70" width="8"/>
    <col collapsed="false" customWidth="false" hidden="false" outlineLevel="0" max="12757" min="12757" style="70" width="42.57"/>
    <col collapsed="false" customWidth="true" hidden="false" outlineLevel="0" max="12758" min="12758" style="70" width="3.29"/>
    <col collapsed="false" customWidth="true" hidden="false" outlineLevel="0" max="12759" min="12759" style="70" width="8"/>
    <col collapsed="false" customWidth="false" hidden="false" outlineLevel="0" max="12760" min="12760" style="70" width="42.57"/>
    <col collapsed="false" customWidth="true" hidden="false" outlineLevel="0" max="12761" min="12761" style="70" width="3.29"/>
    <col collapsed="false" customWidth="true" hidden="false" outlineLevel="0" max="12762" min="12762" style="70" width="8"/>
    <col collapsed="false" customWidth="false" hidden="false" outlineLevel="0" max="12763" min="12763" style="70" width="42.57"/>
    <col collapsed="false" customWidth="true" hidden="false" outlineLevel="0" max="12764" min="12764" style="70" width="3.29"/>
    <col collapsed="false" customWidth="true" hidden="false" outlineLevel="0" max="12765" min="12765" style="70" width="8"/>
    <col collapsed="false" customWidth="false" hidden="false" outlineLevel="0" max="12766" min="12766" style="70" width="42.57"/>
    <col collapsed="false" customWidth="true" hidden="false" outlineLevel="0" max="12767" min="12767" style="70" width="3.29"/>
    <col collapsed="false" customWidth="true" hidden="false" outlineLevel="0" max="12768" min="12768" style="70" width="8"/>
    <col collapsed="false" customWidth="false" hidden="false" outlineLevel="0" max="12769" min="12769" style="70" width="42.57"/>
    <col collapsed="false" customWidth="true" hidden="false" outlineLevel="0" max="12770" min="12770" style="70" width="3.29"/>
    <col collapsed="false" customWidth="true" hidden="false" outlineLevel="0" max="12771" min="12771" style="70" width="8"/>
    <col collapsed="false" customWidth="false" hidden="false" outlineLevel="0" max="12772" min="12772" style="70" width="42.57"/>
    <col collapsed="false" customWidth="true" hidden="false" outlineLevel="0" max="12773" min="12773" style="70" width="3.29"/>
    <col collapsed="false" customWidth="true" hidden="false" outlineLevel="0" max="12774" min="12774" style="70" width="8"/>
    <col collapsed="false" customWidth="false" hidden="false" outlineLevel="0" max="12775" min="12775" style="70" width="42.57"/>
    <col collapsed="false" customWidth="true" hidden="false" outlineLevel="0" max="12776" min="12776" style="70" width="3.29"/>
    <col collapsed="false" customWidth="true" hidden="false" outlineLevel="0" max="12777" min="12777" style="70" width="8"/>
    <col collapsed="false" customWidth="false" hidden="false" outlineLevel="0" max="12778" min="12778" style="70" width="42.57"/>
    <col collapsed="false" customWidth="true" hidden="false" outlineLevel="0" max="12779" min="12779" style="70" width="3.29"/>
    <col collapsed="false" customWidth="true" hidden="false" outlineLevel="0" max="12780" min="12780" style="70" width="8"/>
    <col collapsed="false" customWidth="false" hidden="false" outlineLevel="0" max="12781" min="12781" style="70" width="42.57"/>
    <col collapsed="false" customWidth="true" hidden="false" outlineLevel="0" max="12782" min="12782" style="70" width="3.29"/>
    <col collapsed="false" customWidth="true" hidden="false" outlineLevel="0" max="12783" min="12783" style="70" width="8"/>
    <col collapsed="false" customWidth="false" hidden="false" outlineLevel="0" max="12784" min="12784" style="70" width="42.57"/>
    <col collapsed="false" customWidth="true" hidden="false" outlineLevel="0" max="12785" min="12785" style="70" width="3.29"/>
    <col collapsed="false" customWidth="true" hidden="false" outlineLevel="0" max="12786" min="12786" style="70" width="8"/>
    <col collapsed="false" customWidth="false" hidden="false" outlineLevel="0" max="12787" min="12787" style="70" width="42.57"/>
    <col collapsed="false" customWidth="true" hidden="false" outlineLevel="0" max="12788" min="12788" style="70" width="3.29"/>
    <col collapsed="false" customWidth="true" hidden="false" outlineLevel="0" max="12789" min="12789" style="70" width="8"/>
    <col collapsed="false" customWidth="false" hidden="false" outlineLevel="0" max="12790" min="12790" style="70" width="42.57"/>
    <col collapsed="false" customWidth="true" hidden="false" outlineLevel="0" max="12791" min="12791" style="70" width="3.29"/>
    <col collapsed="false" customWidth="true" hidden="false" outlineLevel="0" max="12792" min="12792" style="70" width="8"/>
    <col collapsed="false" customWidth="false" hidden="false" outlineLevel="0" max="12793" min="12793" style="70" width="42.57"/>
    <col collapsed="false" customWidth="true" hidden="false" outlineLevel="0" max="12794" min="12794" style="70" width="3.29"/>
    <col collapsed="false" customWidth="true" hidden="false" outlineLevel="0" max="12795" min="12795" style="70" width="8"/>
    <col collapsed="false" customWidth="false" hidden="false" outlineLevel="0" max="12796" min="12796" style="70" width="42.57"/>
    <col collapsed="false" customWidth="true" hidden="false" outlineLevel="0" max="12797" min="12797" style="70" width="3.29"/>
    <col collapsed="false" customWidth="true" hidden="false" outlineLevel="0" max="12798" min="12798" style="70" width="8"/>
    <col collapsed="false" customWidth="false" hidden="false" outlineLevel="0" max="12799" min="12799" style="70" width="42.57"/>
    <col collapsed="false" customWidth="true" hidden="false" outlineLevel="0" max="12800" min="12800" style="70" width="3.29"/>
    <col collapsed="false" customWidth="true" hidden="false" outlineLevel="0" max="12801" min="12801" style="70" width="8"/>
    <col collapsed="false" customWidth="false" hidden="false" outlineLevel="0" max="12802" min="12802" style="70" width="42.57"/>
    <col collapsed="false" customWidth="true" hidden="false" outlineLevel="0" max="12803" min="12803" style="70" width="3.29"/>
    <col collapsed="false" customWidth="true" hidden="false" outlineLevel="0" max="12804" min="12804" style="70" width="8"/>
    <col collapsed="false" customWidth="false" hidden="false" outlineLevel="0" max="12805" min="12805" style="70" width="42.57"/>
    <col collapsed="false" customWidth="true" hidden="false" outlineLevel="0" max="12806" min="12806" style="70" width="3.29"/>
    <col collapsed="false" customWidth="true" hidden="false" outlineLevel="0" max="12807" min="12807" style="70" width="8"/>
    <col collapsed="false" customWidth="false" hidden="false" outlineLevel="0" max="12808" min="12808" style="70" width="42.57"/>
    <col collapsed="false" customWidth="true" hidden="false" outlineLevel="0" max="12809" min="12809" style="70" width="3.29"/>
    <col collapsed="false" customWidth="true" hidden="false" outlineLevel="0" max="12810" min="12810" style="70" width="8"/>
    <col collapsed="false" customWidth="false" hidden="false" outlineLevel="0" max="12811" min="12811" style="70" width="42.57"/>
    <col collapsed="false" customWidth="true" hidden="false" outlineLevel="0" max="12812" min="12812" style="70" width="3.29"/>
    <col collapsed="false" customWidth="true" hidden="false" outlineLevel="0" max="12813" min="12813" style="70" width="8"/>
    <col collapsed="false" customWidth="false" hidden="false" outlineLevel="0" max="12814" min="12814" style="70" width="42.57"/>
    <col collapsed="false" customWidth="true" hidden="false" outlineLevel="0" max="12815" min="12815" style="70" width="3.29"/>
    <col collapsed="false" customWidth="true" hidden="false" outlineLevel="0" max="12816" min="12816" style="70" width="8"/>
    <col collapsed="false" customWidth="false" hidden="false" outlineLevel="0" max="12817" min="12817" style="70" width="42.57"/>
    <col collapsed="false" customWidth="true" hidden="false" outlineLevel="0" max="12818" min="12818" style="70" width="3.29"/>
    <col collapsed="false" customWidth="true" hidden="false" outlineLevel="0" max="12819" min="12819" style="70" width="8"/>
    <col collapsed="false" customWidth="false" hidden="false" outlineLevel="0" max="12820" min="12820" style="70" width="42.57"/>
    <col collapsed="false" customWidth="true" hidden="false" outlineLevel="0" max="12821" min="12821" style="70" width="3.29"/>
    <col collapsed="false" customWidth="true" hidden="false" outlineLevel="0" max="12822" min="12822" style="70" width="8"/>
    <col collapsed="false" customWidth="false" hidden="false" outlineLevel="0" max="12823" min="12823" style="70" width="42.57"/>
    <col collapsed="false" customWidth="true" hidden="false" outlineLevel="0" max="12824" min="12824" style="70" width="3.29"/>
    <col collapsed="false" customWidth="true" hidden="false" outlineLevel="0" max="12825" min="12825" style="70" width="8"/>
    <col collapsed="false" customWidth="false" hidden="false" outlineLevel="0" max="12826" min="12826" style="70" width="42.57"/>
    <col collapsed="false" customWidth="true" hidden="false" outlineLevel="0" max="12827" min="12827" style="70" width="3.29"/>
    <col collapsed="false" customWidth="true" hidden="false" outlineLevel="0" max="12828" min="12828" style="70" width="8"/>
    <col collapsed="false" customWidth="false" hidden="false" outlineLevel="0" max="12829" min="12829" style="70" width="42.57"/>
    <col collapsed="false" customWidth="true" hidden="false" outlineLevel="0" max="12830" min="12830" style="70" width="3.29"/>
    <col collapsed="false" customWidth="true" hidden="false" outlineLevel="0" max="12831" min="12831" style="70" width="8"/>
    <col collapsed="false" customWidth="false" hidden="false" outlineLevel="0" max="12832" min="12832" style="70" width="42.57"/>
    <col collapsed="false" customWidth="true" hidden="false" outlineLevel="0" max="12833" min="12833" style="70" width="3.29"/>
    <col collapsed="false" customWidth="true" hidden="false" outlineLevel="0" max="12834" min="12834" style="70" width="8"/>
    <col collapsed="false" customWidth="false" hidden="false" outlineLevel="0" max="12835" min="12835" style="70" width="42.57"/>
    <col collapsed="false" customWidth="true" hidden="false" outlineLevel="0" max="12836" min="12836" style="70" width="3.29"/>
    <col collapsed="false" customWidth="true" hidden="false" outlineLevel="0" max="12837" min="12837" style="70" width="8"/>
    <col collapsed="false" customWidth="false" hidden="false" outlineLevel="0" max="12838" min="12838" style="70" width="42.57"/>
    <col collapsed="false" customWidth="true" hidden="false" outlineLevel="0" max="12839" min="12839" style="70" width="3.29"/>
    <col collapsed="false" customWidth="true" hidden="false" outlineLevel="0" max="12840" min="12840" style="70" width="8"/>
    <col collapsed="false" customWidth="false" hidden="false" outlineLevel="0" max="12841" min="12841" style="70" width="42.57"/>
    <col collapsed="false" customWidth="true" hidden="false" outlineLevel="0" max="12842" min="12842" style="70" width="3.29"/>
    <col collapsed="false" customWidth="true" hidden="false" outlineLevel="0" max="12843" min="12843" style="70" width="8"/>
    <col collapsed="false" customWidth="false" hidden="false" outlineLevel="0" max="12844" min="12844" style="70" width="42.57"/>
    <col collapsed="false" customWidth="true" hidden="false" outlineLevel="0" max="12845" min="12845" style="70" width="3.29"/>
    <col collapsed="false" customWidth="true" hidden="false" outlineLevel="0" max="12846" min="12846" style="70" width="8"/>
    <col collapsed="false" customWidth="false" hidden="false" outlineLevel="0" max="12847" min="12847" style="70" width="42.57"/>
    <col collapsed="false" customWidth="true" hidden="false" outlineLevel="0" max="12848" min="12848" style="70" width="3.29"/>
    <col collapsed="false" customWidth="true" hidden="false" outlineLevel="0" max="12849" min="12849" style="70" width="8"/>
    <col collapsed="false" customWidth="false" hidden="false" outlineLevel="0" max="12850" min="12850" style="70" width="42.57"/>
    <col collapsed="false" customWidth="true" hidden="false" outlineLevel="0" max="12851" min="12851" style="70" width="3.29"/>
    <col collapsed="false" customWidth="true" hidden="false" outlineLevel="0" max="12852" min="12852" style="70" width="8"/>
    <col collapsed="false" customWidth="false" hidden="false" outlineLevel="0" max="12853" min="12853" style="70" width="42.57"/>
    <col collapsed="false" customWidth="true" hidden="false" outlineLevel="0" max="12854" min="12854" style="70" width="3.29"/>
    <col collapsed="false" customWidth="true" hidden="false" outlineLevel="0" max="12855" min="12855" style="70" width="8"/>
    <col collapsed="false" customWidth="false" hidden="false" outlineLevel="0" max="12856" min="12856" style="70" width="42.57"/>
    <col collapsed="false" customWidth="true" hidden="false" outlineLevel="0" max="12857" min="12857" style="70" width="3.29"/>
    <col collapsed="false" customWidth="true" hidden="false" outlineLevel="0" max="12858" min="12858" style="70" width="8"/>
    <col collapsed="false" customWidth="false" hidden="false" outlineLevel="0" max="12859" min="12859" style="70" width="42.57"/>
    <col collapsed="false" customWidth="true" hidden="false" outlineLevel="0" max="12860" min="12860" style="70" width="3.29"/>
    <col collapsed="false" customWidth="true" hidden="false" outlineLevel="0" max="12861" min="12861" style="70" width="8"/>
    <col collapsed="false" customWidth="false" hidden="false" outlineLevel="0" max="12862" min="12862" style="70" width="42.57"/>
    <col collapsed="false" customWidth="true" hidden="false" outlineLevel="0" max="12863" min="12863" style="70" width="3.29"/>
    <col collapsed="false" customWidth="true" hidden="false" outlineLevel="0" max="12864" min="12864" style="70" width="8"/>
    <col collapsed="false" customWidth="false" hidden="false" outlineLevel="0" max="12865" min="12865" style="70" width="42.57"/>
    <col collapsed="false" customWidth="true" hidden="false" outlineLevel="0" max="12866" min="12866" style="70" width="3.29"/>
    <col collapsed="false" customWidth="true" hidden="false" outlineLevel="0" max="12867" min="12867" style="70" width="8"/>
    <col collapsed="false" customWidth="false" hidden="false" outlineLevel="0" max="12868" min="12868" style="70" width="42.57"/>
    <col collapsed="false" customWidth="true" hidden="false" outlineLevel="0" max="12869" min="12869" style="70" width="3.29"/>
    <col collapsed="false" customWidth="true" hidden="false" outlineLevel="0" max="12870" min="12870" style="70" width="8"/>
    <col collapsed="false" customWidth="false" hidden="false" outlineLevel="0" max="12871" min="12871" style="70" width="42.57"/>
    <col collapsed="false" customWidth="true" hidden="false" outlineLevel="0" max="12872" min="12872" style="70" width="3.29"/>
    <col collapsed="false" customWidth="true" hidden="false" outlineLevel="0" max="12873" min="12873" style="70" width="8"/>
    <col collapsed="false" customWidth="false" hidden="false" outlineLevel="0" max="12874" min="12874" style="70" width="42.57"/>
    <col collapsed="false" customWidth="true" hidden="false" outlineLevel="0" max="12875" min="12875" style="70" width="3.29"/>
    <col collapsed="false" customWidth="true" hidden="false" outlineLevel="0" max="12876" min="12876" style="70" width="8"/>
    <col collapsed="false" customWidth="false" hidden="false" outlineLevel="0" max="12877" min="12877" style="70" width="42.57"/>
    <col collapsed="false" customWidth="true" hidden="false" outlineLevel="0" max="12878" min="12878" style="70" width="3.29"/>
    <col collapsed="false" customWidth="true" hidden="false" outlineLevel="0" max="12879" min="12879" style="70" width="8"/>
    <col collapsed="false" customWidth="false" hidden="false" outlineLevel="0" max="12880" min="12880" style="70" width="42.57"/>
    <col collapsed="false" customWidth="true" hidden="false" outlineLevel="0" max="12881" min="12881" style="70" width="3.29"/>
    <col collapsed="false" customWidth="true" hidden="false" outlineLevel="0" max="12882" min="12882" style="70" width="8"/>
    <col collapsed="false" customWidth="false" hidden="false" outlineLevel="0" max="12883" min="12883" style="70" width="42.57"/>
    <col collapsed="false" customWidth="true" hidden="false" outlineLevel="0" max="12884" min="12884" style="70" width="3.29"/>
    <col collapsed="false" customWidth="true" hidden="false" outlineLevel="0" max="12885" min="12885" style="70" width="8"/>
    <col collapsed="false" customWidth="false" hidden="false" outlineLevel="0" max="12886" min="12886" style="70" width="42.57"/>
    <col collapsed="false" customWidth="true" hidden="false" outlineLevel="0" max="12887" min="12887" style="70" width="3.29"/>
    <col collapsed="false" customWidth="true" hidden="false" outlineLevel="0" max="12888" min="12888" style="70" width="8"/>
    <col collapsed="false" customWidth="false" hidden="false" outlineLevel="0" max="12889" min="12889" style="70" width="42.57"/>
    <col collapsed="false" customWidth="true" hidden="false" outlineLevel="0" max="12890" min="12890" style="70" width="3.29"/>
    <col collapsed="false" customWidth="true" hidden="false" outlineLevel="0" max="12891" min="12891" style="70" width="8"/>
    <col collapsed="false" customWidth="false" hidden="false" outlineLevel="0" max="12892" min="12892" style="70" width="42.57"/>
    <col collapsed="false" customWidth="true" hidden="false" outlineLevel="0" max="12893" min="12893" style="70" width="3.29"/>
    <col collapsed="false" customWidth="true" hidden="false" outlineLevel="0" max="12894" min="12894" style="70" width="8"/>
    <col collapsed="false" customWidth="false" hidden="false" outlineLevel="0" max="12895" min="12895" style="70" width="42.57"/>
    <col collapsed="false" customWidth="true" hidden="false" outlineLevel="0" max="12896" min="12896" style="70" width="3.29"/>
    <col collapsed="false" customWidth="true" hidden="false" outlineLevel="0" max="12897" min="12897" style="70" width="8"/>
    <col collapsed="false" customWidth="false" hidden="false" outlineLevel="0" max="12898" min="12898" style="70" width="42.57"/>
    <col collapsed="false" customWidth="true" hidden="false" outlineLevel="0" max="12899" min="12899" style="70" width="3.29"/>
    <col collapsed="false" customWidth="true" hidden="false" outlineLevel="0" max="12900" min="12900" style="70" width="8"/>
    <col collapsed="false" customWidth="false" hidden="false" outlineLevel="0" max="12901" min="12901" style="70" width="42.57"/>
    <col collapsed="false" customWidth="true" hidden="false" outlineLevel="0" max="12902" min="12902" style="70" width="3.29"/>
    <col collapsed="false" customWidth="true" hidden="false" outlineLevel="0" max="12903" min="12903" style="70" width="8"/>
    <col collapsed="false" customWidth="false" hidden="false" outlineLevel="0" max="12904" min="12904" style="70" width="42.57"/>
    <col collapsed="false" customWidth="true" hidden="false" outlineLevel="0" max="12905" min="12905" style="70" width="3.29"/>
    <col collapsed="false" customWidth="true" hidden="false" outlineLevel="0" max="12906" min="12906" style="70" width="8"/>
    <col collapsed="false" customWidth="false" hidden="false" outlineLevel="0" max="12907" min="12907" style="70" width="42.57"/>
    <col collapsed="false" customWidth="true" hidden="false" outlineLevel="0" max="12908" min="12908" style="70" width="3.29"/>
    <col collapsed="false" customWidth="true" hidden="false" outlineLevel="0" max="12909" min="12909" style="70" width="8"/>
    <col collapsed="false" customWidth="false" hidden="false" outlineLevel="0" max="12910" min="12910" style="70" width="42.57"/>
    <col collapsed="false" customWidth="true" hidden="false" outlineLevel="0" max="12911" min="12911" style="70" width="3.29"/>
    <col collapsed="false" customWidth="true" hidden="false" outlineLevel="0" max="12912" min="12912" style="70" width="8"/>
    <col collapsed="false" customWidth="false" hidden="false" outlineLevel="0" max="12913" min="12913" style="70" width="42.57"/>
    <col collapsed="false" customWidth="true" hidden="false" outlineLevel="0" max="12914" min="12914" style="70" width="3.29"/>
    <col collapsed="false" customWidth="true" hidden="false" outlineLevel="0" max="12915" min="12915" style="70" width="8"/>
    <col collapsed="false" customWidth="false" hidden="false" outlineLevel="0" max="12916" min="12916" style="70" width="42.57"/>
    <col collapsed="false" customWidth="true" hidden="false" outlineLevel="0" max="12917" min="12917" style="70" width="3.29"/>
    <col collapsed="false" customWidth="true" hidden="false" outlineLevel="0" max="12918" min="12918" style="70" width="8"/>
    <col collapsed="false" customWidth="false" hidden="false" outlineLevel="0" max="12919" min="12919" style="70" width="42.57"/>
    <col collapsed="false" customWidth="true" hidden="false" outlineLevel="0" max="12920" min="12920" style="70" width="3.29"/>
    <col collapsed="false" customWidth="true" hidden="false" outlineLevel="0" max="12921" min="12921" style="70" width="8"/>
    <col collapsed="false" customWidth="false" hidden="false" outlineLevel="0" max="12922" min="12922" style="70" width="42.57"/>
    <col collapsed="false" customWidth="true" hidden="false" outlineLevel="0" max="12923" min="12923" style="70" width="3.29"/>
    <col collapsed="false" customWidth="true" hidden="false" outlineLevel="0" max="12924" min="12924" style="70" width="8"/>
    <col collapsed="false" customWidth="false" hidden="false" outlineLevel="0" max="12925" min="12925" style="70" width="42.57"/>
    <col collapsed="false" customWidth="true" hidden="false" outlineLevel="0" max="12926" min="12926" style="70" width="3.29"/>
    <col collapsed="false" customWidth="true" hidden="false" outlineLevel="0" max="12927" min="12927" style="70" width="8"/>
    <col collapsed="false" customWidth="false" hidden="false" outlineLevel="0" max="12928" min="12928" style="70" width="42.57"/>
    <col collapsed="false" customWidth="true" hidden="false" outlineLevel="0" max="12929" min="12929" style="70" width="3.29"/>
    <col collapsed="false" customWidth="true" hidden="false" outlineLevel="0" max="12930" min="12930" style="70" width="8"/>
    <col collapsed="false" customWidth="false" hidden="false" outlineLevel="0" max="12931" min="12931" style="70" width="42.57"/>
    <col collapsed="false" customWidth="true" hidden="false" outlineLevel="0" max="12932" min="12932" style="70" width="3.29"/>
    <col collapsed="false" customWidth="true" hidden="false" outlineLevel="0" max="12933" min="12933" style="70" width="8"/>
    <col collapsed="false" customWidth="false" hidden="false" outlineLevel="0" max="12934" min="12934" style="70" width="42.57"/>
    <col collapsed="false" customWidth="true" hidden="false" outlineLevel="0" max="12935" min="12935" style="70" width="3.29"/>
    <col collapsed="false" customWidth="true" hidden="false" outlineLevel="0" max="12936" min="12936" style="70" width="8"/>
    <col collapsed="false" customWidth="false" hidden="false" outlineLevel="0" max="12937" min="12937" style="70" width="42.57"/>
    <col collapsed="false" customWidth="true" hidden="false" outlineLevel="0" max="12938" min="12938" style="70" width="3.29"/>
    <col collapsed="false" customWidth="true" hidden="false" outlineLevel="0" max="12939" min="12939" style="70" width="8"/>
    <col collapsed="false" customWidth="false" hidden="false" outlineLevel="0" max="12940" min="12940" style="70" width="42.57"/>
    <col collapsed="false" customWidth="true" hidden="false" outlineLevel="0" max="12941" min="12941" style="70" width="3.29"/>
    <col collapsed="false" customWidth="true" hidden="false" outlineLevel="0" max="12942" min="12942" style="70" width="8"/>
    <col collapsed="false" customWidth="false" hidden="false" outlineLevel="0" max="12943" min="12943" style="70" width="42.57"/>
    <col collapsed="false" customWidth="true" hidden="false" outlineLevel="0" max="12944" min="12944" style="70" width="3.29"/>
    <col collapsed="false" customWidth="true" hidden="false" outlineLevel="0" max="12945" min="12945" style="70" width="8"/>
    <col collapsed="false" customWidth="false" hidden="false" outlineLevel="0" max="12946" min="12946" style="70" width="42.57"/>
    <col collapsed="false" customWidth="true" hidden="false" outlineLevel="0" max="12947" min="12947" style="70" width="3.29"/>
    <col collapsed="false" customWidth="true" hidden="false" outlineLevel="0" max="12948" min="12948" style="70" width="8"/>
    <col collapsed="false" customWidth="false" hidden="false" outlineLevel="0" max="12949" min="12949" style="70" width="42.57"/>
    <col collapsed="false" customWidth="true" hidden="false" outlineLevel="0" max="12950" min="12950" style="70" width="3.29"/>
    <col collapsed="false" customWidth="true" hidden="false" outlineLevel="0" max="12951" min="12951" style="70" width="8"/>
    <col collapsed="false" customWidth="false" hidden="false" outlineLevel="0" max="12952" min="12952" style="70" width="42.57"/>
    <col collapsed="false" customWidth="true" hidden="false" outlineLevel="0" max="12953" min="12953" style="70" width="3.29"/>
    <col collapsed="false" customWidth="true" hidden="false" outlineLevel="0" max="12954" min="12954" style="70" width="8"/>
    <col collapsed="false" customWidth="false" hidden="false" outlineLevel="0" max="12955" min="12955" style="70" width="42.57"/>
    <col collapsed="false" customWidth="true" hidden="false" outlineLevel="0" max="12956" min="12956" style="70" width="3.29"/>
    <col collapsed="false" customWidth="true" hidden="false" outlineLevel="0" max="12957" min="12957" style="70" width="8"/>
    <col collapsed="false" customWidth="false" hidden="false" outlineLevel="0" max="12958" min="12958" style="70" width="42.57"/>
    <col collapsed="false" customWidth="true" hidden="false" outlineLevel="0" max="12959" min="12959" style="70" width="3.29"/>
    <col collapsed="false" customWidth="true" hidden="false" outlineLevel="0" max="12960" min="12960" style="70" width="8"/>
    <col collapsed="false" customWidth="false" hidden="false" outlineLevel="0" max="12961" min="12961" style="70" width="42.57"/>
    <col collapsed="false" customWidth="true" hidden="false" outlineLevel="0" max="12962" min="12962" style="70" width="3.29"/>
    <col collapsed="false" customWidth="true" hidden="false" outlineLevel="0" max="12963" min="12963" style="70" width="8"/>
    <col collapsed="false" customWidth="false" hidden="false" outlineLevel="0" max="12964" min="12964" style="70" width="42.57"/>
    <col collapsed="false" customWidth="true" hidden="false" outlineLevel="0" max="12965" min="12965" style="70" width="3.29"/>
    <col collapsed="false" customWidth="true" hidden="false" outlineLevel="0" max="12966" min="12966" style="70" width="8"/>
    <col collapsed="false" customWidth="false" hidden="false" outlineLevel="0" max="12967" min="12967" style="70" width="42.57"/>
    <col collapsed="false" customWidth="true" hidden="false" outlineLevel="0" max="12968" min="12968" style="70" width="3.29"/>
    <col collapsed="false" customWidth="true" hidden="false" outlineLevel="0" max="12969" min="12969" style="70" width="8"/>
    <col collapsed="false" customWidth="false" hidden="false" outlineLevel="0" max="12970" min="12970" style="70" width="42.57"/>
    <col collapsed="false" customWidth="true" hidden="false" outlineLevel="0" max="12971" min="12971" style="70" width="3.29"/>
    <col collapsed="false" customWidth="true" hidden="false" outlineLevel="0" max="12972" min="12972" style="70" width="8"/>
    <col collapsed="false" customWidth="false" hidden="false" outlineLevel="0" max="12973" min="12973" style="70" width="42.57"/>
    <col collapsed="false" customWidth="true" hidden="false" outlineLevel="0" max="12974" min="12974" style="70" width="3.29"/>
    <col collapsed="false" customWidth="true" hidden="false" outlineLevel="0" max="12975" min="12975" style="70" width="8"/>
    <col collapsed="false" customWidth="false" hidden="false" outlineLevel="0" max="12976" min="12976" style="70" width="42.57"/>
    <col collapsed="false" customWidth="true" hidden="false" outlineLevel="0" max="12977" min="12977" style="70" width="3.29"/>
    <col collapsed="false" customWidth="true" hidden="false" outlineLevel="0" max="12978" min="12978" style="70" width="8"/>
    <col collapsed="false" customWidth="false" hidden="false" outlineLevel="0" max="12979" min="12979" style="70" width="42.57"/>
    <col collapsed="false" customWidth="true" hidden="false" outlineLevel="0" max="12980" min="12980" style="70" width="3.29"/>
    <col collapsed="false" customWidth="true" hidden="false" outlineLevel="0" max="12981" min="12981" style="70" width="8"/>
    <col collapsed="false" customWidth="false" hidden="false" outlineLevel="0" max="12982" min="12982" style="70" width="42.57"/>
    <col collapsed="false" customWidth="true" hidden="false" outlineLevel="0" max="12983" min="12983" style="70" width="3.29"/>
    <col collapsed="false" customWidth="true" hidden="false" outlineLevel="0" max="12984" min="12984" style="70" width="8"/>
    <col collapsed="false" customWidth="false" hidden="false" outlineLevel="0" max="12985" min="12985" style="70" width="42.57"/>
    <col collapsed="false" customWidth="true" hidden="false" outlineLevel="0" max="12986" min="12986" style="70" width="3.29"/>
    <col collapsed="false" customWidth="true" hidden="false" outlineLevel="0" max="12987" min="12987" style="70" width="8"/>
    <col collapsed="false" customWidth="false" hidden="false" outlineLevel="0" max="12988" min="12988" style="70" width="42.57"/>
    <col collapsed="false" customWidth="true" hidden="false" outlineLevel="0" max="12989" min="12989" style="70" width="3.29"/>
    <col collapsed="false" customWidth="true" hidden="false" outlineLevel="0" max="12990" min="12990" style="70" width="8"/>
    <col collapsed="false" customWidth="false" hidden="false" outlineLevel="0" max="12991" min="12991" style="70" width="42.57"/>
    <col collapsed="false" customWidth="true" hidden="false" outlineLevel="0" max="12992" min="12992" style="70" width="3.29"/>
    <col collapsed="false" customWidth="true" hidden="false" outlineLevel="0" max="12993" min="12993" style="70" width="8"/>
    <col collapsed="false" customWidth="false" hidden="false" outlineLevel="0" max="12994" min="12994" style="70" width="42.57"/>
    <col collapsed="false" customWidth="true" hidden="false" outlineLevel="0" max="12995" min="12995" style="70" width="3.29"/>
    <col collapsed="false" customWidth="true" hidden="false" outlineLevel="0" max="12996" min="12996" style="70" width="8"/>
    <col collapsed="false" customWidth="false" hidden="false" outlineLevel="0" max="12997" min="12997" style="70" width="42.57"/>
    <col collapsed="false" customWidth="true" hidden="false" outlineLevel="0" max="12998" min="12998" style="70" width="3.29"/>
    <col collapsed="false" customWidth="true" hidden="false" outlineLevel="0" max="12999" min="12999" style="70" width="8"/>
    <col collapsed="false" customWidth="false" hidden="false" outlineLevel="0" max="13000" min="13000" style="70" width="42.57"/>
    <col collapsed="false" customWidth="true" hidden="false" outlineLevel="0" max="13001" min="13001" style="70" width="3.29"/>
    <col collapsed="false" customWidth="true" hidden="false" outlineLevel="0" max="13002" min="13002" style="70" width="8"/>
    <col collapsed="false" customWidth="false" hidden="false" outlineLevel="0" max="13003" min="13003" style="70" width="42.57"/>
    <col collapsed="false" customWidth="true" hidden="false" outlineLevel="0" max="13004" min="13004" style="70" width="3.29"/>
    <col collapsed="false" customWidth="true" hidden="false" outlineLevel="0" max="13005" min="13005" style="70" width="8"/>
    <col collapsed="false" customWidth="false" hidden="false" outlineLevel="0" max="13006" min="13006" style="70" width="42.57"/>
    <col collapsed="false" customWidth="true" hidden="false" outlineLevel="0" max="13007" min="13007" style="70" width="3.29"/>
    <col collapsed="false" customWidth="true" hidden="false" outlineLevel="0" max="13008" min="13008" style="70" width="8"/>
    <col collapsed="false" customWidth="false" hidden="false" outlineLevel="0" max="13009" min="13009" style="70" width="42.57"/>
    <col collapsed="false" customWidth="true" hidden="false" outlineLevel="0" max="13010" min="13010" style="70" width="3.29"/>
    <col collapsed="false" customWidth="true" hidden="false" outlineLevel="0" max="13011" min="13011" style="70" width="8"/>
    <col collapsed="false" customWidth="false" hidden="false" outlineLevel="0" max="13012" min="13012" style="70" width="42.57"/>
    <col collapsed="false" customWidth="true" hidden="false" outlineLevel="0" max="13013" min="13013" style="70" width="3.29"/>
    <col collapsed="false" customWidth="true" hidden="false" outlineLevel="0" max="13014" min="13014" style="70" width="8"/>
    <col collapsed="false" customWidth="false" hidden="false" outlineLevel="0" max="13015" min="13015" style="70" width="42.57"/>
    <col collapsed="false" customWidth="true" hidden="false" outlineLevel="0" max="13016" min="13016" style="70" width="3.29"/>
    <col collapsed="false" customWidth="true" hidden="false" outlineLevel="0" max="13017" min="13017" style="70" width="8"/>
    <col collapsed="false" customWidth="false" hidden="false" outlineLevel="0" max="13018" min="13018" style="70" width="42.57"/>
    <col collapsed="false" customWidth="true" hidden="false" outlineLevel="0" max="13019" min="13019" style="70" width="3.29"/>
    <col collapsed="false" customWidth="true" hidden="false" outlineLevel="0" max="13020" min="13020" style="70" width="8"/>
    <col collapsed="false" customWidth="false" hidden="false" outlineLevel="0" max="13021" min="13021" style="70" width="42.57"/>
    <col collapsed="false" customWidth="true" hidden="false" outlineLevel="0" max="13022" min="13022" style="70" width="3.29"/>
    <col collapsed="false" customWidth="true" hidden="false" outlineLevel="0" max="13023" min="13023" style="70" width="8"/>
    <col collapsed="false" customWidth="false" hidden="false" outlineLevel="0" max="13024" min="13024" style="70" width="42.57"/>
    <col collapsed="false" customWidth="true" hidden="false" outlineLevel="0" max="13025" min="13025" style="70" width="3.29"/>
    <col collapsed="false" customWidth="true" hidden="false" outlineLevel="0" max="13026" min="13026" style="70" width="8"/>
    <col collapsed="false" customWidth="false" hidden="false" outlineLevel="0" max="13027" min="13027" style="70" width="42.57"/>
    <col collapsed="false" customWidth="true" hidden="false" outlineLevel="0" max="13028" min="13028" style="70" width="3.29"/>
    <col collapsed="false" customWidth="true" hidden="false" outlineLevel="0" max="13029" min="13029" style="70" width="8"/>
    <col collapsed="false" customWidth="false" hidden="false" outlineLevel="0" max="13030" min="13030" style="70" width="42.57"/>
    <col collapsed="false" customWidth="true" hidden="false" outlineLevel="0" max="13031" min="13031" style="70" width="3.29"/>
    <col collapsed="false" customWidth="true" hidden="false" outlineLevel="0" max="13032" min="13032" style="70" width="8"/>
    <col collapsed="false" customWidth="false" hidden="false" outlineLevel="0" max="13033" min="13033" style="70" width="42.57"/>
    <col collapsed="false" customWidth="true" hidden="false" outlineLevel="0" max="13034" min="13034" style="70" width="3.29"/>
    <col collapsed="false" customWidth="true" hidden="false" outlineLevel="0" max="13035" min="13035" style="70" width="8"/>
    <col collapsed="false" customWidth="false" hidden="false" outlineLevel="0" max="13036" min="13036" style="70" width="42.57"/>
    <col collapsed="false" customWidth="true" hidden="false" outlineLevel="0" max="13037" min="13037" style="70" width="3.29"/>
    <col collapsed="false" customWidth="true" hidden="false" outlineLevel="0" max="13038" min="13038" style="70" width="8"/>
    <col collapsed="false" customWidth="false" hidden="false" outlineLevel="0" max="13039" min="13039" style="70" width="42.57"/>
    <col collapsed="false" customWidth="true" hidden="false" outlineLevel="0" max="13040" min="13040" style="70" width="3.29"/>
    <col collapsed="false" customWidth="true" hidden="false" outlineLevel="0" max="13041" min="13041" style="70" width="8"/>
    <col collapsed="false" customWidth="false" hidden="false" outlineLevel="0" max="13042" min="13042" style="70" width="42.57"/>
    <col collapsed="false" customWidth="true" hidden="false" outlineLevel="0" max="13043" min="13043" style="70" width="3.29"/>
    <col collapsed="false" customWidth="true" hidden="false" outlineLevel="0" max="13044" min="13044" style="70" width="8"/>
    <col collapsed="false" customWidth="false" hidden="false" outlineLevel="0" max="13045" min="13045" style="70" width="42.57"/>
    <col collapsed="false" customWidth="true" hidden="false" outlineLevel="0" max="13046" min="13046" style="70" width="3.29"/>
    <col collapsed="false" customWidth="true" hidden="false" outlineLevel="0" max="13047" min="13047" style="70" width="8"/>
    <col collapsed="false" customWidth="false" hidden="false" outlineLevel="0" max="13048" min="13048" style="70" width="42.57"/>
    <col collapsed="false" customWidth="true" hidden="false" outlineLevel="0" max="13049" min="13049" style="70" width="3.29"/>
    <col collapsed="false" customWidth="true" hidden="false" outlineLevel="0" max="13050" min="13050" style="70" width="8"/>
    <col collapsed="false" customWidth="false" hidden="false" outlineLevel="0" max="13051" min="13051" style="70" width="42.57"/>
    <col collapsed="false" customWidth="true" hidden="false" outlineLevel="0" max="13052" min="13052" style="70" width="3.29"/>
    <col collapsed="false" customWidth="true" hidden="false" outlineLevel="0" max="13053" min="13053" style="70" width="8"/>
    <col collapsed="false" customWidth="false" hidden="false" outlineLevel="0" max="13054" min="13054" style="70" width="42.57"/>
    <col collapsed="false" customWidth="true" hidden="false" outlineLevel="0" max="13055" min="13055" style="70" width="3.29"/>
    <col collapsed="false" customWidth="true" hidden="false" outlineLevel="0" max="13056" min="13056" style="70" width="8"/>
    <col collapsed="false" customWidth="false" hidden="false" outlineLevel="0" max="13057" min="13057" style="70" width="42.57"/>
    <col collapsed="false" customWidth="true" hidden="false" outlineLevel="0" max="13058" min="13058" style="70" width="3.29"/>
    <col collapsed="false" customWidth="true" hidden="false" outlineLevel="0" max="13059" min="13059" style="70" width="8"/>
    <col collapsed="false" customWidth="false" hidden="false" outlineLevel="0" max="13060" min="13060" style="70" width="42.57"/>
    <col collapsed="false" customWidth="true" hidden="false" outlineLevel="0" max="13061" min="13061" style="70" width="3.29"/>
    <col collapsed="false" customWidth="true" hidden="false" outlineLevel="0" max="13062" min="13062" style="70" width="8"/>
    <col collapsed="false" customWidth="false" hidden="false" outlineLevel="0" max="13063" min="13063" style="70" width="42.57"/>
    <col collapsed="false" customWidth="true" hidden="false" outlineLevel="0" max="13064" min="13064" style="70" width="3.29"/>
    <col collapsed="false" customWidth="true" hidden="false" outlineLevel="0" max="13065" min="13065" style="70" width="8"/>
    <col collapsed="false" customWidth="false" hidden="false" outlineLevel="0" max="13066" min="13066" style="70" width="42.57"/>
    <col collapsed="false" customWidth="true" hidden="false" outlineLevel="0" max="13067" min="13067" style="70" width="3.29"/>
    <col collapsed="false" customWidth="true" hidden="false" outlineLevel="0" max="13068" min="13068" style="70" width="8"/>
    <col collapsed="false" customWidth="false" hidden="false" outlineLevel="0" max="13069" min="13069" style="70" width="42.57"/>
    <col collapsed="false" customWidth="true" hidden="false" outlineLevel="0" max="13070" min="13070" style="70" width="3.29"/>
    <col collapsed="false" customWidth="true" hidden="false" outlineLevel="0" max="13071" min="13071" style="70" width="8"/>
    <col collapsed="false" customWidth="false" hidden="false" outlineLevel="0" max="13072" min="13072" style="70" width="42.57"/>
    <col collapsed="false" customWidth="true" hidden="false" outlineLevel="0" max="13073" min="13073" style="70" width="3.29"/>
    <col collapsed="false" customWidth="true" hidden="false" outlineLevel="0" max="13074" min="13074" style="70" width="8"/>
    <col collapsed="false" customWidth="false" hidden="false" outlineLevel="0" max="13075" min="13075" style="70" width="42.57"/>
    <col collapsed="false" customWidth="true" hidden="false" outlineLevel="0" max="13076" min="13076" style="70" width="3.29"/>
    <col collapsed="false" customWidth="true" hidden="false" outlineLevel="0" max="13077" min="13077" style="70" width="8"/>
    <col collapsed="false" customWidth="false" hidden="false" outlineLevel="0" max="13078" min="13078" style="70" width="42.57"/>
    <col collapsed="false" customWidth="true" hidden="false" outlineLevel="0" max="13079" min="13079" style="70" width="3.29"/>
    <col collapsed="false" customWidth="true" hidden="false" outlineLevel="0" max="13080" min="13080" style="70" width="8"/>
    <col collapsed="false" customWidth="false" hidden="false" outlineLevel="0" max="13081" min="13081" style="70" width="42.57"/>
    <col collapsed="false" customWidth="true" hidden="false" outlineLevel="0" max="13082" min="13082" style="70" width="3.29"/>
    <col collapsed="false" customWidth="true" hidden="false" outlineLevel="0" max="13083" min="13083" style="70" width="8"/>
    <col collapsed="false" customWidth="false" hidden="false" outlineLevel="0" max="13084" min="13084" style="70" width="42.57"/>
    <col collapsed="false" customWidth="true" hidden="false" outlineLevel="0" max="13085" min="13085" style="70" width="3.29"/>
    <col collapsed="false" customWidth="true" hidden="false" outlineLevel="0" max="13086" min="13086" style="70" width="8"/>
    <col collapsed="false" customWidth="false" hidden="false" outlineLevel="0" max="13087" min="13087" style="70" width="42.57"/>
    <col collapsed="false" customWidth="true" hidden="false" outlineLevel="0" max="13088" min="13088" style="70" width="3.29"/>
    <col collapsed="false" customWidth="true" hidden="false" outlineLevel="0" max="13089" min="13089" style="70" width="8"/>
    <col collapsed="false" customWidth="false" hidden="false" outlineLevel="0" max="13090" min="13090" style="70" width="42.57"/>
    <col collapsed="false" customWidth="true" hidden="false" outlineLevel="0" max="13091" min="13091" style="70" width="3.29"/>
    <col collapsed="false" customWidth="true" hidden="false" outlineLevel="0" max="13092" min="13092" style="70" width="8"/>
    <col collapsed="false" customWidth="false" hidden="false" outlineLevel="0" max="13093" min="13093" style="70" width="42.57"/>
    <col collapsed="false" customWidth="true" hidden="false" outlineLevel="0" max="13094" min="13094" style="70" width="3.29"/>
    <col collapsed="false" customWidth="true" hidden="false" outlineLevel="0" max="13095" min="13095" style="70" width="8"/>
    <col collapsed="false" customWidth="false" hidden="false" outlineLevel="0" max="13096" min="13096" style="70" width="42.57"/>
    <col collapsed="false" customWidth="true" hidden="false" outlineLevel="0" max="13097" min="13097" style="70" width="3.29"/>
    <col collapsed="false" customWidth="true" hidden="false" outlineLevel="0" max="13098" min="13098" style="70" width="8"/>
    <col collapsed="false" customWidth="false" hidden="false" outlineLevel="0" max="13099" min="13099" style="70" width="42.57"/>
    <col collapsed="false" customWidth="true" hidden="false" outlineLevel="0" max="13100" min="13100" style="70" width="3.29"/>
    <col collapsed="false" customWidth="true" hidden="false" outlineLevel="0" max="13101" min="13101" style="70" width="8"/>
    <col collapsed="false" customWidth="false" hidden="false" outlineLevel="0" max="13102" min="13102" style="70" width="42.57"/>
    <col collapsed="false" customWidth="true" hidden="false" outlineLevel="0" max="13103" min="13103" style="70" width="3.29"/>
    <col collapsed="false" customWidth="true" hidden="false" outlineLevel="0" max="13104" min="13104" style="70" width="8"/>
    <col collapsed="false" customWidth="false" hidden="false" outlineLevel="0" max="13105" min="13105" style="70" width="42.57"/>
    <col collapsed="false" customWidth="true" hidden="false" outlineLevel="0" max="13106" min="13106" style="70" width="3.29"/>
    <col collapsed="false" customWidth="true" hidden="false" outlineLevel="0" max="13107" min="13107" style="70" width="8"/>
    <col collapsed="false" customWidth="false" hidden="false" outlineLevel="0" max="13108" min="13108" style="70" width="42.57"/>
    <col collapsed="false" customWidth="true" hidden="false" outlineLevel="0" max="13109" min="13109" style="70" width="3.29"/>
    <col collapsed="false" customWidth="true" hidden="false" outlineLevel="0" max="13110" min="13110" style="70" width="8"/>
    <col collapsed="false" customWidth="false" hidden="false" outlineLevel="0" max="13111" min="13111" style="70" width="42.57"/>
    <col collapsed="false" customWidth="true" hidden="false" outlineLevel="0" max="13112" min="13112" style="70" width="3.29"/>
    <col collapsed="false" customWidth="true" hidden="false" outlineLevel="0" max="13113" min="13113" style="70" width="8"/>
    <col collapsed="false" customWidth="false" hidden="false" outlineLevel="0" max="13114" min="13114" style="70" width="42.57"/>
    <col collapsed="false" customWidth="true" hidden="false" outlineLevel="0" max="13115" min="13115" style="70" width="3.29"/>
    <col collapsed="false" customWidth="true" hidden="false" outlineLevel="0" max="13116" min="13116" style="70" width="8"/>
    <col collapsed="false" customWidth="false" hidden="false" outlineLevel="0" max="13117" min="13117" style="70" width="42.57"/>
    <col collapsed="false" customWidth="true" hidden="false" outlineLevel="0" max="13118" min="13118" style="70" width="3.29"/>
    <col collapsed="false" customWidth="true" hidden="false" outlineLevel="0" max="13119" min="13119" style="70" width="8"/>
    <col collapsed="false" customWidth="false" hidden="false" outlineLevel="0" max="13120" min="13120" style="70" width="42.57"/>
    <col collapsed="false" customWidth="true" hidden="false" outlineLevel="0" max="13121" min="13121" style="70" width="3.29"/>
    <col collapsed="false" customWidth="true" hidden="false" outlineLevel="0" max="13122" min="13122" style="70" width="8"/>
    <col collapsed="false" customWidth="false" hidden="false" outlineLevel="0" max="13123" min="13123" style="70" width="42.57"/>
    <col collapsed="false" customWidth="true" hidden="false" outlineLevel="0" max="13124" min="13124" style="70" width="3.29"/>
    <col collapsed="false" customWidth="true" hidden="false" outlineLevel="0" max="13125" min="13125" style="70" width="8"/>
    <col collapsed="false" customWidth="false" hidden="false" outlineLevel="0" max="13126" min="13126" style="70" width="42.57"/>
    <col collapsed="false" customWidth="true" hidden="false" outlineLevel="0" max="13127" min="13127" style="70" width="3.29"/>
    <col collapsed="false" customWidth="true" hidden="false" outlineLevel="0" max="13128" min="13128" style="70" width="8"/>
    <col collapsed="false" customWidth="false" hidden="false" outlineLevel="0" max="13129" min="13129" style="70" width="42.57"/>
    <col collapsed="false" customWidth="true" hidden="false" outlineLevel="0" max="13130" min="13130" style="70" width="3.29"/>
    <col collapsed="false" customWidth="true" hidden="false" outlineLevel="0" max="13131" min="13131" style="70" width="8"/>
    <col collapsed="false" customWidth="false" hidden="false" outlineLevel="0" max="13132" min="13132" style="70" width="42.57"/>
    <col collapsed="false" customWidth="true" hidden="false" outlineLevel="0" max="13133" min="13133" style="70" width="3.29"/>
    <col collapsed="false" customWidth="true" hidden="false" outlineLevel="0" max="13134" min="13134" style="70" width="8"/>
    <col collapsed="false" customWidth="false" hidden="false" outlineLevel="0" max="13135" min="13135" style="70" width="42.57"/>
    <col collapsed="false" customWidth="true" hidden="false" outlineLevel="0" max="13136" min="13136" style="70" width="3.29"/>
    <col collapsed="false" customWidth="true" hidden="false" outlineLevel="0" max="13137" min="13137" style="70" width="8"/>
    <col collapsed="false" customWidth="false" hidden="false" outlineLevel="0" max="13138" min="13138" style="70" width="42.57"/>
    <col collapsed="false" customWidth="true" hidden="false" outlineLevel="0" max="13139" min="13139" style="70" width="3.29"/>
    <col collapsed="false" customWidth="true" hidden="false" outlineLevel="0" max="13140" min="13140" style="70" width="8"/>
    <col collapsed="false" customWidth="false" hidden="false" outlineLevel="0" max="13141" min="13141" style="70" width="42.57"/>
    <col collapsed="false" customWidth="true" hidden="false" outlineLevel="0" max="13142" min="13142" style="70" width="3.29"/>
    <col collapsed="false" customWidth="true" hidden="false" outlineLevel="0" max="13143" min="13143" style="70" width="8"/>
    <col collapsed="false" customWidth="false" hidden="false" outlineLevel="0" max="13144" min="13144" style="70" width="42.57"/>
    <col collapsed="false" customWidth="true" hidden="false" outlineLevel="0" max="13145" min="13145" style="70" width="3.29"/>
    <col collapsed="false" customWidth="true" hidden="false" outlineLevel="0" max="13146" min="13146" style="70" width="8"/>
    <col collapsed="false" customWidth="false" hidden="false" outlineLevel="0" max="13147" min="13147" style="70" width="42.57"/>
    <col collapsed="false" customWidth="true" hidden="false" outlineLevel="0" max="13148" min="13148" style="70" width="3.29"/>
    <col collapsed="false" customWidth="true" hidden="false" outlineLevel="0" max="13149" min="13149" style="70" width="8"/>
    <col collapsed="false" customWidth="false" hidden="false" outlineLevel="0" max="13150" min="13150" style="70" width="42.57"/>
    <col collapsed="false" customWidth="true" hidden="false" outlineLevel="0" max="13151" min="13151" style="70" width="3.29"/>
    <col collapsed="false" customWidth="true" hidden="false" outlineLevel="0" max="13152" min="13152" style="70" width="8"/>
    <col collapsed="false" customWidth="false" hidden="false" outlineLevel="0" max="13153" min="13153" style="70" width="42.57"/>
    <col collapsed="false" customWidth="true" hidden="false" outlineLevel="0" max="13154" min="13154" style="70" width="3.29"/>
    <col collapsed="false" customWidth="true" hidden="false" outlineLevel="0" max="13155" min="13155" style="70" width="8"/>
    <col collapsed="false" customWidth="false" hidden="false" outlineLevel="0" max="13156" min="13156" style="70" width="42.57"/>
    <col collapsed="false" customWidth="true" hidden="false" outlineLevel="0" max="13157" min="13157" style="70" width="3.29"/>
    <col collapsed="false" customWidth="true" hidden="false" outlineLevel="0" max="13158" min="13158" style="70" width="8"/>
    <col collapsed="false" customWidth="false" hidden="false" outlineLevel="0" max="13159" min="13159" style="70" width="42.57"/>
    <col collapsed="false" customWidth="true" hidden="false" outlineLevel="0" max="13160" min="13160" style="70" width="3.29"/>
    <col collapsed="false" customWidth="true" hidden="false" outlineLevel="0" max="13161" min="13161" style="70" width="8"/>
    <col collapsed="false" customWidth="false" hidden="false" outlineLevel="0" max="13162" min="13162" style="70" width="42.57"/>
    <col collapsed="false" customWidth="true" hidden="false" outlineLevel="0" max="13163" min="13163" style="70" width="3.29"/>
    <col collapsed="false" customWidth="true" hidden="false" outlineLevel="0" max="13164" min="13164" style="70" width="8"/>
    <col collapsed="false" customWidth="false" hidden="false" outlineLevel="0" max="13165" min="13165" style="70" width="42.57"/>
    <col collapsed="false" customWidth="true" hidden="false" outlineLevel="0" max="13166" min="13166" style="70" width="3.29"/>
    <col collapsed="false" customWidth="true" hidden="false" outlineLevel="0" max="13167" min="13167" style="70" width="8"/>
    <col collapsed="false" customWidth="false" hidden="false" outlineLevel="0" max="13168" min="13168" style="70" width="42.57"/>
    <col collapsed="false" customWidth="true" hidden="false" outlineLevel="0" max="13169" min="13169" style="70" width="3.29"/>
    <col collapsed="false" customWidth="true" hidden="false" outlineLevel="0" max="13170" min="13170" style="70" width="8"/>
    <col collapsed="false" customWidth="false" hidden="false" outlineLevel="0" max="13171" min="13171" style="70" width="42.57"/>
    <col collapsed="false" customWidth="true" hidden="false" outlineLevel="0" max="13172" min="13172" style="70" width="3.29"/>
    <col collapsed="false" customWidth="true" hidden="false" outlineLevel="0" max="13173" min="13173" style="70" width="8"/>
    <col collapsed="false" customWidth="false" hidden="false" outlineLevel="0" max="13174" min="13174" style="70" width="42.57"/>
    <col collapsed="false" customWidth="true" hidden="false" outlineLevel="0" max="13175" min="13175" style="70" width="3.29"/>
    <col collapsed="false" customWidth="true" hidden="false" outlineLevel="0" max="13176" min="13176" style="70" width="8"/>
    <col collapsed="false" customWidth="false" hidden="false" outlineLevel="0" max="13177" min="13177" style="70" width="42.57"/>
    <col collapsed="false" customWidth="true" hidden="false" outlineLevel="0" max="13178" min="13178" style="70" width="3.29"/>
    <col collapsed="false" customWidth="true" hidden="false" outlineLevel="0" max="13179" min="13179" style="70" width="8"/>
    <col collapsed="false" customWidth="false" hidden="false" outlineLevel="0" max="13180" min="13180" style="70" width="42.57"/>
    <col collapsed="false" customWidth="true" hidden="false" outlineLevel="0" max="13181" min="13181" style="70" width="3.29"/>
    <col collapsed="false" customWidth="true" hidden="false" outlineLevel="0" max="13182" min="13182" style="70" width="8"/>
    <col collapsed="false" customWidth="false" hidden="false" outlineLevel="0" max="13183" min="13183" style="70" width="42.57"/>
    <col collapsed="false" customWidth="true" hidden="false" outlineLevel="0" max="13184" min="13184" style="70" width="3.29"/>
    <col collapsed="false" customWidth="true" hidden="false" outlineLevel="0" max="13185" min="13185" style="70" width="8"/>
    <col collapsed="false" customWidth="false" hidden="false" outlineLevel="0" max="13186" min="13186" style="70" width="42.57"/>
    <col collapsed="false" customWidth="true" hidden="false" outlineLevel="0" max="13187" min="13187" style="70" width="3.29"/>
    <col collapsed="false" customWidth="true" hidden="false" outlineLevel="0" max="13188" min="13188" style="70" width="8"/>
    <col collapsed="false" customWidth="false" hidden="false" outlineLevel="0" max="13189" min="13189" style="70" width="42.57"/>
    <col collapsed="false" customWidth="true" hidden="false" outlineLevel="0" max="13190" min="13190" style="70" width="3.29"/>
    <col collapsed="false" customWidth="true" hidden="false" outlineLevel="0" max="13191" min="13191" style="70" width="8"/>
    <col collapsed="false" customWidth="false" hidden="false" outlineLevel="0" max="13192" min="13192" style="70" width="42.57"/>
    <col collapsed="false" customWidth="true" hidden="false" outlineLevel="0" max="13193" min="13193" style="70" width="3.29"/>
    <col collapsed="false" customWidth="true" hidden="false" outlineLevel="0" max="13194" min="13194" style="70" width="8"/>
    <col collapsed="false" customWidth="false" hidden="false" outlineLevel="0" max="13195" min="13195" style="70" width="42.57"/>
    <col collapsed="false" customWidth="true" hidden="false" outlineLevel="0" max="13196" min="13196" style="70" width="3.29"/>
    <col collapsed="false" customWidth="true" hidden="false" outlineLevel="0" max="13197" min="13197" style="70" width="8"/>
    <col collapsed="false" customWidth="false" hidden="false" outlineLevel="0" max="13198" min="13198" style="70" width="42.57"/>
    <col collapsed="false" customWidth="true" hidden="false" outlineLevel="0" max="13199" min="13199" style="70" width="3.29"/>
    <col collapsed="false" customWidth="true" hidden="false" outlineLevel="0" max="13200" min="13200" style="70" width="8"/>
    <col collapsed="false" customWidth="false" hidden="false" outlineLevel="0" max="13201" min="13201" style="70" width="42.57"/>
    <col collapsed="false" customWidth="true" hidden="false" outlineLevel="0" max="13202" min="13202" style="70" width="3.29"/>
    <col collapsed="false" customWidth="true" hidden="false" outlineLevel="0" max="13203" min="13203" style="70" width="8"/>
    <col collapsed="false" customWidth="false" hidden="false" outlineLevel="0" max="13204" min="13204" style="70" width="42.57"/>
    <col collapsed="false" customWidth="true" hidden="false" outlineLevel="0" max="13205" min="13205" style="70" width="3.29"/>
    <col collapsed="false" customWidth="true" hidden="false" outlineLevel="0" max="13206" min="13206" style="70" width="8"/>
    <col collapsed="false" customWidth="false" hidden="false" outlineLevel="0" max="13207" min="13207" style="70" width="42.57"/>
    <col collapsed="false" customWidth="true" hidden="false" outlineLevel="0" max="13208" min="13208" style="70" width="3.29"/>
    <col collapsed="false" customWidth="true" hidden="false" outlineLevel="0" max="13209" min="13209" style="70" width="8"/>
    <col collapsed="false" customWidth="false" hidden="false" outlineLevel="0" max="13210" min="13210" style="70" width="42.57"/>
    <col collapsed="false" customWidth="true" hidden="false" outlineLevel="0" max="13211" min="13211" style="70" width="3.29"/>
    <col collapsed="false" customWidth="true" hidden="false" outlineLevel="0" max="13212" min="13212" style="70" width="8"/>
    <col collapsed="false" customWidth="false" hidden="false" outlineLevel="0" max="13213" min="13213" style="70" width="42.57"/>
    <col collapsed="false" customWidth="true" hidden="false" outlineLevel="0" max="13214" min="13214" style="70" width="3.29"/>
    <col collapsed="false" customWidth="true" hidden="false" outlineLevel="0" max="13215" min="13215" style="70" width="8"/>
    <col collapsed="false" customWidth="false" hidden="false" outlineLevel="0" max="13216" min="13216" style="70" width="42.57"/>
    <col collapsed="false" customWidth="true" hidden="false" outlineLevel="0" max="13217" min="13217" style="70" width="3.29"/>
    <col collapsed="false" customWidth="true" hidden="false" outlineLevel="0" max="13218" min="13218" style="70" width="8"/>
    <col collapsed="false" customWidth="false" hidden="false" outlineLevel="0" max="13219" min="13219" style="70" width="42.57"/>
    <col collapsed="false" customWidth="true" hidden="false" outlineLevel="0" max="13220" min="13220" style="70" width="3.29"/>
    <col collapsed="false" customWidth="true" hidden="false" outlineLevel="0" max="13221" min="13221" style="70" width="8"/>
    <col collapsed="false" customWidth="false" hidden="false" outlineLevel="0" max="13222" min="13222" style="70" width="42.57"/>
    <col collapsed="false" customWidth="true" hidden="false" outlineLevel="0" max="13223" min="13223" style="70" width="3.29"/>
    <col collapsed="false" customWidth="true" hidden="false" outlineLevel="0" max="13224" min="13224" style="70" width="8"/>
    <col collapsed="false" customWidth="false" hidden="false" outlineLevel="0" max="13225" min="13225" style="70" width="42.57"/>
    <col collapsed="false" customWidth="true" hidden="false" outlineLevel="0" max="13226" min="13226" style="70" width="3.29"/>
    <col collapsed="false" customWidth="true" hidden="false" outlineLevel="0" max="13227" min="13227" style="70" width="8"/>
    <col collapsed="false" customWidth="false" hidden="false" outlineLevel="0" max="13228" min="13228" style="70" width="42.57"/>
    <col collapsed="false" customWidth="true" hidden="false" outlineLevel="0" max="13229" min="13229" style="70" width="3.29"/>
    <col collapsed="false" customWidth="true" hidden="false" outlineLevel="0" max="13230" min="13230" style="70" width="8"/>
    <col collapsed="false" customWidth="false" hidden="false" outlineLevel="0" max="13231" min="13231" style="70" width="42.57"/>
    <col collapsed="false" customWidth="true" hidden="false" outlineLevel="0" max="13232" min="13232" style="70" width="3.29"/>
    <col collapsed="false" customWidth="true" hidden="false" outlineLevel="0" max="13233" min="13233" style="70" width="8"/>
    <col collapsed="false" customWidth="false" hidden="false" outlineLevel="0" max="13234" min="13234" style="70" width="42.57"/>
    <col collapsed="false" customWidth="true" hidden="false" outlineLevel="0" max="13235" min="13235" style="70" width="3.29"/>
    <col collapsed="false" customWidth="true" hidden="false" outlineLevel="0" max="13236" min="13236" style="70" width="8"/>
    <col collapsed="false" customWidth="false" hidden="false" outlineLevel="0" max="13237" min="13237" style="70" width="42.57"/>
    <col collapsed="false" customWidth="true" hidden="false" outlineLevel="0" max="13238" min="13238" style="70" width="3.29"/>
    <col collapsed="false" customWidth="true" hidden="false" outlineLevel="0" max="13239" min="13239" style="70" width="8"/>
    <col collapsed="false" customWidth="false" hidden="false" outlineLevel="0" max="13240" min="13240" style="70" width="42.57"/>
    <col collapsed="false" customWidth="true" hidden="false" outlineLevel="0" max="13241" min="13241" style="70" width="3.29"/>
    <col collapsed="false" customWidth="true" hidden="false" outlineLevel="0" max="13242" min="13242" style="70" width="8"/>
    <col collapsed="false" customWidth="false" hidden="false" outlineLevel="0" max="13243" min="13243" style="70" width="42.57"/>
    <col collapsed="false" customWidth="true" hidden="false" outlineLevel="0" max="13244" min="13244" style="70" width="3.29"/>
    <col collapsed="false" customWidth="true" hidden="false" outlineLevel="0" max="13245" min="13245" style="70" width="8"/>
    <col collapsed="false" customWidth="false" hidden="false" outlineLevel="0" max="13246" min="13246" style="70" width="42.57"/>
    <col collapsed="false" customWidth="true" hidden="false" outlineLevel="0" max="13247" min="13247" style="70" width="3.29"/>
    <col collapsed="false" customWidth="true" hidden="false" outlineLevel="0" max="13248" min="13248" style="70" width="8"/>
    <col collapsed="false" customWidth="false" hidden="false" outlineLevel="0" max="13249" min="13249" style="70" width="42.57"/>
    <col collapsed="false" customWidth="true" hidden="false" outlineLevel="0" max="13250" min="13250" style="70" width="3.29"/>
    <col collapsed="false" customWidth="true" hidden="false" outlineLevel="0" max="13251" min="13251" style="70" width="8"/>
    <col collapsed="false" customWidth="false" hidden="false" outlineLevel="0" max="13252" min="13252" style="70" width="42.57"/>
    <col collapsed="false" customWidth="true" hidden="false" outlineLevel="0" max="13253" min="13253" style="70" width="3.29"/>
    <col collapsed="false" customWidth="true" hidden="false" outlineLevel="0" max="13254" min="13254" style="70" width="8"/>
    <col collapsed="false" customWidth="false" hidden="false" outlineLevel="0" max="13255" min="13255" style="70" width="42.57"/>
    <col collapsed="false" customWidth="true" hidden="false" outlineLevel="0" max="13256" min="13256" style="70" width="3.29"/>
    <col collapsed="false" customWidth="true" hidden="false" outlineLevel="0" max="13257" min="13257" style="70" width="8"/>
    <col collapsed="false" customWidth="false" hidden="false" outlineLevel="0" max="13258" min="13258" style="70" width="42.57"/>
    <col collapsed="false" customWidth="true" hidden="false" outlineLevel="0" max="13259" min="13259" style="70" width="3.29"/>
    <col collapsed="false" customWidth="true" hidden="false" outlineLevel="0" max="13260" min="13260" style="70" width="8"/>
    <col collapsed="false" customWidth="false" hidden="false" outlineLevel="0" max="13261" min="13261" style="70" width="42.57"/>
    <col collapsed="false" customWidth="true" hidden="false" outlineLevel="0" max="13262" min="13262" style="70" width="3.29"/>
    <col collapsed="false" customWidth="true" hidden="false" outlineLevel="0" max="13263" min="13263" style="70" width="8"/>
    <col collapsed="false" customWidth="false" hidden="false" outlineLevel="0" max="13264" min="13264" style="70" width="42.57"/>
    <col collapsed="false" customWidth="true" hidden="false" outlineLevel="0" max="13265" min="13265" style="70" width="3.29"/>
    <col collapsed="false" customWidth="true" hidden="false" outlineLevel="0" max="13266" min="13266" style="70" width="8"/>
    <col collapsed="false" customWidth="false" hidden="false" outlineLevel="0" max="13267" min="13267" style="70" width="42.57"/>
    <col collapsed="false" customWidth="true" hidden="false" outlineLevel="0" max="13268" min="13268" style="70" width="3.29"/>
    <col collapsed="false" customWidth="true" hidden="false" outlineLevel="0" max="13269" min="13269" style="70" width="8"/>
    <col collapsed="false" customWidth="false" hidden="false" outlineLevel="0" max="13270" min="13270" style="70" width="42.57"/>
    <col collapsed="false" customWidth="true" hidden="false" outlineLevel="0" max="13271" min="13271" style="70" width="3.29"/>
    <col collapsed="false" customWidth="true" hidden="false" outlineLevel="0" max="13272" min="13272" style="70" width="8"/>
    <col collapsed="false" customWidth="false" hidden="false" outlineLevel="0" max="13273" min="13273" style="70" width="42.57"/>
    <col collapsed="false" customWidth="true" hidden="false" outlineLevel="0" max="13274" min="13274" style="70" width="3.29"/>
    <col collapsed="false" customWidth="true" hidden="false" outlineLevel="0" max="13275" min="13275" style="70" width="8"/>
    <col collapsed="false" customWidth="false" hidden="false" outlineLevel="0" max="13276" min="13276" style="70" width="42.57"/>
    <col collapsed="false" customWidth="true" hidden="false" outlineLevel="0" max="13277" min="13277" style="70" width="3.29"/>
    <col collapsed="false" customWidth="true" hidden="false" outlineLevel="0" max="13278" min="13278" style="70" width="8"/>
    <col collapsed="false" customWidth="false" hidden="false" outlineLevel="0" max="13279" min="13279" style="70" width="42.57"/>
    <col collapsed="false" customWidth="true" hidden="false" outlineLevel="0" max="13280" min="13280" style="70" width="3.29"/>
    <col collapsed="false" customWidth="true" hidden="false" outlineLevel="0" max="13281" min="13281" style="70" width="8"/>
    <col collapsed="false" customWidth="false" hidden="false" outlineLevel="0" max="13282" min="13282" style="70" width="42.57"/>
    <col collapsed="false" customWidth="true" hidden="false" outlineLevel="0" max="13283" min="13283" style="70" width="3.29"/>
    <col collapsed="false" customWidth="true" hidden="false" outlineLevel="0" max="13284" min="13284" style="70" width="8"/>
    <col collapsed="false" customWidth="false" hidden="false" outlineLevel="0" max="13285" min="13285" style="70" width="42.57"/>
    <col collapsed="false" customWidth="true" hidden="false" outlineLevel="0" max="13286" min="13286" style="70" width="3.29"/>
    <col collapsed="false" customWidth="true" hidden="false" outlineLevel="0" max="13287" min="13287" style="70" width="8"/>
    <col collapsed="false" customWidth="false" hidden="false" outlineLevel="0" max="13288" min="13288" style="70" width="42.57"/>
    <col collapsed="false" customWidth="true" hidden="false" outlineLevel="0" max="13289" min="13289" style="70" width="3.29"/>
    <col collapsed="false" customWidth="true" hidden="false" outlineLevel="0" max="13290" min="13290" style="70" width="8"/>
    <col collapsed="false" customWidth="false" hidden="false" outlineLevel="0" max="13291" min="13291" style="70" width="42.57"/>
    <col collapsed="false" customWidth="true" hidden="false" outlineLevel="0" max="13292" min="13292" style="70" width="3.29"/>
    <col collapsed="false" customWidth="true" hidden="false" outlineLevel="0" max="13293" min="13293" style="70" width="8"/>
    <col collapsed="false" customWidth="false" hidden="false" outlineLevel="0" max="13294" min="13294" style="70" width="42.57"/>
    <col collapsed="false" customWidth="true" hidden="false" outlineLevel="0" max="13295" min="13295" style="70" width="3.29"/>
    <col collapsed="false" customWidth="true" hidden="false" outlineLevel="0" max="13296" min="13296" style="70" width="8"/>
    <col collapsed="false" customWidth="false" hidden="false" outlineLevel="0" max="13297" min="13297" style="70" width="42.57"/>
    <col collapsed="false" customWidth="true" hidden="false" outlineLevel="0" max="13298" min="13298" style="70" width="3.29"/>
    <col collapsed="false" customWidth="true" hidden="false" outlineLevel="0" max="13299" min="13299" style="70" width="8"/>
    <col collapsed="false" customWidth="false" hidden="false" outlineLevel="0" max="13300" min="13300" style="70" width="42.57"/>
    <col collapsed="false" customWidth="true" hidden="false" outlineLevel="0" max="13301" min="13301" style="70" width="3.29"/>
    <col collapsed="false" customWidth="true" hidden="false" outlineLevel="0" max="13302" min="13302" style="70" width="8"/>
    <col collapsed="false" customWidth="false" hidden="false" outlineLevel="0" max="13303" min="13303" style="70" width="42.57"/>
    <col collapsed="false" customWidth="true" hidden="false" outlineLevel="0" max="13304" min="13304" style="70" width="3.29"/>
    <col collapsed="false" customWidth="true" hidden="false" outlineLevel="0" max="13305" min="13305" style="70" width="8"/>
    <col collapsed="false" customWidth="false" hidden="false" outlineLevel="0" max="13306" min="13306" style="70" width="42.57"/>
    <col collapsed="false" customWidth="true" hidden="false" outlineLevel="0" max="13307" min="13307" style="70" width="3.29"/>
    <col collapsed="false" customWidth="true" hidden="false" outlineLevel="0" max="13308" min="13308" style="70" width="8"/>
    <col collapsed="false" customWidth="false" hidden="false" outlineLevel="0" max="13309" min="13309" style="70" width="42.57"/>
    <col collapsed="false" customWidth="true" hidden="false" outlineLevel="0" max="13310" min="13310" style="70" width="3.29"/>
    <col collapsed="false" customWidth="true" hidden="false" outlineLevel="0" max="13311" min="13311" style="70" width="8"/>
    <col collapsed="false" customWidth="false" hidden="false" outlineLevel="0" max="13312" min="13312" style="70" width="42.57"/>
    <col collapsed="false" customWidth="true" hidden="false" outlineLevel="0" max="13313" min="13313" style="70" width="3.29"/>
    <col collapsed="false" customWidth="true" hidden="false" outlineLevel="0" max="13314" min="13314" style="70" width="8"/>
    <col collapsed="false" customWidth="false" hidden="false" outlineLevel="0" max="13315" min="13315" style="70" width="42.57"/>
    <col collapsed="false" customWidth="true" hidden="false" outlineLevel="0" max="13316" min="13316" style="70" width="3.29"/>
    <col collapsed="false" customWidth="true" hidden="false" outlineLevel="0" max="13317" min="13317" style="70" width="8"/>
    <col collapsed="false" customWidth="false" hidden="false" outlineLevel="0" max="13318" min="13318" style="70" width="42.57"/>
    <col collapsed="false" customWidth="true" hidden="false" outlineLevel="0" max="13319" min="13319" style="70" width="3.29"/>
    <col collapsed="false" customWidth="true" hidden="false" outlineLevel="0" max="13320" min="13320" style="70" width="8"/>
    <col collapsed="false" customWidth="false" hidden="false" outlineLevel="0" max="13321" min="13321" style="70" width="42.57"/>
    <col collapsed="false" customWidth="true" hidden="false" outlineLevel="0" max="13322" min="13322" style="70" width="3.29"/>
    <col collapsed="false" customWidth="true" hidden="false" outlineLevel="0" max="13323" min="13323" style="70" width="8"/>
    <col collapsed="false" customWidth="false" hidden="false" outlineLevel="0" max="13324" min="13324" style="70" width="42.57"/>
    <col collapsed="false" customWidth="true" hidden="false" outlineLevel="0" max="13325" min="13325" style="70" width="3.29"/>
    <col collapsed="false" customWidth="true" hidden="false" outlineLevel="0" max="13326" min="13326" style="70" width="8"/>
    <col collapsed="false" customWidth="false" hidden="false" outlineLevel="0" max="13327" min="13327" style="70" width="42.57"/>
    <col collapsed="false" customWidth="true" hidden="false" outlineLevel="0" max="13328" min="13328" style="70" width="3.29"/>
    <col collapsed="false" customWidth="true" hidden="false" outlineLevel="0" max="13329" min="13329" style="70" width="8"/>
    <col collapsed="false" customWidth="false" hidden="false" outlineLevel="0" max="13330" min="13330" style="70" width="42.57"/>
    <col collapsed="false" customWidth="true" hidden="false" outlineLevel="0" max="13331" min="13331" style="70" width="3.29"/>
    <col collapsed="false" customWidth="true" hidden="false" outlineLevel="0" max="13332" min="13332" style="70" width="8"/>
    <col collapsed="false" customWidth="false" hidden="false" outlineLevel="0" max="13333" min="13333" style="70" width="42.57"/>
    <col collapsed="false" customWidth="true" hidden="false" outlineLevel="0" max="13334" min="13334" style="70" width="3.29"/>
    <col collapsed="false" customWidth="true" hidden="false" outlineLevel="0" max="13335" min="13335" style="70" width="8"/>
    <col collapsed="false" customWidth="false" hidden="false" outlineLevel="0" max="13336" min="13336" style="70" width="42.57"/>
    <col collapsed="false" customWidth="true" hidden="false" outlineLevel="0" max="13337" min="13337" style="70" width="3.29"/>
    <col collapsed="false" customWidth="true" hidden="false" outlineLevel="0" max="13338" min="13338" style="70" width="8"/>
    <col collapsed="false" customWidth="false" hidden="false" outlineLevel="0" max="13339" min="13339" style="70" width="42.57"/>
    <col collapsed="false" customWidth="true" hidden="false" outlineLevel="0" max="13340" min="13340" style="70" width="3.29"/>
    <col collapsed="false" customWidth="true" hidden="false" outlineLevel="0" max="13341" min="13341" style="70" width="8"/>
    <col collapsed="false" customWidth="false" hidden="false" outlineLevel="0" max="13342" min="13342" style="70" width="42.57"/>
    <col collapsed="false" customWidth="true" hidden="false" outlineLevel="0" max="13343" min="13343" style="70" width="3.29"/>
    <col collapsed="false" customWidth="true" hidden="false" outlineLevel="0" max="13344" min="13344" style="70" width="8"/>
    <col collapsed="false" customWidth="false" hidden="false" outlineLevel="0" max="13345" min="13345" style="70" width="42.57"/>
    <col collapsed="false" customWidth="true" hidden="false" outlineLevel="0" max="13346" min="13346" style="70" width="3.29"/>
    <col collapsed="false" customWidth="true" hidden="false" outlineLevel="0" max="13347" min="13347" style="70" width="8"/>
    <col collapsed="false" customWidth="false" hidden="false" outlineLevel="0" max="13348" min="13348" style="70" width="42.57"/>
    <col collapsed="false" customWidth="true" hidden="false" outlineLevel="0" max="13349" min="13349" style="70" width="3.29"/>
    <col collapsed="false" customWidth="true" hidden="false" outlineLevel="0" max="13350" min="13350" style="70" width="8"/>
    <col collapsed="false" customWidth="false" hidden="false" outlineLevel="0" max="13351" min="13351" style="70" width="42.57"/>
    <col collapsed="false" customWidth="true" hidden="false" outlineLevel="0" max="13352" min="13352" style="70" width="3.29"/>
    <col collapsed="false" customWidth="true" hidden="false" outlineLevel="0" max="13353" min="13353" style="70" width="8"/>
    <col collapsed="false" customWidth="false" hidden="false" outlineLevel="0" max="13354" min="13354" style="70" width="42.57"/>
    <col collapsed="false" customWidth="true" hidden="false" outlineLevel="0" max="13355" min="13355" style="70" width="3.29"/>
    <col collapsed="false" customWidth="true" hidden="false" outlineLevel="0" max="13356" min="13356" style="70" width="8"/>
    <col collapsed="false" customWidth="false" hidden="false" outlineLevel="0" max="13357" min="13357" style="70" width="42.57"/>
    <col collapsed="false" customWidth="true" hidden="false" outlineLevel="0" max="13358" min="13358" style="70" width="3.29"/>
    <col collapsed="false" customWidth="true" hidden="false" outlineLevel="0" max="13359" min="13359" style="70" width="8"/>
    <col collapsed="false" customWidth="false" hidden="false" outlineLevel="0" max="13360" min="13360" style="70" width="42.57"/>
    <col collapsed="false" customWidth="true" hidden="false" outlineLevel="0" max="13361" min="13361" style="70" width="3.29"/>
    <col collapsed="false" customWidth="true" hidden="false" outlineLevel="0" max="13362" min="13362" style="70" width="8"/>
    <col collapsed="false" customWidth="false" hidden="false" outlineLevel="0" max="13363" min="13363" style="70" width="42.57"/>
    <col collapsed="false" customWidth="true" hidden="false" outlineLevel="0" max="13364" min="13364" style="70" width="3.29"/>
    <col collapsed="false" customWidth="true" hidden="false" outlineLevel="0" max="13365" min="13365" style="70" width="8"/>
    <col collapsed="false" customWidth="false" hidden="false" outlineLevel="0" max="13366" min="13366" style="70" width="42.57"/>
    <col collapsed="false" customWidth="true" hidden="false" outlineLevel="0" max="13367" min="13367" style="70" width="3.29"/>
    <col collapsed="false" customWidth="true" hidden="false" outlineLevel="0" max="13368" min="13368" style="70" width="8"/>
    <col collapsed="false" customWidth="false" hidden="false" outlineLevel="0" max="13369" min="13369" style="70" width="42.57"/>
    <col collapsed="false" customWidth="true" hidden="false" outlineLevel="0" max="13370" min="13370" style="70" width="3.29"/>
    <col collapsed="false" customWidth="true" hidden="false" outlineLevel="0" max="13371" min="13371" style="70" width="8"/>
    <col collapsed="false" customWidth="false" hidden="false" outlineLevel="0" max="13372" min="13372" style="70" width="42.57"/>
    <col collapsed="false" customWidth="true" hidden="false" outlineLevel="0" max="13373" min="13373" style="70" width="3.29"/>
    <col collapsed="false" customWidth="true" hidden="false" outlineLevel="0" max="13374" min="13374" style="70" width="8"/>
    <col collapsed="false" customWidth="false" hidden="false" outlineLevel="0" max="13375" min="13375" style="70" width="42.57"/>
    <col collapsed="false" customWidth="true" hidden="false" outlineLevel="0" max="13376" min="13376" style="70" width="3.29"/>
    <col collapsed="false" customWidth="true" hidden="false" outlineLevel="0" max="13377" min="13377" style="70" width="8"/>
    <col collapsed="false" customWidth="false" hidden="false" outlineLevel="0" max="13378" min="13378" style="70" width="42.57"/>
    <col collapsed="false" customWidth="true" hidden="false" outlineLevel="0" max="13379" min="13379" style="70" width="3.29"/>
    <col collapsed="false" customWidth="true" hidden="false" outlineLevel="0" max="13380" min="13380" style="70" width="8"/>
    <col collapsed="false" customWidth="false" hidden="false" outlineLevel="0" max="13381" min="13381" style="70" width="42.57"/>
    <col collapsed="false" customWidth="true" hidden="false" outlineLevel="0" max="13382" min="13382" style="70" width="3.29"/>
    <col collapsed="false" customWidth="true" hidden="false" outlineLevel="0" max="13383" min="13383" style="70" width="8"/>
    <col collapsed="false" customWidth="false" hidden="false" outlineLevel="0" max="13384" min="13384" style="70" width="42.57"/>
    <col collapsed="false" customWidth="true" hidden="false" outlineLevel="0" max="13385" min="13385" style="70" width="3.29"/>
    <col collapsed="false" customWidth="true" hidden="false" outlineLevel="0" max="13386" min="13386" style="70" width="8"/>
    <col collapsed="false" customWidth="false" hidden="false" outlineLevel="0" max="13387" min="13387" style="70" width="42.57"/>
    <col collapsed="false" customWidth="true" hidden="false" outlineLevel="0" max="13388" min="13388" style="70" width="3.29"/>
    <col collapsed="false" customWidth="true" hidden="false" outlineLevel="0" max="13389" min="13389" style="70" width="8"/>
    <col collapsed="false" customWidth="false" hidden="false" outlineLevel="0" max="13390" min="13390" style="70" width="42.57"/>
    <col collapsed="false" customWidth="true" hidden="false" outlineLevel="0" max="13391" min="13391" style="70" width="3.29"/>
    <col collapsed="false" customWidth="true" hidden="false" outlineLevel="0" max="13392" min="13392" style="70" width="8"/>
    <col collapsed="false" customWidth="false" hidden="false" outlineLevel="0" max="13393" min="13393" style="70" width="42.57"/>
    <col collapsed="false" customWidth="true" hidden="false" outlineLevel="0" max="13394" min="13394" style="70" width="3.29"/>
    <col collapsed="false" customWidth="true" hidden="false" outlineLevel="0" max="13395" min="13395" style="70" width="8"/>
    <col collapsed="false" customWidth="false" hidden="false" outlineLevel="0" max="13396" min="13396" style="70" width="42.57"/>
    <col collapsed="false" customWidth="true" hidden="false" outlineLevel="0" max="13397" min="13397" style="70" width="3.29"/>
    <col collapsed="false" customWidth="true" hidden="false" outlineLevel="0" max="13398" min="13398" style="70" width="8"/>
    <col collapsed="false" customWidth="false" hidden="false" outlineLevel="0" max="13399" min="13399" style="70" width="42.57"/>
    <col collapsed="false" customWidth="true" hidden="false" outlineLevel="0" max="13400" min="13400" style="70" width="3.29"/>
    <col collapsed="false" customWidth="true" hidden="false" outlineLevel="0" max="13401" min="13401" style="70" width="8"/>
    <col collapsed="false" customWidth="false" hidden="false" outlineLevel="0" max="13402" min="13402" style="70" width="42.57"/>
    <col collapsed="false" customWidth="true" hidden="false" outlineLevel="0" max="13403" min="13403" style="70" width="3.29"/>
    <col collapsed="false" customWidth="true" hidden="false" outlineLevel="0" max="13404" min="13404" style="70" width="8"/>
    <col collapsed="false" customWidth="false" hidden="false" outlineLevel="0" max="13405" min="13405" style="70" width="42.57"/>
    <col collapsed="false" customWidth="true" hidden="false" outlineLevel="0" max="13406" min="13406" style="70" width="3.29"/>
    <col collapsed="false" customWidth="true" hidden="false" outlineLevel="0" max="13407" min="13407" style="70" width="8"/>
    <col collapsed="false" customWidth="false" hidden="false" outlineLevel="0" max="13408" min="13408" style="70" width="42.57"/>
    <col collapsed="false" customWidth="true" hidden="false" outlineLevel="0" max="13409" min="13409" style="70" width="3.29"/>
    <col collapsed="false" customWidth="true" hidden="false" outlineLevel="0" max="13410" min="13410" style="70" width="8"/>
    <col collapsed="false" customWidth="false" hidden="false" outlineLevel="0" max="13411" min="13411" style="70" width="42.57"/>
    <col collapsed="false" customWidth="true" hidden="false" outlineLevel="0" max="13412" min="13412" style="70" width="3.29"/>
    <col collapsed="false" customWidth="true" hidden="false" outlineLevel="0" max="13413" min="13413" style="70" width="8"/>
    <col collapsed="false" customWidth="false" hidden="false" outlineLevel="0" max="13414" min="13414" style="70" width="42.57"/>
    <col collapsed="false" customWidth="true" hidden="false" outlineLevel="0" max="13415" min="13415" style="70" width="3.29"/>
    <col collapsed="false" customWidth="true" hidden="false" outlineLevel="0" max="13416" min="13416" style="70" width="8"/>
    <col collapsed="false" customWidth="false" hidden="false" outlineLevel="0" max="13417" min="13417" style="70" width="42.57"/>
    <col collapsed="false" customWidth="true" hidden="false" outlineLevel="0" max="13418" min="13418" style="70" width="3.29"/>
    <col collapsed="false" customWidth="true" hidden="false" outlineLevel="0" max="13419" min="13419" style="70" width="8"/>
    <col collapsed="false" customWidth="false" hidden="false" outlineLevel="0" max="13420" min="13420" style="70" width="42.57"/>
    <col collapsed="false" customWidth="true" hidden="false" outlineLevel="0" max="13421" min="13421" style="70" width="3.29"/>
    <col collapsed="false" customWidth="true" hidden="false" outlineLevel="0" max="13422" min="13422" style="70" width="8"/>
    <col collapsed="false" customWidth="false" hidden="false" outlineLevel="0" max="13423" min="13423" style="70" width="42.57"/>
    <col collapsed="false" customWidth="true" hidden="false" outlineLevel="0" max="13424" min="13424" style="70" width="3.29"/>
    <col collapsed="false" customWidth="true" hidden="false" outlineLevel="0" max="13425" min="13425" style="70" width="8"/>
    <col collapsed="false" customWidth="false" hidden="false" outlineLevel="0" max="13426" min="13426" style="70" width="42.57"/>
    <col collapsed="false" customWidth="true" hidden="false" outlineLevel="0" max="13427" min="13427" style="70" width="3.29"/>
    <col collapsed="false" customWidth="true" hidden="false" outlineLevel="0" max="13428" min="13428" style="70" width="8"/>
    <col collapsed="false" customWidth="false" hidden="false" outlineLevel="0" max="13429" min="13429" style="70" width="42.57"/>
    <col collapsed="false" customWidth="true" hidden="false" outlineLevel="0" max="13430" min="13430" style="70" width="3.29"/>
    <col collapsed="false" customWidth="true" hidden="false" outlineLevel="0" max="13431" min="13431" style="70" width="8"/>
    <col collapsed="false" customWidth="false" hidden="false" outlineLevel="0" max="13432" min="13432" style="70" width="42.57"/>
    <col collapsed="false" customWidth="true" hidden="false" outlineLevel="0" max="13433" min="13433" style="70" width="3.29"/>
    <col collapsed="false" customWidth="true" hidden="false" outlineLevel="0" max="13434" min="13434" style="70" width="8"/>
    <col collapsed="false" customWidth="false" hidden="false" outlineLevel="0" max="13435" min="13435" style="70" width="42.57"/>
    <col collapsed="false" customWidth="true" hidden="false" outlineLevel="0" max="13436" min="13436" style="70" width="3.29"/>
    <col collapsed="false" customWidth="true" hidden="false" outlineLevel="0" max="13437" min="13437" style="70" width="8"/>
    <col collapsed="false" customWidth="false" hidden="false" outlineLevel="0" max="13438" min="13438" style="70" width="42.57"/>
    <col collapsed="false" customWidth="true" hidden="false" outlineLevel="0" max="13439" min="13439" style="70" width="3.29"/>
    <col collapsed="false" customWidth="true" hidden="false" outlineLevel="0" max="13440" min="13440" style="70" width="8"/>
    <col collapsed="false" customWidth="false" hidden="false" outlineLevel="0" max="13441" min="13441" style="70" width="42.57"/>
    <col collapsed="false" customWidth="true" hidden="false" outlineLevel="0" max="13442" min="13442" style="70" width="3.29"/>
    <col collapsed="false" customWidth="true" hidden="false" outlineLevel="0" max="13443" min="13443" style="70" width="8"/>
    <col collapsed="false" customWidth="false" hidden="false" outlineLevel="0" max="13444" min="13444" style="70" width="42.57"/>
    <col collapsed="false" customWidth="true" hidden="false" outlineLevel="0" max="13445" min="13445" style="70" width="3.29"/>
    <col collapsed="false" customWidth="true" hidden="false" outlineLevel="0" max="13446" min="13446" style="70" width="8"/>
    <col collapsed="false" customWidth="false" hidden="false" outlineLevel="0" max="13447" min="13447" style="70" width="42.57"/>
    <col collapsed="false" customWidth="true" hidden="false" outlineLevel="0" max="13448" min="13448" style="70" width="3.29"/>
    <col collapsed="false" customWidth="true" hidden="false" outlineLevel="0" max="13449" min="13449" style="70" width="8"/>
    <col collapsed="false" customWidth="false" hidden="false" outlineLevel="0" max="13450" min="13450" style="70" width="42.57"/>
    <col collapsed="false" customWidth="true" hidden="false" outlineLevel="0" max="13451" min="13451" style="70" width="3.29"/>
    <col collapsed="false" customWidth="true" hidden="false" outlineLevel="0" max="13452" min="13452" style="70" width="8"/>
    <col collapsed="false" customWidth="false" hidden="false" outlineLevel="0" max="13453" min="13453" style="70" width="42.57"/>
    <col collapsed="false" customWidth="true" hidden="false" outlineLevel="0" max="13454" min="13454" style="70" width="3.29"/>
    <col collapsed="false" customWidth="true" hidden="false" outlineLevel="0" max="13455" min="13455" style="70" width="8"/>
    <col collapsed="false" customWidth="false" hidden="false" outlineLevel="0" max="13456" min="13456" style="70" width="42.57"/>
    <col collapsed="false" customWidth="true" hidden="false" outlineLevel="0" max="13457" min="13457" style="70" width="3.29"/>
    <col collapsed="false" customWidth="true" hidden="false" outlineLevel="0" max="13458" min="13458" style="70" width="8"/>
    <col collapsed="false" customWidth="false" hidden="false" outlineLevel="0" max="13459" min="13459" style="70" width="42.57"/>
    <col collapsed="false" customWidth="true" hidden="false" outlineLevel="0" max="13460" min="13460" style="70" width="3.29"/>
    <col collapsed="false" customWidth="true" hidden="false" outlineLevel="0" max="13461" min="13461" style="70" width="8"/>
    <col collapsed="false" customWidth="false" hidden="false" outlineLevel="0" max="13462" min="13462" style="70" width="42.57"/>
    <col collapsed="false" customWidth="true" hidden="false" outlineLevel="0" max="13463" min="13463" style="70" width="3.29"/>
    <col collapsed="false" customWidth="true" hidden="false" outlineLevel="0" max="13464" min="13464" style="70" width="8"/>
    <col collapsed="false" customWidth="false" hidden="false" outlineLevel="0" max="13465" min="13465" style="70" width="42.57"/>
    <col collapsed="false" customWidth="true" hidden="false" outlineLevel="0" max="13466" min="13466" style="70" width="3.29"/>
    <col collapsed="false" customWidth="true" hidden="false" outlineLevel="0" max="13467" min="13467" style="70" width="8"/>
    <col collapsed="false" customWidth="false" hidden="false" outlineLevel="0" max="13468" min="13468" style="70" width="42.57"/>
    <col collapsed="false" customWidth="true" hidden="false" outlineLevel="0" max="13469" min="13469" style="70" width="3.29"/>
    <col collapsed="false" customWidth="true" hidden="false" outlineLevel="0" max="13470" min="13470" style="70" width="8"/>
    <col collapsed="false" customWidth="false" hidden="false" outlineLevel="0" max="13471" min="13471" style="70" width="42.57"/>
    <col collapsed="false" customWidth="true" hidden="false" outlineLevel="0" max="13472" min="13472" style="70" width="3.29"/>
    <col collapsed="false" customWidth="true" hidden="false" outlineLevel="0" max="13473" min="13473" style="70" width="8"/>
    <col collapsed="false" customWidth="false" hidden="false" outlineLevel="0" max="13474" min="13474" style="70" width="42.57"/>
    <col collapsed="false" customWidth="true" hidden="false" outlineLevel="0" max="13475" min="13475" style="70" width="3.29"/>
    <col collapsed="false" customWidth="true" hidden="false" outlineLevel="0" max="13476" min="13476" style="70" width="8"/>
    <col collapsed="false" customWidth="false" hidden="false" outlineLevel="0" max="13477" min="13477" style="70" width="42.57"/>
    <col collapsed="false" customWidth="true" hidden="false" outlineLevel="0" max="13478" min="13478" style="70" width="3.29"/>
    <col collapsed="false" customWidth="true" hidden="false" outlineLevel="0" max="13479" min="13479" style="70" width="8"/>
    <col collapsed="false" customWidth="false" hidden="false" outlineLevel="0" max="13480" min="13480" style="70" width="42.57"/>
    <col collapsed="false" customWidth="true" hidden="false" outlineLevel="0" max="13481" min="13481" style="70" width="3.29"/>
    <col collapsed="false" customWidth="true" hidden="false" outlineLevel="0" max="13482" min="13482" style="70" width="8"/>
    <col collapsed="false" customWidth="false" hidden="false" outlineLevel="0" max="13483" min="13483" style="70" width="42.57"/>
    <col collapsed="false" customWidth="true" hidden="false" outlineLevel="0" max="13484" min="13484" style="70" width="3.29"/>
    <col collapsed="false" customWidth="true" hidden="false" outlineLevel="0" max="13485" min="13485" style="70" width="8"/>
    <col collapsed="false" customWidth="false" hidden="false" outlineLevel="0" max="13486" min="13486" style="70" width="42.57"/>
    <col collapsed="false" customWidth="true" hidden="false" outlineLevel="0" max="13487" min="13487" style="70" width="3.29"/>
    <col collapsed="false" customWidth="true" hidden="false" outlineLevel="0" max="13488" min="13488" style="70" width="8"/>
    <col collapsed="false" customWidth="false" hidden="false" outlineLevel="0" max="13489" min="13489" style="70" width="42.57"/>
    <col collapsed="false" customWidth="true" hidden="false" outlineLevel="0" max="13490" min="13490" style="70" width="3.29"/>
    <col collapsed="false" customWidth="true" hidden="false" outlineLevel="0" max="13491" min="13491" style="70" width="8"/>
    <col collapsed="false" customWidth="false" hidden="false" outlineLevel="0" max="13492" min="13492" style="70" width="42.57"/>
    <col collapsed="false" customWidth="true" hidden="false" outlineLevel="0" max="13493" min="13493" style="70" width="3.29"/>
    <col collapsed="false" customWidth="true" hidden="false" outlineLevel="0" max="13494" min="13494" style="70" width="8"/>
    <col collapsed="false" customWidth="false" hidden="false" outlineLevel="0" max="13495" min="13495" style="70" width="42.57"/>
    <col collapsed="false" customWidth="true" hidden="false" outlineLevel="0" max="13496" min="13496" style="70" width="3.29"/>
    <col collapsed="false" customWidth="true" hidden="false" outlineLevel="0" max="13497" min="13497" style="70" width="8"/>
    <col collapsed="false" customWidth="false" hidden="false" outlineLevel="0" max="13498" min="13498" style="70" width="42.57"/>
    <col collapsed="false" customWidth="true" hidden="false" outlineLevel="0" max="13499" min="13499" style="70" width="3.29"/>
    <col collapsed="false" customWidth="true" hidden="false" outlineLevel="0" max="13500" min="13500" style="70" width="8"/>
    <col collapsed="false" customWidth="false" hidden="false" outlineLevel="0" max="13501" min="13501" style="70" width="42.57"/>
    <col collapsed="false" customWidth="true" hidden="false" outlineLevel="0" max="13502" min="13502" style="70" width="3.29"/>
    <col collapsed="false" customWidth="true" hidden="false" outlineLevel="0" max="13503" min="13503" style="70" width="8"/>
    <col collapsed="false" customWidth="false" hidden="false" outlineLevel="0" max="13504" min="13504" style="70" width="42.57"/>
    <col collapsed="false" customWidth="true" hidden="false" outlineLevel="0" max="13505" min="13505" style="70" width="3.29"/>
    <col collapsed="false" customWidth="true" hidden="false" outlineLevel="0" max="13506" min="13506" style="70" width="8"/>
    <col collapsed="false" customWidth="false" hidden="false" outlineLevel="0" max="13507" min="13507" style="70" width="42.57"/>
    <col collapsed="false" customWidth="true" hidden="false" outlineLevel="0" max="13508" min="13508" style="70" width="3.29"/>
    <col collapsed="false" customWidth="true" hidden="false" outlineLevel="0" max="13509" min="13509" style="70" width="8"/>
    <col collapsed="false" customWidth="false" hidden="false" outlineLevel="0" max="13510" min="13510" style="70" width="42.57"/>
    <col collapsed="false" customWidth="true" hidden="false" outlineLevel="0" max="13511" min="13511" style="70" width="3.29"/>
    <col collapsed="false" customWidth="true" hidden="false" outlineLevel="0" max="13512" min="13512" style="70" width="8"/>
    <col collapsed="false" customWidth="false" hidden="false" outlineLevel="0" max="13513" min="13513" style="70" width="42.57"/>
    <col collapsed="false" customWidth="true" hidden="false" outlineLevel="0" max="13514" min="13514" style="70" width="3.29"/>
    <col collapsed="false" customWidth="true" hidden="false" outlineLevel="0" max="13515" min="13515" style="70" width="8"/>
    <col collapsed="false" customWidth="false" hidden="false" outlineLevel="0" max="13516" min="13516" style="70" width="42.57"/>
    <col collapsed="false" customWidth="true" hidden="false" outlineLevel="0" max="13517" min="13517" style="70" width="3.29"/>
    <col collapsed="false" customWidth="true" hidden="false" outlineLevel="0" max="13518" min="13518" style="70" width="8"/>
    <col collapsed="false" customWidth="false" hidden="false" outlineLevel="0" max="13519" min="13519" style="70" width="42.57"/>
    <col collapsed="false" customWidth="true" hidden="false" outlineLevel="0" max="13520" min="13520" style="70" width="3.29"/>
    <col collapsed="false" customWidth="true" hidden="false" outlineLevel="0" max="13521" min="13521" style="70" width="8"/>
    <col collapsed="false" customWidth="false" hidden="false" outlineLevel="0" max="13522" min="13522" style="70" width="42.57"/>
    <col collapsed="false" customWidth="true" hidden="false" outlineLevel="0" max="13523" min="13523" style="70" width="3.29"/>
    <col collapsed="false" customWidth="true" hidden="false" outlineLevel="0" max="13524" min="13524" style="70" width="8"/>
    <col collapsed="false" customWidth="false" hidden="false" outlineLevel="0" max="13525" min="13525" style="70" width="42.57"/>
    <col collapsed="false" customWidth="true" hidden="false" outlineLevel="0" max="13526" min="13526" style="70" width="3.29"/>
    <col collapsed="false" customWidth="true" hidden="false" outlineLevel="0" max="13527" min="13527" style="70" width="8"/>
    <col collapsed="false" customWidth="false" hidden="false" outlineLevel="0" max="13528" min="13528" style="70" width="42.57"/>
    <col collapsed="false" customWidth="true" hidden="false" outlineLevel="0" max="13529" min="13529" style="70" width="3.29"/>
    <col collapsed="false" customWidth="true" hidden="false" outlineLevel="0" max="13530" min="13530" style="70" width="8"/>
    <col collapsed="false" customWidth="false" hidden="false" outlineLevel="0" max="13531" min="13531" style="70" width="42.57"/>
    <col collapsed="false" customWidth="true" hidden="false" outlineLevel="0" max="13532" min="13532" style="70" width="3.29"/>
    <col collapsed="false" customWidth="true" hidden="false" outlineLevel="0" max="13533" min="13533" style="70" width="8"/>
    <col collapsed="false" customWidth="false" hidden="false" outlineLevel="0" max="13534" min="13534" style="70" width="42.57"/>
    <col collapsed="false" customWidth="true" hidden="false" outlineLevel="0" max="13535" min="13535" style="70" width="3.29"/>
    <col collapsed="false" customWidth="true" hidden="false" outlineLevel="0" max="13536" min="13536" style="70" width="8"/>
    <col collapsed="false" customWidth="false" hidden="false" outlineLevel="0" max="13537" min="13537" style="70" width="42.57"/>
    <col collapsed="false" customWidth="true" hidden="false" outlineLevel="0" max="13538" min="13538" style="70" width="3.29"/>
    <col collapsed="false" customWidth="true" hidden="false" outlineLevel="0" max="13539" min="13539" style="70" width="8"/>
    <col collapsed="false" customWidth="false" hidden="false" outlineLevel="0" max="13540" min="13540" style="70" width="42.57"/>
    <col collapsed="false" customWidth="true" hidden="false" outlineLevel="0" max="13541" min="13541" style="70" width="3.29"/>
    <col collapsed="false" customWidth="true" hidden="false" outlineLevel="0" max="13542" min="13542" style="70" width="8"/>
    <col collapsed="false" customWidth="false" hidden="false" outlineLevel="0" max="13543" min="13543" style="70" width="42.57"/>
    <col collapsed="false" customWidth="true" hidden="false" outlineLevel="0" max="13544" min="13544" style="70" width="3.29"/>
    <col collapsed="false" customWidth="true" hidden="false" outlineLevel="0" max="13545" min="13545" style="70" width="8"/>
    <col collapsed="false" customWidth="false" hidden="false" outlineLevel="0" max="13546" min="13546" style="70" width="42.57"/>
    <col collapsed="false" customWidth="true" hidden="false" outlineLevel="0" max="13547" min="13547" style="70" width="3.29"/>
    <col collapsed="false" customWidth="true" hidden="false" outlineLevel="0" max="13548" min="13548" style="70" width="8"/>
    <col collapsed="false" customWidth="false" hidden="false" outlineLevel="0" max="13549" min="13549" style="70" width="42.57"/>
    <col collapsed="false" customWidth="true" hidden="false" outlineLevel="0" max="13550" min="13550" style="70" width="3.29"/>
    <col collapsed="false" customWidth="true" hidden="false" outlineLevel="0" max="13551" min="13551" style="70" width="8"/>
    <col collapsed="false" customWidth="false" hidden="false" outlineLevel="0" max="13552" min="13552" style="70" width="42.57"/>
    <col collapsed="false" customWidth="true" hidden="false" outlineLevel="0" max="13553" min="13553" style="70" width="3.29"/>
    <col collapsed="false" customWidth="true" hidden="false" outlineLevel="0" max="13554" min="13554" style="70" width="8"/>
    <col collapsed="false" customWidth="false" hidden="false" outlineLevel="0" max="13555" min="13555" style="70" width="42.57"/>
    <col collapsed="false" customWidth="true" hidden="false" outlineLevel="0" max="13556" min="13556" style="70" width="3.29"/>
    <col collapsed="false" customWidth="true" hidden="false" outlineLevel="0" max="13557" min="13557" style="70" width="8"/>
    <col collapsed="false" customWidth="false" hidden="false" outlineLevel="0" max="13558" min="13558" style="70" width="42.57"/>
    <col collapsed="false" customWidth="true" hidden="false" outlineLevel="0" max="13559" min="13559" style="70" width="3.29"/>
    <col collapsed="false" customWidth="true" hidden="false" outlineLevel="0" max="13560" min="13560" style="70" width="8"/>
    <col collapsed="false" customWidth="false" hidden="false" outlineLevel="0" max="13561" min="13561" style="70" width="42.57"/>
    <col collapsed="false" customWidth="true" hidden="false" outlineLevel="0" max="13562" min="13562" style="70" width="3.29"/>
    <col collapsed="false" customWidth="true" hidden="false" outlineLevel="0" max="13563" min="13563" style="70" width="8"/>
    <col collapsed="false" customWidth="false" hidden="false" outlineLevel="0" max="13564" min="13564" style="70" width="42.57"/>
    <col collapsed="false" customWidth="true" hidden="false" outlineLevel="0" max="13565" min="13565" style="70" width="3.29"/>
    <col collapsed="false" customWidth="true" hidden="false" outlineLevel="0" max="13566" min="13566" style="70" width="8"/>
    <col collapsed="false" customWidth="false" hidden="false" outlineLevel="0" max="13567" min="13567" style="70" width="42.57"/>
    <col collapsed="false" customWidth="true" hidden="false" outlineLevel="0" max="13568" min="13568" style="70" width="3.29"/>
    <col collapsed="false" customWidth="true" hidden="false" outlineLevel="0" max="13569" min="13569" style="70" width="8"/>
    <col collapsed="false" customWidth="false" hidden="false" outlineLevel="0" max="13570" min="13570" style="70" width="42.57"/>
    <col collapsed="false" customWidth="true" hidden="false" outlineLevel="0" max="13571" min="13571" style="70" width="3.29"/>
    <col collapsed="false" customWidth="true" hidden="false" outlineLevel="0" max="13572" min="13572" style="70" width="8"/>
    <col collapsed="false" customWidth="false" hidden="false" outlineLevel="0" max="13573" min="13573" style="70" width="42.57"/>
    <col collapsed="false" customWidth="true" hidden="false" outlineLevel="0" max="13574" min="13574" style="70" width="3.29"/>
    <col collapsed="false" customWidth="true" hidden="false" outlineLevel="0" max="13575" min="13575" style="70" width="8"/>
    <col collapsed="false" customWidth="false" hidden="false" outlineLevel="0" max="13576" min="13576" style="70" width="42.57"/>
    <col collapsed="false" customWidth="true" hidden="false" outlineLevel="0" max="13577" min="13577" style="70" width="3.29"/>
    <col collapsed="false" customWidth="true" hidden="false" outlineLevel="0" max="13578" min="13578" style="70" width="8"/>
    <col collapsed="false" customWidth="false" hidden="false" outlineLevel="0" max="13579" min="13579" style="70" width="42.57"/>
    <col collapsed="false" customWidth="true" hidden="false" outlineLevel="0" max="13580" min="13580" style="70" width="3.29"/>
    <col collapsed="false" customWidth="true" hidden="false" outlineLevel="0" max="13581" min="13581" style="70" width="8"/>
    <col collapsed="false" customWidth="false" hidden="false" outlineLevel="0" max="13582" min="13582" style="70" width="42.57"/>
    <col collapsed="false" customWidth="true" hidden="false" outlineLevel="0" max="13583" min="13583" style="70" width="3.29"/>
    <col collapsed="false" customWidth="true" hidden="false" outlineLevel="0" max="13584" min="13584" style="70" width="8"/>
    <col collapsed="false" customWidth="false" hidden="false" outlineLevel="0" max="13585" min="13585" style="70" width="42.57"/>
    <col collapsed="false" customWidth="true" hidden="false" outlineLevel="0" max="13586" min="13586" style="70" width="3.29"/>
    <col collapsed="false" customWidth="true" hidden="false" outlineLevel="0" max="13587" min="13587" style="70" width="8"/>
    <col collapsed="false" customWidth="false" hidden="false" outlineLevel="0" max="13588" min="13588" style="70" width="42.57"/>
    <col collapsed="false" customWidth="true" hidden="false" outlineLevel="0" max="13589" min="13589" style="70" width="3.29"/>
    <col collapsed="false" customWidth="true" hidden="false" outlineLevel="0" max="13590" min="13590" style="70" width="8"/>
    <col collapsed="false" customWidth="false" hidden="false" outlineLevel="0" max="13591" min="13591" style="70" width="42.57"/>
    <col collapsed="false" customWidth="true" hidden="false" outlineLevel="0" max="13592" min="13592" style="70" width="3.29"/>
    <col collapsed="false" customWidth="true" hidden="false" outlineLevel="0" max="13593" min="13593" style="70" width="8"/>
    <col collapsed="false" customWidth="false" hidden="false" outlineLevel="0" max="13594" min="13594" style="70" width="42.57"/>
    <col collapsed="false" customWidth="true" hidden="false" outlineLevel="0" max="13595" min="13595" style="70" width="3.29"/>
    <col collapsed="false" customWidth="true" hidden="false" outlineLevel="0" max="13596" min="13596" style="70" width="8"/>
    <col collapsed="false" customWidth="false" hidden="false" outlineLevel="0" max="13597" min="13597" style="70" width="42.57"/>
    <col collapsed="false" customWidth="true" hidden="false" outlineLevel="0" max="13598" min="13598" style="70" width="3.29"/>
    <col collapsed="false" customWidth="true" hidden="false" outlineLevel="0" max="13599" min="13599" style="70" width="8"/>
    <col collapsed="false" customWidth="false" hidden="false" outlineLevel="0" max="13600" min="13600" style="70" width="42.57"/>
    <col collapsed="false" customWidth="true" hidden="false" outlineLevel="0" max="13601" min="13601" style="70" width="3.29"/>
    <col collapsed="false" customWidth="true" hidden="false" outlineLevel="0" max="13602" min="13602" style="70" width="8"/>
    <col collapsed="false" customWidth="false" hidden="false" outlineLevel="0" max="13603" min="13603" style="70" width="42.57"/>
    <col collapsed="false" customWidth="true" hidden="false" outlineLevel="0" max="13604" min="13604" style="70" width="3.29"/>
    <col collapsed="false" customWidth="true" hidden="false" outlineLevel="0" max="13605" min="13605" style="70" width="8"/>
    <col collapsed="false" customWidth="false" hidden="false" outlineLevel="0" max="13606" min="13606" style="70" width="42.57"/>
    <col collapsed="false" customWidth="true" hidden="false" outlineLevel="0" max="13607" min="13607" style="70" width="3.29"/>
    <col collapsed="false" customWidth="true" hidden="false" outlineLevel="0" max="13608" min="13608" style="70" width="8"/>
    <col collapsed="false" customWidth="false" hidden="false" outlineLevel="0" max="13609" min="13609" style="70" width="42.57"/>
    <col collapsed="false" customWidth="true" hidden="false" outlineLevel="0" max="13610" min="13610" style="70" width="3.29"/>
    <col collapsed="false" customWidth="true" hidden="false" outlineLevel="0" max="13611" min="13611" style="70" width="8"/>
    <col collapsed="false" customWidth="false" hidden="false" outlineLevel="0" max="13612" min="13612" style="70" width="42.57"/>
    <col collapsed="false" customWidth="true" hidden="false" outlineLevel="0" max="13613" min="13613" style="70" width="3.29"/>
    <col collapsed="false" customWidth="true" hidden="false" outlineLevel="0" max="13614" min="13614" style="70" width="8"/>
    <col collapsed="false" customWidth="false" hidden="false" outlineLevel="0" max="13615" min="13615" style="70" width="42.57"/>
    <col collapsed="false" customWidth="true" hidden="false" outlineLevel="0" max="13616" min="13616" style="70" width="3.29"/>
    <col collapsed="false" customWidth="true" hidden="false" outlineLevel="0" max="13617" min="13617" style="70" width="8"/>
    <col collapsed="false" customWidth="false" hidden="false" outlineLevel="0" max="13618" min="13618" style="70" width="42.57"/>
    <col collapsed="false" customWidth="true" hidden="false" outlineLevel="0" max="13619" min="13619" style="70" width="3.29"/>
    <col collapsed="false" customWidth="true" hidden="false" outlineLevel="0" max="13620" min="13620" style="70" width="8"/>
    <col collapsed="false" customWidth="false" hidden="false" outlineLevel="0" max="13621" min="13621" style="70" width="42.57"/>
    <col collapsed="false" customWidth="true" hidden="false" outlineLevel="0" max="13622" min="13622" style="70" width="3.29"/>
    <col collapsed="false" customWidth="true" hidden="false" outlineLevel="0" max="13623" min="13623" style="70" width="8"/>
    <col collapsed="false" customWidth="false" hidden="false" outlineLevel="0" max="13624" min="13624" style="70" width="42.57"/>
    <col collapsed="false" customWidth="true" hidden="false" outlineLevel="0" max="13625" min="13625" style="70" width="3.29"/>
    <col collapsed="false" customWidth="true" hidden="false" outlineLevel="0" max="13626" min="13626" style="70" width="8"/>
    <col collapsed="false" customWidth="false" hidden="false" outlineLevel="0" max="13627" min="13627" style="70" width="42.57"/>
    <col collapsed="false" customWidth="true" hidden="false" outlineLevel="0" max="13628" min="13628" style="70" width="3.29"/>
    <col collapsed="false" customWidth="true" hidden="false" outlineLevel="0" max="13629" min="13629" style="70" width="8"/>
    <col collapsed="false" customWidth="false" hidden="false" outlineLevel="0" max="13630" min="13630" style="70" width="42.57"/>
    <col collapsed="false" customWidth="true" hidden="false" outlineLevel="0" max="13631" min="13631" style="70" width="3.29"/>
    <col collapsed="false" customWidth="true" hidden="false" outlineLevel="0" max="13632" min="13632" style="70" width="8"/>
    <col collapsed="false" customWidth="false" hidden="false" outlineLevel="0" max="13633" min="13633" style="70" width="42.57"/>
    <col collapsed="false" customWidth="true" hidden="false" outlineLevel="0" max="13634" min="13634" style="70" width="3.29"/>
    <col collapsed="false" customWidth="true" hidden="false" outlineLevel="0" max="13635" min="13635" style="70" width="8"/>
    <col collapsed="false" customWidth="false" hidden="false" outlineLevel="0" max="13636" min="13636" style="70" width="42.57"/>
    <col collapsed="false" customWidth="true" hidden="false" outlineLevel="0" max="13637" min="13637" style="70" width="3.29"/>
    <col collapsed="false" customWidth="true" hidden="false" outlineLevel="0" max="13638" min="13638" style="70" width="8"/>
    <col collapsed="false" customWidth="false" hidden="false" outlineLevel="0" max="13639" min="13639" style="70" width="42.57"/>
    <col collapsed="false" customWidth="true" hidden="false" outlineLevel="0" max="13640" min="13640" style="70" width="3.29"/>
    <col collapsed="false" customWidth="true" hidden="false" outlineLevel="0" max="13641" min="13641" style="70" width="8"/>
    <col collapsed="false" customWidth="false" hidden="false" outlineLevel="0" max="13642" min="13642" style="70" width="42.57"/>
    <col collapsed="false" customWidth="true" hidden="false" outlineLevel="0" max="13643" min="13643" style="70" width="3.29"/>
    <col collapsed="false" customWidth="true" hidden="false" outlineLevel="0" max="13644" min="13644" style="70" width="8"/>
    <col collapsed="false" customWidth="false" hidden="false" outlineLevel="0" max="13645" min="13645" style="70" width="42.57"/>
    <col collapsed="false" customWidth="true" hidden="false" outlineLevel="0" max="13646" min="13646" style="70" width="3.29"/>
    <col collapsed="false" customWidth="true" hidden="false" outlineLevel="0" max="13647" min="13647" style="70" width="8"/>
    <col collapsed="false" customWidth="false" hidden="false" outlineLevel="0" max="13648" min="13648" style="70" width="42.57"/>
    <col collapsed="false" customWidth="true" hidden="false" outlineLevel="0" max="13649" min="13649" style="70" width="3.29"/>
    <col collapsed="false" customWidth="true" hidden="false" outlineLevel="0" max="13650" min="13650" style="70" width="8"/>
    <col collapsed="false" customWidth="false" hidden="false" outlineLevel="0" max="13651" min="13651" style="70" width="42.57"/>
    <col collapsed="false" customWidth="true" hidden="false" outlineLevel="0" max="13652" min="13652" style="70" width="3.29"/>
    <col collapsed="false" customWidth="true" hidden="false" outlineLevel="0" max="13653" min="13653" style="70" width="8"/>
    <col collapsed="false" customWidth="false" hidden="false" outlineLevel="0" max="13654" min="13654" style="70" width="42.57"/>
    <col collapsed="false" customWidth="true" hidden="false" outlineLevel="0" max="13655" min="13655" style="70" width="3.29"/>
    <col collapsed="false" customWidth="true" hidden="false" outlineLevel="0" max="13656" min="13656" style="70" width="8"/>
    <col collapsed="false" customWidth="false" hidden="false" outlineLevel="0" max="13657" min="13657" style="70" width="42.57"/>
    <col collapsed="false" customWidth="true" hidden="false" outlineLevel="0" max="13658" min="13658" style="70" width="3.29"/>
    <col collapsed="false" customWidth="true" hidden="false" outlineLevel="0" max="13659" min="13659" style="70" width="8"/>
    <col collapsed="false" customWidth="false" hidden="false" outlineLevel="0" max="13660" min="13660" style="70" width="42.57"/>
    <col collapsed="false" customWidth="true" hidden="false" outlineLevel="0" max="13661" min="13661" style="70" width="3.29"/>
    <col collapsed="false" customWidth="true" hidden="false" outlineLevel="0" max="13662" min="13662" style="70" width="8"/>
    <col collapsed="false" customWidth="false" hidden="false" outlineLevel="0" max="13663" min="13663" style="70" width="42.57"/>
    <col collapsed="false" customWidth="true" hidden="false" outlineLevel="0" max="13664" min="13664" style="70" width="3.29"/>
    <col collapsed="false" customWidth="true" hidden="false" outlineLevel="0" max="13665" min="13665" style="70" width="8"/>
    <col collapsed="false" customWidth="false" hidden="false" outlineLevel="0" max="13666" min="13666" style="70" width="42.57"/>
    <col collapsed="false" customWidth="true" hidden="false" outlineLevel="0" max="13667" min="13667" style="70" width="3.29"/>
    <col collapsed="false" customWidth="true" hidden="false" outlineLevel="0" max="13668" min="13668" style="70" width="8"/>
    <col collapsed="false" customWidth="false" hidden="false" outlineLevel="0" max="13669" min="13669" style="70" width="42.57"/>
    <col collapsed="false" customWidth="true" hidden="false" outlineLevel="0" max="13670" min="13670" style="70" width="3.29"/>
    <col collapsed="false" customWidth="true" hidden="false" outlineLevel="0" max="13671" min="13671" style="70" width="8"/>
    <col collapsed="false" customWidth="false" hidden="false" outlineLevel="0" max="13672" min="13672" style="70" width="42.57"/>
    <col collapsed="false" customWidth="true" hidden="false" outlineLevel="0" max="13673" min="13673" style="70" width="3.29"/>
    <col collapsed="false" customWidth="true" hidden="false" outlineLevel="0" max="13674" min="13674" style="70" width="8"/>
    <col collapsed="false" customWidth="false" hidden="false" outlineLevel="0" max="13675" min="13675" style="70" width="42.57"/>
    <col collapsed="false" customWidth="true" hidden="false" outlineLevel="0" max="13676" min="13676" style="70" width="3.29"/>
    <col collapsed="false" customWidth="true" hidden="false" outlineLevel="0" max="13677" min="13677" style="70" width="8"/>
    <col collapsed="false" customWidth="false" hidden="false" outlineLevel="0" max="13678" min="13678" style="70" width="42.57"/>
    <col collapsed="false" customWidth="true" hidden="false" outlineLevel="0" max="13679" min="13679" style="70" width="3.29"/>
    <col collapsed="false" customWidth="true" hidden="false" outlineLevel="0" max="13680" min="13680" style="70" width="8"/>
    <col collapsed="false" customWidth="false" hidden="false" outlineLevel="0" max="13681" min="13681" style="70" width="42.57"/>
    <col collapsed="false" customWidth="true" hidden="false" outlineLevel="0" max="13682" min="13682" style="70" width="3.29"/>
    <col collapsed="false" customWidth="true" hidden="false" outlineLevel="0" max="13683" min="13683" style="70" width="8"/>
    <col collapsed="false" customWidth="false" hidden="false" outlineLevel="0" max="13684" min="13684" style="70" width="42.57"/>
    <col collapsed="false" customWidth="true" hidden="false" outlineLevel="0" max="13685" min="13685" style="70" width="3.29"/>
    <col collapsed="false" customWidth="true" hidden="false" outlineLevel="0" max="13686" min="13686" style="70" width="8"/>
    <col collapsed="false" customWidth="false" hidden="false" outlineLevel="0" max="13687" min="13687" style="70" width="42.57"/>
    <col collapsed="false" customWidth="true" hidden="false" outlineLevel="0" max="13688" min="13688" style="70" width="3.29"/>
    <col collapsed="false" customWidth="true" hidden="false" outlineLevel="0" max="13689" min="13689" style="70" width="8"/>
    <col collapsed="false" customWidth="false" hidden="false" outlineLevel="0" max="13690" min="13690" style="70" width="42.57"/>
    <col collapsed="false" customWidth="true" hidden="false" outlineLevel="0" max="13691" min="13691" style="70" width="3.29"/>
    <col collapsed="false" customWidth="true" hidden="false" outlineLevel="0" max="13692" min="13692" style="70" width="8"/>
    <col collapsed="false" customWidth="false" hidden="false" outlineLevel="0" max="13693" min="13693" style="70" width="42.57"/>
    <col collapsed="false" customWidth="true" hidden="false" outlineLevel="0" max="13694" min="13694" style="70" width="3.29"/>
    <col collapsed="false" customWidth="true" hidden="false" outlineLevel="0" max="13695" min="13695" style="70" width="8"/>
    <col collapsed="false" customWidth="false" hidden="false" outlineLevel="0" max="13696" min="13696" style="70" width="42.57"/>
    <col collapsed="false" customWidth="true" hidden="false" outlineLevel="0" max="13697" min="13697" style="70" width="3.29"/>
    <col collapsed="false" customWidth="true" hidden="false" outlineLevel="0" max="13698" min="13698" style="70" width="8"/>
    <col collapsed="false" customWidth="false" hidden="false" outlineLevel="0" max="13699" min="13699" style="70" width="42.57"/>
    <col collapsed="false" customWidth="true" hidden="false" outlineLevel="0" max="13700" min="13700" style="70" width="3.29"/>
    <col collapsed="false" customWidth="true" hidden="false" outlineLevel="0" max="13701" min="13701" style="70" width="8"/>
    <col collapsed="false" customWidth="false" hidden="false" outlineLevel="0" max="13702" min="13702" style="70" width="42.57"/>
    <col collapsed="false" customWidth="true" hidden="false" outlineLevel="0" max="13703" min="13703" style="70" width="3.29"/>
    <col collapsed="false" customWidth="true" hidden="false" outlineLevel="0" max="13704" min="13704" style="70" width="8"/>
    <col collapsed="false" customWidth="false" hidden="false" outlineLevel="0" max="13705" min="13705" style="70" width="42.57"/>
    <col collapsed="false" customWidth="true" hidden="false" outlineLevel="0" max="13706" min="13706" style="70" width="3.29"/>
    <col collapsed="false" customWidth="true" hidden="false" outlineLevel="0" max="13707" min="13707" style="70" width="8"/>
    <col collapsed="false" customWidth="false" hidden="false" outlineLevel="0" max="13708" min="13708" style="70" width="42.57"/>
    <col collapsed="false" customWidth="true" hidden="false" outlineLevel="0" max="13709" min="13709" style="70" width="3.29"/>
    <col collapsed="false" customWidth="true" hidden="false" outlineLevel="0" max="13710" min="13710" style="70" width="8"/>
    <col collapsed="false" customWidth="false" hidden="false" outlineLevel="0" max="13711" min="13711" style="70" width="42.57"/>
    <col collapsed="false" customWidth="true" hidden="false" outlineLevel="0" max="13712" min="13712" style="70" width="3.29"/>
    <col collapsed="false" customWidth="true" hidden="false" outlineLevel="0" max="13713" min="13713" style="70" width="8"/>
    <col collapsed="false" customWidth="false" hidden="false" outlineLevel="0" max="13714" min="13714" style="70" width="42.57"/>
    <col collapsed="false" customWidth="true" hidden="false" outlineLevel="0" max="13715" min="13715" style="70" width="3.29"/>
    <col collapsed="false" customWidth="true" hidden="false" outlineLevel="0" max="13716" min="13716" style="70" width="8"/>
    <col collapsed="false" customWidth="false" hidden="false" outlineLevel="0" max="13717" min="13717" style="70" width="42.57"/>
    <col collapsed="false" customWidth="true" hidden="false" outlineLevel="0" max="13718" min="13718" style="70" width="3.29"/>
    <col collapsed="false" customWidth="true" hidden="false" outlineLevel="0" max="13719" min="13719" style="70" width="8"/>
    <col collapsed="false" customWidth="false" hidden="false" outlineLevel="0" max="13720" min="13720" style="70" width="42.57"/>
    <col collapsed="false" customWidth="true" hidden="false" outlineLevel="0" max="13721" min="13721" style="70" width="3.29"/>
    <col collapsed="false" customWidth="true" hidden="false" outlineLevel="0" max="13722" min="13722" style="70" width="8"/>
    <col collapsed="false" customWidth="false" hidden="false" outlineLevel="0" max="13723" min="13723" style="70" width="42.57"/>
    <col collapsed="false" customWidth="true" hidden="false" outlineLevel="0" max="13724" min="13724" style="70" width="3.29"/>
    <col collapsed="false" customWidth="true" hidden="false" outlineLevel="0" max="13725" min="13725" style="70" width="8"/>
    <col collapsed="false" customWidth="false" hidden="false" outlineLevel="0" max="13726" min="13726" style="70" width="42.57"/>
    <col collapsed="false" customWidth="true" hidden="false" outlineLevel="0" max="13727" min="13727" style="70" width="3.29"/>
    <col collapsed="false" customWidth="true" hidden="false" outlineLevel="0" max="13728" min="13728" style="70" width="8"/>
    <col collapsed="false" customWidth="false" hidden="false" outlineLevel="0" max="13729" min="13729" style="70" width="42.57"/>
    <col collapsed="false" customWidth="true" hidden="false" outlineLevel="0" max="13730" min="13730" style="70" width="3.29"/>
    <col collapsed="false" customWidth="true" hidden="false" outlineLevel="0" max="13731" min="13731" style="70" width="8"/>
    <col collapsed="false" customWidth="false" hidden="false" outlineLevel="0" max="13732" min="13732" style="70" width="42.57"/>
    <col collapsed="false" customWidth="true" hidden="false" outlineLevel="0" max="13733" min="13733" style="70" width="3.29"/>
    <col collapsed="false" customWidth="true" hidden="false" outlineLevel="0" max="13734" min="13734" style="70" width="8"/>
    <col collapsed="false" customWidth="false" hidden="false" outlineLevel="0" max="13735" min="13735" style="70" width="42.57"/>
    <col collapsed="false" customWidth="true" hidden="false" outlineLevel="0" max="13736" min="13736" style="70" width="3.29"/>
    <col collapsed="false" customWidth="true" hidden="false" outlineLevel="0" max="13737" min="13737" style="70" width="8"/>
    <col collapsed="false" customWidth="false" hidden="false" outlineLevel="0" max="13738" min="13738" style="70" width="42.57"/>
    <col collapsed="false" customWidth="true" hidden="false" outlineLevel="0" max="13739" min="13739" style="70" width="3.29"/>
    <col collapsed="false" customWidth="true" hidden="false" outlineLevel="0" max="13740" min="13740" style="70" width="8"/>
    <col collapsed="false" customWidth="false" hidden="false" outlineLevel="0" max="13741" min="13741" style="70" width="42.57"/>
    <col collapsed="false" customWidth="true" hidden="false" outlineLevel="0" max="13742" min="13742" style="70" width="3.29"/>
    <col collapsed="false" customWidth="true" hidden="false" outlineLevel="0" max="13743" min="13743" style="70" width="8"/>
    <col collapsed="false" customWidth="false" hidden="false" outlineLevel="0" max="13744" min="13744" style="70" width="42.57"/>
    <col collapsed="false" customWidth="true" hidden="false" outlineLevel="0" max="13745" min="13745" style="70" width="3.29"/>
    <col collapsed="false" customWidth="true" hidden="false" outlineLevel="0" max="13746" min="13746" style="70" width="8"/>
    <col collapsed="false" customWidth="false" hidden="false" outlineLevel="0" max="13747" min="13747" style="70" width="42.57"/>
    <col collapsed="false" customWidth="true" hidden="false" outlineLevel="0" max="13748" min="13748" style="70" width="3.29"/>
    <col collapsed="false" customWidth="true" hidden="false" outlineLevel="0" max="13749" min="13749" style="70" width="8"/>
    <col collapsed="false" customWidth="false" hidden="false" outlineLevel="0" max="13750" min="13750" style="70" width="42.57"/>
    <col collapsed="false" customWidth="true" hidden="false" outlineLevel="0" max="13751" min="13751" style="70" width="3.29"/>
    <col collapsed="false" customWidth="true" hidden="false" outlineLevel="0" max="13752" min="13752" style="70" width="8"/>
    <col collapsed="false" customWidth="false" hidden="false" outlineLevel="0" max="13753" min="13753" style="70" width="42.57"/>
    <col collapsed="false" customWidth="true" hidden="false" outlineLevel="0" max="13754" min="13754" style="70" width="3.29"/>
    <col collapsed="false" customWidth="true" hidden="false" outlineLevel="0" max="13755" min="13755" style="70" width="8"/>
    <col collapsed="false" customWidth="false" hidden="false" outlineLevel="0" max="13756" min="13756" style="70" width="42.57"/>
    <col collapsed="false" customWidth="true" hidden="false" outlineLevel="0" max="13757" min="13757" style="70" width="3.29"/>
    <col collapsed="false" customWidth="true" hidden="false" outlineLevel="0" max="13758" min="13758" style="70" width="8"/>
    <col collapsed="false" customWidth="false" hidden="false" outlineLevel="0" max="13759" min="13759" style="70" width="42.57"/>
    <col collapsed="false" customWidth="true" hidden="false" outlineLevel="0" max="13760" min="13760" style="70" width="3.29"/>
    <col collapsed="false" customWidth="true" hidden="false" outlineLevel="0" max="13761" min="13761" style="70" width="8"/>
    <col collapsed="false" customWidth="false" hidden="false" outlineLevel="0" max="13762" min="13762" style="70" width="42.57"/>
    <col collapsed="false" customWidth="true" hidden="false" outlineLevel="0" max="13763" min="13763" style="70" width="3.29"/>
    <col collapsed="false" customWidth="true" hidden="false" outlineLevel="0" max="13764" min="13764" style="70" width="8"/>
    <col collapsed="false" customWidth="false" hidden="false" outlineLevel="0" max="13765" min="13765" style="70" width="42.57"/>
    <col collapsed="false" customWidth="true" hidden="false" outlineLevel="0" max="13766" min="13766" style="70" width="3.29"/>
    <col collapsed="false" customWidth="true" hidden="false" outlineLevel="0" max="13767" min="13767" style="70" width="8"/>
    <col collapsed="false" customWidth="false" hidden="false" outlineLevel="0" max="13768" min="13768" style="70" width="42.57"/>
    <col collapsed="false" customWidth="true" hidden="false" outlineLevel="0" max="13769" min="13769" style="70" width="3.29"/>
    <col collapsed="false" customWidth="true" hidden="false" outlineLevel="0" max="13770" min="13770" style="70" width="8"/>
    <col collapsed="false" customWidth="false" hidden="false" outlineLevel="0" max="13771" min="13771" style="70" width="42.57"/>
    <col collapsed="false" customWidth="true" hidden="false" outlineLevel="0" max="13772" min="13772" style="70" width="3.29"/>
    <col collapsed="false" customWidth="true" hidden="false" outlineLevel="0" max="13773" min="13773" style="70" width="8"/>
    <col collapsed="false" customWidth="false" hidden="false" outlineLevel="0" max="13774" min="13774" style="70" width="42.57"/>
    <col collapsed="false" customWidth="true" hidden="false" outlineLevel="0" max="13775" min="13775" style="70" width="3.29"/>
    <col collapsed="false" customWidth="true" hidden="false" outlineLevel="0" max="13776" min="13776" style="70" width="8"/>
    <col collapsed="false" customWidth="false" hidden="false" outlineLevel="0" max="13777" min="13777" style="70" width="42.57"/>
    <col collapsed="false" customWidth="true" hidden="false" outlineLevel="0" max="13778" min="13778" style="70" width="3.29"/>
    <col collapsed="false" customWidth="true" hidden="false" outlineLevel="0" max="13779" min="13779" style="70" width="8"/>
    <col collapsed="false" customWidth="false" hidden="false" outlineLevel="0" max="13780" min="13780" style="70" width="42.57"/>
    <col collapsed="false" customWidth="true" hidden="false" outlineLevel="0" max="13781" min="13781" style="70" width="3.29"/>
    <col collapsed="false" customWidth="true" hidden="false" outlineLevel="0" max="13782" min="13782" style="70" width="8"/>
    <col collapsed="false" customWidth="false" hidden="false" outlineLevel="0" max="13783" min="13783" style="70" width="42.57"/>
    <col collapsed="false" customWidth="true" hidden="false" outlineLevel="0" max="13784" min="13784" style="70" width="3.29"/>
    <col collapsed="false" customWidth="true" hidden="false" outlineLevel="0" max="13785" min="13785" style="70" width="8"/>
    <col collapsed="false" customWidth="false" hidden="false" outlineLevel="0" max="13786" min="13786" style="70" width="42.57"/>
    <col collapsed="false" customWidth="true" hidden="false" outlineLevel="0" max="13787" min="13787" style="70" width="3.29"/>
    <col collapsed="false" customWidth="true" hidden="false" outlineLevel="0" max="13788" min="13788" style="70" width="8"/>
    <col collapsed="false" customWidth="false" hidden="false" outlineLevel="0" max="13789" min="13789" style="70" width="42.57"/>
    <col collapsed="false" customWidth="true" hidden="false" outlineLevel="0" max="13790" min="13790" style="70" width="3.29"/>
    <col collapsed="false" customWidth="true" hidden="false" outlineLevel="0" max="13791" min="13791" style="70" width="8"/>
    <col collapsed="false" customWidth="false" hidden="false" outlineLevel="0" max="13792" min="13792" style="70" width="42.57"/>
    <col collapsed="false" customWidth="true" hidden="false" outlineLevel="0" max="13793" min="13793" style="70" width="3.29"/>
    <col collapsed="false" customWidth="true" hidden="false" outlineLevel="0" max="13794" min="13794" style="70" width="8"/>
    <col collapsed="false" customWidth="false" hidden="false" outlineLevel="0" max="13795" min="13795" style="70" width="42.57"/>
    <col collapsed="false" customWidth="true" hidden="false" outlineLevel="0" max="13796" min="13796" style="70" width="3.29"/>
    <col collapsed="false" customWidth="true" hidden="false" outlineLevel="0" max="13797" min="13797" style="70" width="8"/>
    <col collapsed="false" customWidth="false" hidden="false" outlineLevel="0" max="13798" min="13798" style="70" width="42.57"/>
    <col collapsed="false" customWidth="true" hidden="false" outlineLevel="0" max="13799" min="13799" style="70" width="3.29"/>
    <col collapsed="false" customWidth="true" hidden="false" outlineLevel="0" max="13800" min="13800" style="70" width="8"/>
    <col collapsed="false" customWidth="false" hidden="false" outlineLevel="0" max="13801" min="13801" style="70" width="42.57"/>
    <col collapsed="false" customWidth="true" hidden="false" outlineLevel="0" max="13802" min="13802" style="70" width="3.29"/>
    <col collapsed="false" customWidth="true" hidden="false" outlineLevel="0" max="13803" min="13803" style="70" width="8"/>
    <col collapsed="false" customWidth="false" hidden="false" outlineLevel="0" max="13804" min="13804" style="70" width="42.57"/>
    <col collapsed="false" customWidth="true" hidden="false" outlineLevel="0" max="13805" min="13805" style="70" width="3.29"/>
    <col collapsed="false" customWidth="true" hidden="false" outlineLevel="0" max="13806" min="13806" style="70" width="8"/>
    <col collapsed="false" customWidth="false" hidden="false" outlineLevel="0" max="13807" min="13807" style="70" width="42.57"/>
    <col collapsed="false" customWidth="true" hidden="false" outlineLevel="0" max="13808" min="13808" style="70" width="3.29"/>
    <col collapsed="false" customWidth="true" hidden="false" outlineLevel="0" max="13809" min="13809" style="70" width="8"/>
    <col collapsed="false" customWidth="false" hidden="false" outlineLevel="0" max="13810" min="13810" style="70" width="42.57"/>
    <col collapsed="false" customWidth="true" hidden="false" outlineLevel="0" max="13811" min="13811" style="70" width="3.29"/>
    <col collapsed="false" customWidth="true" hidden="false" outlineLevel="0" max="13812" min="13812" style="70" width="8"/>
    <col collapsed="false" customWidth="false" hidden="false" outlineLevel="0" max="13813" min="13813" style="70" width="42.57"/>
    <col collapsed="false" customWidth="true" hidden="false" outlineLevel="0" max="13814" min="13814" style="70" width="3.29"/>
    <col collapsed="false" customWidth="true" hidden="false" outlineLevel="0" max="13815" min="13815" style="70" width="8"/>
    <col collapsed="false" customWidth="false" hidden="false" outlineLevel="0" max="13816" min="13816" style="70" width="42.57"/>
    <col collapsed="false" customWidth="true" hidden="false" outlineLevel="0" max="13817" min="13817" style="70" width="3.29"/>
    <col collapsed="false" customWidth="true" hidden="false" outlineLevel="0" max="13818" min="13818" style="70" width="8"/>
    <col collapsed="false" customWidth="false" hidden="false" outlineLevel="0" max="13819" min="13819" style="70" width="42.57"/>
    <col collapsed="false" customWidth="true" hidden="false" outlineLevel="0" max="13820" min="13820" style="70" width="3.29"/>
    <col collapsed="false" customWidth="true" hidden="false" outlineLevel="0" max="13821" min="13821" style="70" width="8"/>
    <col collapsed="false" customWidth="false" hidden="false" outlineLevel="0" max="13822" min="13822" style="70" width="42.57"/>
    <col collapsed="false" customWidth="true" hidden="false" outlineLevel="0" max="13823" min="13823" style="70" width="3.29"/>
    <col collapsed="false" customWidth="true" hidden="false" outlineLevel="0" max="13824" min="13824" style="70" width="8"/>
    <col collapsed="false" customWidth="false" hidden="false" outlineLevel="0" max="13825" min="13825" style="70" width="42.57"/>
    <col collapsed="false" customWidth="true" hidden="false" outlineLevel="0" max="13826" min="13826" style="70" width="3.29"/>
    <col collapsed="false" customWidth="true" hidden="false" outlineLevel="0" max="13827" min="13827" style="70" width="8"/>
    <col collapsed="false" customWidth="false" hidden="false" outlineLevel="0" max="13828" min="13828" style="70" width="42.57"/>
    <col collapsed="false" customWidth="true" hidden="false" outlineLevel="0" max="13829" min="13829" style="70" width="3.29"/>
    <col collapsed="false" customWidth="true" hidden="false" outlineLevel="0" max="13830" min="13830" style="70" width="8"/>
    <col collapsed="false" customWidth="false" hidden="false" outlineLevel="0" max="13831" min="13831" style="70" width="42.57"/>
    <col collapsed="false" customWidth="true" hidden="false" outlineLevel="0" max="13832" min="13832" style="70" width="3.29"/>
    <col collapsed="false" customWidth="true" hidden="false" outlineLevel="0" max="13833" min="13833" style="70" width="8"/>
    <col collapsed="false" customWidth="false" hidden="false" outlineLevel="0" max="13834" min="13834" style="70" width="42.57"/>
    <col collapsed="false" customWidth="true" hidden="false" outlineLevel="0" max="13835" min="13835" style="70" width="3.29"/>
    <col collapsed="false" customWidth="true" hidden="false" outlineLevel="0" max="13836" min="13836" style="70" width="8"/>
    <col collapsed="false" customWidth="false" hidden="false" outlineLevel="0" max="13837" min="13837" style="70" width="42.57"/>
    <col collapsed="false" customWidth="true" hidden="false" outlineLevel="0" max="13838" min="13838" style="70" width="3.29"/>
    <col collapsed="false" customWidth="true" hidden="false" outlineLevel="0" max="13839" min="13839" style="70" width="8"/>
    <col collapsed="false" customWidth="false" hidden="false" outlineLevel="0" max="13840" min="13840" style="70" width="42.57"/>
    <col collapsed="false" customWidth="true" hidden="false" outlineLevel="0" max="13841" min="13841" style="70" width="3.29"/>
    <col collapsed="false" customWidth="true" hidden="false" outlineLevel="0" max="13842" min="13842" style="70" width="8"/>
    <col collapsed="false" customWidth="false" hidden="false" outlineLevel="0" max="13843" min="13843" style="70" width="42.57"/>
    <col collapsed="false" customWidth="true" hidden="false" outlineLevel="0" max="13844" min="13844" style="70" width="3.29"/>
    <col collapsed="false" customWidth="true" hidden="false" outlineLevel="0" max="13845" min="13845" style="70" width="8"/>
    <col collapsed="false" customWidth="false" hidden="false" outlineLevel="0" max="13846" min="13846" style="70" width="42.57"/>
    <col collapsed="false" customWidth="true" hidden="false" outlineLevel="0" max="13847" min="13847" style="70" width="3.29"/>
    <col collapsed="false" customWidth="true" hidden="false" outlineLevel="0" max="13848" min="13848" style="70" width="8"/>
    <col collapsed="false" customWidth="false" hidden="false" outlineLevel="0" max="13849" min="13849" style="70" width="42.57"/>
    <col collapsed="false" customWidth="true" hidden="false" outlineLevel="0" max="13850" min="13850" style="70" width="3.29"/>
    <col collapsed="false" customWidth="true" hidden="false" outlineLevel="0" max="13851" min="13851" style="70" width="8"/>
    <col collapsed="false" customWidth="false" hidden="false" outlineLevel="0" max="13852" min="13852" style="70" width="42.57"/>
    <col collapsed="false" customWidth="true" hidden="false" outlineLevel="0" max="13853" min="13853" style="70" width="3.29"/>
    <col collapsed="false" customWidth="true" hidden="false" outlineLevel="0" max="13854" min="13854" style="70" width="8"/>
    <col collapsed="false" customWidth="false" hidden="false" outlineLevel="0" max="13855" min="13855" style="70" width="42.57"/>
    <col collapsed="false" customWidth="true" hidden="false" outlineLevel="0" max="13856" min="13856" style="70" width="3.29"/>
    <col collapsed="false" customWidth="true" hidden="false" outlineLevel="0" max="13857" min="13857" style="70" width="8"/>
    <col collapsed="false" customWidth="false" hidden="false" outlineLevel="0" max="13858" min="13858" style="70" width="42.57"/>
    <col collapsed="false" customWidth="true" hidden="false" outlineLevel="0" max="13859" min="13859" style="70" width="3.29"/>
    <col collapsed="false" customWidth="true" hidden="false" outlineLevel="0" max="13860" min="13860" style="70" width="8"/>
    <col collapsed="false" customWidth="false" hidden="false" outlineLevel="0" max="13861" min="13861" style="70" width="42.57"/>
    <col collapsed="false" customWidth="true" hidden="false" outlineLevel="0" max="13862" min="13862" style="70" width="3.29"/>
    <col collapsed="false" customWidth="true" hidden="false" outlineLevel="0" max="13863" min="13863" style="70" width="8"/>
    <col collapsed="false" customWidth="false" hidden="false" outlineLevel="0" max="13864" min="13864" style="70" width="42.57"/>
    <col collapsed="false" customWidth="true" hidden="false" outlineLevel="0" max="13865" min="13865" style="70" width="3.29"/>
    <col collapsed="false" customWidth="true" hidden="false" outlineLevel="0" max="13866" min="13866" style="70" width="8"/>
    <col collapsed="false" customWidth="false" hidden="false" outlineLevel="0" max="13867" min="13867" style="70" width="42.57"/>
    <col collapsed="false" customWidth="true" hidden="false" outlineLevel="0" max="13868" min="13868" style="70" width="3.29"/>
    <col collapsed="false" customWidth="true" hidden="false" outlineLevel="0" max="13869" min="13869" style="70" width="8"/>
    <col collapsed="false" customWidth="false" hidden="false" outlineLevel="0" max="13870" min="13870" style="70" width="42.57"/>
    <col collapsed="false" customWidth="true" hidden="false" outlineLevel="0" max="13871" min="13871" style="70" width="3.29"/>
    <col collapsed="false" customWidth="true" hidden="false" outlineLevel="0" max="13872" min="13872" style="70" width="8"/>
    <col collapsed="false" customWidth="false" hidden="false" outlineLevel="0" max="13873" min="13873" style="70" width="42.57"/>
    <col collapsed="false" customWidth="true" hidden="false" outlineLevel="0" max="13874" min="13874" style="70" width="3.29"/>
    <col collapsed="false" customWidth="true" hidden="false" outlineLevel="0" max="13875" min="13875" style="70" width="8"/>
    <col collapsed="false" customWidth="false" hidden="false" outlineLevel="0" max="13876" min="13876" style="70" width="42.57"/>
    <col collapsed="false" customWidth="true" hidden="false" outlineLevel="0" max="13877" min="13877" style="70" width="3.29"/>
    <col collapsed="false" customWidth="true" hidden="false" outlineLevel="0" max="13878" min="13878" style="70" width="8"/>
    <col collapsed="false" customWidth="false" hidden="false" outlineLevel="0" max="13879" min="13879" style="70" width="42.57"/>
    <col collapsed="false" customWidth="true" hidden="false" outlineLevel="0" max="13880" min="13880" style="70" width="3.29"/>
    <col collapsed="false" customWidth="true" hidden="false" outlineLevel="0" max="13881" min="13881" style="70" width="8"/>
    <col collapsed="false" customWidth="false" hidden="false" outlineLevel="0" max="13882" min="13882" style="70" width="42.57"/>
    <col collapsed="false" customWidth="true" hidden="false" outlineLevel="0" max="13883" min="13883" style="70" width="3.29"/>
    <col collapsed="false" customWidth="true" hidden="false" outlineLevel="0" max="13884" min="13884" style="70" width="8"/>
    <col collapsed="false" customWidth="false" hidden="false" outlineLevel="0" max="13885" min="13885" style="70" width="42.57"/>
    <col collapsed="false" customWidth="true" hidden="false" outlineLevel="0" max="13886" min="13886" style="70" width="3.29"/>
    <col collapsed="false" customWidth="true" hidden="false" outlineLevel="0" max="13887" min="13887" style="70" width="8"/>
    <col collapsed="false" customWidth="false" hidden="false" outlineLevel="0" max="13888" min="13888" style="70" width="42.57"/>
    <col collapsed="false" customWidth="true" hidden="false" outlineLevel="0" max="13889" min="13889" style="70" width="3.29"/>
    <col collapsed="false" customWidth="true" hidden="false" outlineLevel="0" max="13890" min="13890" style="70" width="8"/>
    <col collapsed="false" customWidth="false" hidden="false" outlineLevel="0" max="13891" min="13891" style="70" width="42.57"/>
    <col collapsed="false" customWidth="true" hidden="false" outlineLevel="0" max="13892" min="13892" style="70" width="3.29"/>
    <col collapsed="false" customWidth="true" hidden="false" outlineLevel="0" max="13893" min="13893" style="70" width="8"/>
    <col collapsed="false" customWidth="false" hidden="false" outlineLevel="0" max="13894" min="13894" style="70" width="42.57"/>
    <col collapsed="false" customWidth="true" hidden="false" outlineLevel="0" max="13895" min="13895" style="70" width="3.29"/>
    <col collapsed="false" customWidth="true" hidden="false" outlineLevel="0" max="13896" min="13896" style="70" width="8"/>
    <col collapsed="false" customWidth="false" hidden="false" outlineLevel="0" max="13897" min="13897" style="70" width="42.57"/>
    <col collapsed="false" customWidth="true" hidden="false" outlineLevel="0" max="13898" min="13898" style="70" width="3.29"/>
    <col collapsed="false" customWidth="true" hidden="false" outlineLevel="0" max="13899" min="13899" style="70" width="8"/>
    <col collapsed="false" customWidth="false" hidden="false" outlineLevel="0" max="13900" min="13900" style="70" width="42.57"/>
    <col collapsed="false" customWidth="true" hidden="false" outlineLevel="0" max="13901" min="13901" style="70" width="3.29"/>
    <col collapsed="false" customWidth="true" hidden="false" outlineLevel="0" max="13902" min="13902" style="70" width="8"/>
    <col collapsed="false" customWidth="false" hidden="false" outlineLevel="0" max="13903" min="13903" style="70" width="42.57"/>
    <col collapsed="false" customWidth="true" hidden="false" outlineLevel="0" max="13904" min="13904" style="70" width="3.29"/>
    <col collapsed="false" customWidth="true" hidden="false" outlineLevel="0" max="13905" min="13905" style="70" width="8"/>
    <col collapsed="false" customWidth="false" hidden="false" outlineLevel="0" max="13906" min="13906" style="70" width="42.57"/>
    <col collapsed="false" customWidth="true" hidden="false" outlineLevel="0" max="13907" min="13907" style="70" width="3.29"/>
    <col collapsed="false" customWidth="true" hidden="false" outlineLevel="0" max="13908" min="13908" style="70" width="8"/>
    <col collapsed="false" customWidth="false" hidden="false" outlineLevel="0" max="13909" min="13909" style="70" width="42.57"/>
    <col collapsed="false" customWidth="true" hidden="false" outlineLevel="0" max="13910" min="13910" style="70" width="3.29"/>
    <col collapsed="false" customWidth="true" hidden="false" outlineLevel="0" max="13911" min="13911" style="70" width="8"/>
    <col collapsed="false" customWidth="false" hidden="false" outlineLevel="0" max="13912" min="13912" style="70" width="42.57"/>
    <col collapsed="false" customWidth="true" hidden="false" outlineLevel="0" max="13913" min="13913" style="70" width="3.29"/>
    <col collapsed="false" customWidth="true" hidden="false" outlineLevel="0" max="13914" min="13914" style="70" width="8"/>
    <col collapsed="false" customWidth="false" hidden="false" outlineLevel="0" max="13915" min="13915" style="70" width="42.57"/>
    <col collapsed="false" customWidth="true" hidden="false" outlineLevel="0" max="13916" min="13916" style="70" width="3.29"/>
    <col collapsed="false" customWidth="true" hidden="false" outlineLevel="0" max="13917" min="13917" style="70" width="8"/>
    <col collapsed="false" customWidth="false" hidden="false" outlineLevel="0" max="13918" min="13918" style="70" width="42.57"/>
    <col collapsed="false" customWidth="true" hidden="false" outlineLevel="0" max="13919" min="13919" style="70" width="3.29"/>
    <col collapsed="false" customWidth="true" hidden="false" outlineLevel="0" max="13920" min="13920" style="70" width="8"/>
    <col collapsed="false" customWidth="false" hidden="false" outlineLevel="0" max="13921" min="13921" style="70" width="42.57"/>
    <col collapsed="false" customWidth="true" hidden="false" outlineLevel="0" max="13922" min="13922" style="70" width="3.29"/>
    <col collapsed="false" customWidth="true" hidden="false" outlineLevel="0" max="13923" min="13923" style="70" width="8"/>
    <col collapsed="false" customWidth="false" hidden="false" outlineLevel="0" max="13924" min="13924" style="70" width="42.57"/>
    <col collapsed="false" customWidth="true" hidden="false" outlineLevel="0" max="13925" min="13925" style="70" width="3.29"/>
    <col collapsed="false" customWidth="true" hidden="false" outlineLevel="0" max="13926" min="13926" style="70" width="8"/>
    <col collapsed="false" customWidth="false" hidden="false" outlineLevel="0" max="13927" min="13927" style="70" width="42.57"/>
    <col collapsed="false" customWidth="true" hidden="false" outlineLevel="0" max="13928" min="13928" style="70" width="3.29"/>
    <col collapsed="false" customWidth="true" hidden="false" outlineLevel="0" max="13929" min="13929" style="70" width="8"/>
    <col collapsed="false" customWidth="false" hidden="false" outlineLevel="0" max="13930" min="13930" style="70" width="42.57"/>
    <col collapsed="false" customWidth="true" hidden="false" outlineLevel="0" max="13931" min="13931" style="70" width="3.29"/>
    <col collapsed="false" customWidth="true" hidden="false" outlineLevel="0" max="13932" min="13932" style="70" width="8"/>
    <col collapsed="false" customWidth="false" hidden="false" outlineLevel="0" max="13933" min="13933" style="70" width="42.57"/>
    <col collapsed="false" customWidth="true" hidden="false" outlineLevel="0" max="13934" min="13934" style="70" width="3.29"/>
    <col collapsed="false" customWidth="true" hidden="false" outlineLevel="0" max="13935" min="13935" style="70" width="8"/>
    <col collapsed="false" customWidth="false" hidden="false" outlineLevel="0" max="13936" min="13936" style="70" width="42.57"/>
    <col collapsed="false" customWidth="true" hidden="false" outlineLevel="0" max="13937" min="13937" style="70" width="3.29"/>
    <col collapsed="false" customWidth="true" hidden="false" outlineLevel="0" max="13938" min="13938" style="70" width="8"/>
    <col collapsed="false" customWidth="false" hidden="false" outlineLevel="0" max="13939" min="13939" style="70" width="42.57"/>
    <col collapsed="false" customWidth="true" hidden="false" outlineLevel="0" max="13940" min="13940" style="70" width="3.29"/>
    <col collapsed="false" customWidth="true" hidden="false" outlineLevel="0" max="13941" min="13941" style="70" width="8"/>
    <col collapsed="false" customWidth="false" hidden="false" outlineLevel="0" max="13942" min="13942" style="70" width="42.57"/>
    <col collapsed="false" customWidth="true" hidden="false" outlineLevel="0" max="13943" min="13943" style="70" width="3.29"/>
    <col collapsed="false" customWidth="true" hidden="false" outlineLevel="0" max="13944" min="13944" style="70" width="8"/>
    <col collapsed="false" customWidth="false" hidden="false" outlineLevel="0" max="13945" min="13945" style="70" width="42.57"/>
    <col collapsed="false" customWidth="true" hidden="false" outlineLevel="0" max="13946" min="13946" style="70" width="3.29"/>
    <col collapsed="false" customWidth="true" hidden="false" outlineLevel="0" max="13947" min="13947" style="70" width="8"/>
    <col collapsed="false" customWidth="false" hidden="false" outlineLevel="0" max="13948" min="13948" style="70" width="42.57"/>
    <col collapsed="false" customWidth="true" hidden="false" outlineLevel="0" max="13949" min="13949" style="70" width="3.29"/>
    <col collapsed="false" customWidth="true" hidden="false" outlineLevel="0" max="13950" min="13950" style="70" width="8"/>
    <col collapsed="false" customWidth="false" hidden="false" outlineLevel="0" max="13951" min="13951" style="70" width="42.57"/>
    <col collapsed="false" customWidth="true" hidden="false" outlineLevel="0" max="13952" min="13952" style="70" width="3.29"/>
    <col collapsed="false" customWidth="true" hidden="false" outlineLevel="0" max="13953" min="13953" style="70" width="8"/>
    <col collapsed="false" customWidth="false" hidden="false" outlineLevel="0" max="13954" min="13954" style="70" width="42.57"/>
    <col collapsed="false" customWidth="true" hidden="false" outlineLevel="0" max="13955" min="13955" style="70" width="3.29"/>
    <col collapsed="false" customWidth="true" hidden="false" outlineLevel="0" max="13956" min="13956" style="70" width="8"/>
    <col collapsed="false" customWidth="false" hidden="false" outlineLevel="0" max="13957" min="13957" style="70" width="42.57"/>
    <col collapsed="false" customWidth="true" hidden="false" outlineLevel="0" max="13958" min="13958" style="70" width="3.29"/>
    <col collapsed="false" customWidth="true" hidden="false" outlineLevel="0" max="13959" min="13959" style="70" width="8"/>
    <col collapsed="false" customWidth="false" hidden="false" outlineLevel="0" max="13960" min="13960" style="70" width="42.57"/>
    <col collapsed="false" customWidth="true" hidden="false" outlineLevel="0" max="13961" min="13961" style="70" width="3.29"/>
    <col collapsed="false" customWidth="true" hidden="false" outlineLevel="0" max="13962" min="13962" style="70" width="8"/>
    <col collapsed="false" customWidth="false" hidden="false" outlineLevel="0" max="13963" min="13963" style="70" width="42.57"/>
    <col collapsed="false" customWidth="true" hidden="false" outlineLevel="0" max="13964" min="13964" style="70" width="3.29"/>
    <col collapsed="false" customWidth="true" hidden="false" outlineLevel="0" max="13965" min="13965" style="70" width="8"/>
    <col collapsed="false" customWidth="false" hidden="false" outlineLevel="0" max="13966" min="13966" style="70" width="42.57"/>
    <col collapsed="false" customWidth="true" hidden="false" outlineLevel="0" max="13967" min="13967" style="70" width="3.29"/>
    <col collapsed="false" customWidth="true" hidden="false" outlineLevel="0" max="13968" min="13968" style="70" width="8"/>
    <col collapsed="false" customWidth="false" hidden="false" outlineLevel="0" max="13969" min="13969" style="70" width="42.57"/>
    <col collapsed="false" customWidth="true" hidden="false" outlineLevel="0" max="13970" min="13970" style="70" width="3.29"/>
    <col collapsed="false" customWidth="true" hidden="false" outlineLevel="0" max="13971" min="13971" style="70" width="8"/>
    <col collapsed="false" customWidth="false" hidden="false" outlineLevel="0" max="13972" min="13972" style="70" width="42.57"/>
    <col collapsed="false" customWidth="true" hidden="false" outlineLevel="0" max="13973" min="13973" style="70" width="3.29"/>
    <col collapsed="false" customWidth="true" hidden="false" outlineLevel="0" max="13974" min="13974" style="70" width="8"/>
    <col collapsed="false" customWidth="false" hidden="false" outlineLevel="0" max="13975" min="13975" style="70" width="42.57"/>
    <col collapsed="false" customWidth="true" hidden="false" outlineLevel="0" max="13976" min="13976" style="70" width="3.29"/>
    <col collapsed="false" customWidth="true" hidden="false" outlineLevel="0" max="13977" min="13977" style="70" width="8"/>
    <col collapsed="false" customWidth="false" hidden="false" outlineLevel="0" max="13978" min="13978" style="70" width="42.57"/>
    <col collapsed="false" customWidth="true" hidden="false" outlineLevel="0" max="13979" min="13979" style="70" width="3.29"/>
    <col collapsed="false" customWidth="true" hidden="false" outlineLevel="0" max="13980" min="13980" style="70" width="8"/>
    <col collapsed="false" customWidth="false" hidden="false" outlineLevel="0" max="13981" min="13981" style="70" width="42.57"/>
    <col collapsed="false" customWidth="true" hidden="false" outlineLevel="0" max="13982" min="13982" style="70" width="3.29"/>
    <col collapsed="false" customWidth="true" hidden="false" outlineLevel="0" max="13983" min="13983" style="70" width="8"/>
    <col collapsed="false" customWidth="false" hidden="false" outlineLevel="0" max="13984" min="13984" style="70" width="42.57"/>
    <col collapsed="false" customWidth="true" hidden="false" outlineLevel="0" max="13985" min="13985" style="70" width="3.29"/>
    <col collapsed="false" customWidth="true" hidden="false" outlineLevel="0" max="13986" min="13986" style="70" width="8"/>
    <col collapsed="false" customWidth="false" hidden="false" outlineLevel="0" max="13987" min="13987" style="70" width="42.57"/>
    <col collapsed="false" customWidth="true" hidden="false" outlineLevel="0" max="13988" min="13988" style="70" width="3.29"/>
    <col collapsed="false" customWidth="true" hidden="false" outlineLevel="0" max="13989" min="13989" style="70" width="8"/>
    <col collapsed="false" customWidth="false" hidden="false" outlineLevel="0" max="13990" min="13990" style="70" width="42.57"/>
    <col collapsed="false" customWidth="true" hidden="false" outlineLevel="0" max="13991" min="13991" style="70" width="3.29"/>
    <col collapsed="false" customWidth="true" hidden="false" outlineLevel="0" max="13992" min="13992" style="70" width="8"/>
    <col collapsed="false" customWidth="false" hidden="false" outlineLevel="0" max="13993" min="13993" style="70" width="42.57"/>
    <col collapsed="false" customWidth="true" hidden="false" outlineLevel="0" max="13994" min="13994" style="70" width="3.29"/>
    <col collapsed="false" customWidth="true" hidden="false" outlineLevel="0" max="13995" min="13995" style="70" width="8"/>
    <col collapsed="false" customWidth="false" hidden="false" outlineLevel="0" max="13996" min="13996" style="70" width="42.57"/>
    <col collapsed="false" customWidth="true" hidden="false" outlineLevel="0" max="13997" min="13997" style="70" width="3.29"/>
    <col collapsed="false" customWidth="true" hidden="false" outlineLevel="0" max="13998" min="13998" style="70" width="8"/>
    <col collapsed="false" customWidth="false" hidden="false" outlineLevel="0" max="13999" min="13999" style="70" width="42.57"/>
    <col collapsed="false" customWidth="true" hidden="false" outlineLevel="0" max="14000" min="14000" style="70" width="3.29"/>
    <col collapsed="false" customWidth="true" hidden="false" outlineLevel="0" max="14001" min="14001" style="70" width="8"/>
    <col collapsed="false" customWidth="false" hidden="false" outlineLevel="0" max="14002" min="14002" style="70" width="42.57"/>
    <col collapsed="false" customWidth="true" hidden="false" outlineLevel="0" max="14003" min="14003" style="70" width="3.29"/>
    <col collapsed="false" customWidth="true" hidden="false" outlineLevel="0" max="14004" min="14004" style="70" width="8"/>
    <col collapsed="false" customWidth="false" hidden="false" outlineLevel="0" max="14005" min="14005" style="70" width="42.57"/>
    <col collapsed="false" customWidth="true" hidden="false" outlineLevel="0" max="14006" min="14006" style="70" width="3.29"/>
    <col collapsed="false" customWidth="true" hidden="false" outlineLevel="0" max="14007" min="14007" style="70" width="8"/>
    <col collapsed="false" customWidth="false" hidden="false" outlineLevel="0" max="14008" min="14008" style="70" width="42.57"/>
    <col collapsed="false" customWidth="true" hidden="false" outlineLevel="0" max="14009" min="14009" style="70" width="3.29"/>
    <col collapsed="false" customWidth="true" hidden="false" outlineLevel="0" max="14010" min="14010" style="70" width="8"/>
    <col collapsed="false" customWidth="false" hidden="false" outlineLevel="0" max="14011" min="14011" style="70" width="42.57"/>
    <col collapsed="false" customWidth="true" hidden="false" outlineLevel="0" max="14012" min="14012" style="70" width="3.29"/>
    <col collapsed="false" customWidth="true" hidden="false" outlineLevel="0" max="14013" min="14013" style="70" width="8"/>
    <col collapsed="false" customWidth="false" hidden="false" outlineLevel="0" max="14014" min="14014" style="70" width="42.57"/>
    <col collapsed="false" customWidth="true" hidden="false" outlineLevel="0" max="14015" min="14015" style="70" width="3.29"/>
    <col collapsed="false" customWidth="true" hidden="false" outlineLevel="0" max="14016" min="14016" style="70" width="8"/>
    <col collapsed="false" customWidth="false" hidden="false" outlineLevel="0" max="14017" min="14017" style="70" width="42.57"/>
    <col collapsed="false" customWidth="true" hidden="false" outlineLevel="0" max="14018" min="14018" style="70" width="3.29"/>
    <col collapsed="false" customWidth="true" hidden="false" outlineLevel="0" max="14019" min="14019" style="70" width="8"/>
    <col collapsed="false" customWidth="false" hidden="false" outlineLevel="0" max="14020" min="14020" style="70" width="42.57"/>
    <col collapsed="false" customWidth="true" hidden="false" outlineLevel="0" max="14021" min="14021" style="70" width="3.29"/>
    <col collapsed="false" customWidth="true" hidden="false" outlineLevel="0" max="14022" min="14022" style="70" width="8"/>
    <col collapsed="false" customWidth="false" hidden="false" outlineLevel="0" max="14023" min="14023" style="70" width="42.57"/>
    <col collapsed="false" customWidth="true" hidden="false" outlineLevel="0" max="14024" min="14024" style="70" width="3.29"/>
    <col collapsed="false" customWidth="true" hidden="false" outlineLevel="0" max="14025" min="14025" style="70" width="8"/>
    <col collapsed="false" customWidth="false" hidden="false" outlineLevel="0" max="14026" min="14026" style="70" width="42.57"/>
    <col collapsed="false" customWidth="true" hidden="false" outlineLevel="0" max="14027" min="14027" style="70" width="3.29"/>
    <col collapsed="false" customWidth="true" hidden="false" outlineLevel="0" max="14028" min="14028" style="70" width="8"/>
    <col collapsed="false" customWidth="false" hidden="false" outlineLevel="0" max="14029" min="14029" style="70" width="42.57"/>
    <col collapsed="false" customWidth="true" hidden="false" outlineLevel="0" max="14030" min="14030" style="70" width="3.29"/>
    <col collapsed="false" customWidth="true" hidden="false" outlineLevel="0" max="14031" min="14031" style="70" width="8"/>
    <col collapsed="false" customWidth="false" hidden="false" outlineLevel="0" max="14032" min="14032" style="70" width="42.57"/>
    <col collapsed="false" customWidth="true" hidden="false" outlineLevel="0" max="14033" min="14033" style="70" width="3.29"/>
    <col collapsed="false" customWidth="true" hidden="false" outlineLevel="0" max="14034" min="14034" style="70" width="8"/>
    <col collapsed="false" customWidth="false" hidden="false" outlineLevel="0" max="14035" min="14035" style="70" width="42.57"/>
    <col collapsed="false" customWidth="true" hidden="false" outlineLevel="0" max="14036" min="14036" style="70" width="3.29"/>
    <col collapsed="false" customWidth="true" hidden="false" outlineLevel="0" max="14037" min="14037" style="70" width="8"/>
    <col collapsed="false" customWidth="false" hidden="false" outlineLevel="0" max="14038" min="14038" style="70" width="42.57"/>
    <col collapsed="false" customWidth="true" hidden="false" outlineLevel="0" max="14039" min="14039" style="70" width="3.29"/>
    <col collapsed="false" customWidth="true" hidden="false" outlineLevel="0" max="14040" min="14040" style="70" width="8"/>
    <col collapsed="false" customWidth="false" hidden="false" outlineLevel="0" max="14041" min="14041" style="70" width="42.57"/>
    <col collapsed="false" customWidth="true" hidden="false" outlineLevel="0" max="14042" min="14042" style="70" width="3.29"/>
    <col collapsed="false" customWidth="true" hidden="false" outlineLevel="0" max="14043" min="14043" style="70" width="8"/>
    <col collapsed="false" customWidth="false" hidden="false" outlineLevel="0" max="14044" min="14044" style="70" width="42.57"/>
    <col collapsed="false" customWidth="true" hidden="false" outlineLevel="0" max="14045" min="14045" style="70" width="3.29"/>
    <col collapsed="false" customWidth="true" hidden="false" outlineLevel="0" max="14046" min="14046" style="70" width="8"/>
    <col collapsed="false" customWidth="false" hidden="false" outlineLevel="0" max="14047" min="14047" style="70" width="42.57"/>
    <col collapsed="false" customWidth="true" hidden="false" outlineLevel="0" max="14048" min="14048" style="70" width="3.29"/>
    <col collapsed="false" customWidth="true" hidden="false" outlineLevel="0" max="14049" min="14049" style="70" width="8"/>
    <col collapsed="false" customWidth="false" hidden="false" outlineLevel="0" max="14050" min="14050" style="70" width="42.57"/>
    <col collapsed="false" customWidth="true" hidden="false" outlineLevel="0" max="14051" min="14051" style="70" width="3.29"/>
    <col collapsed="false" customWidth="true" hidden="false" outlineLevel="0" max="14052" min="14052" style="70" width="8"/>
    <col collapsed="false" customWidth="false" hidden="false" outlineLevel="0" max="14053" min="14053" style="70" width="42.57"/>
    <col collapsed="false" customWidth="true" hidden="false" outlineLevel="0" max="14054" min="14054" style="70" width="3.29"/>
    <col collapsed="false" customWidth="true" hidden="false" outlineLevel="0" max="14055" min="14055" style="70" width="8"/>
    <col collapsed="false" customWidth="false" hidden="false" outlineLevel="0" max="14056" min="14056" style="70" width="42.57"/>
    <col collapsed="false" customWidth="true" hidden="false" outlineLevel="0" max="14057" min="14057" style="70" width="3.29"/>
    <col collapsed="false" customWidth="true" hidden="false" outlineLevel="0" max="14058" min="14058" style="70" width="8"/>
    <col collapsed="false" customWidth="false" hidden="false" outlineLevel="0" max="14059" min="14059" style="70" width="42.57"/>
    <col collapsed="false" customWidth="true" hidden="false" outlineLevel="0" max="14060" min="14060" style="70" width="3.29"/>
    <col collapsed="false" customWidth="true" hidden="false" outlineLevel="0" max="14061" min="14061" style="70" width="8"/>
    <col collapsed="false" customWidth="false" hidden="false" outlineLevel="0" max="14062" min="14062" style="70" width="42.57"/>
    <col collapsed="false" customWidth="true" hidden="false" outlineLevel="0" max="14063" min="14063" style="70" width="3.29"/>
    <col collapsed="false" customWidth="true" hidden="false" outlineLevel="0" max="14064" min="14064" style="70" width="8"/>
    <col collapsed="false" customWidth="false" hidden="false" outlineLevel="0" max="14065" min="14065" style="70" width="42.57"/>
    <col collapsed="false" customWidth="true" hidden="false" outlineLevel="0" max="14066" min="14066" style="70" width="3.29"/>
    <col collapsed="false" customWidth="true" hidden="false" outlineLevel="0" max="14067" min="14067" style="70" width="8"/>
    <col collapsed="false" customWidth="false" hidden="false" outlineLevel="0" max="14068" min="14068" style="70" width="42.57"/>
    <col collapsed="false" customWidth="true" hidden="false" outlineLevel="0" max="14069" min="14069" style="70" width="3.29"/>
    <col collapsed="false" customWidth="true" hidden="false" outlineLevel="0" max="14070" min="14070" style="70" width="8"/>
    <col collapsed="false" customWidth="false" hidden="false" outlineLevel="0" max="14071" min="14071" style="70" width="42.57"/>
    <col collapsed="false" customWidth="true" hidden="false" outlineLevel="0" max="14072" min="14072" style="70" width="3.29"/>
    <col collapsed="false" customWidth="true" hidden="false" outlineLevel="0" max="14073" min="14073" style="70" width="8"/>
    <col collapsed="false" customWidth="false" hidden="false" outlineLevel="0" max="14074" min="14074" style="70" width="42.57"/>
    <col collapsed="false" customWidth="true" hidden="false" outlineLevel="0" max="14075" min="14075" style="70" width="3.29"/>
    <col collapsed="false" customWidth="true" hidden="false" outlineLevel="0" max="14076" min="14076" style="70" width="8"/>
    <col collapsed="false" customWidth="false" hidden="false" outlineLevel="0" max="14077" min="14077" style="70" width="42.57"/>
    <col collapsed="false" customWidth="true" hidden="false" outlineLevel="0" max="14078" min="14078" style="70" width="3.29"/>
    <col collapsed="false" customWidth="true" hidden="false" outlineLevel="0" max="14079" min="14079" style="70" width="8"/>
    <col collapsed="false" customWidth="false" hidden="false" outlineLevel="0" max="14080" min="14080" style="70" width="42.57"/>
    <col collapsed="false" customWidth="true" hidden="false" outlineLevel="0" max="14081" min="14081" style="70" width="3.29"/>
    <col collapsed="false" customWidth="true" hidden="false" outlineLevel="0" max="14082" min="14082" style="70" width="8"/>
    <col collapsed="false" customWidth="false" hidden="false" outlineLevel="0" max="14083" min="14083" style="70" width="42.57"/>
    <col collapsed="false" customWidth="true" hidden="false" outlineLevel="0" max="14084" min="14084" style="70" width="3.29"/>
    <col collapsed="false" customWidth="true" hidden="false" outlineLevel="0" max="14085" min="14085" style="70" width="8"/>
    <col collapsed="false" customWidth="false" hidden="false" outlineLevel="0" max="14086" min="14086" style="70" width="42.57"/>
    <col collapsed="false" customWidth="true" hidden="false" outlineLevel="0" max="14087" min="14087" style="70" width="3.29"/>
    <col collapsed="false" customWidth="true" hidden="false" outlineLevel="0" max="14088" min="14088" style="70" width="8"/>
    <col collapsed="false" customWidth="false" hidden="false" outlineLevel="0" max="14089" min="14089" style="70" width="42.57"/>
    <col collapsed="false" customWidth="true" hidden="false" outlineLevel="0" max="14090" min="14090" style="70" width="3.29"/>
    <col collapsed="false" customWidth="true" hidden="false" outlineLevel="0" max="14091" min="14091" style="70" width="8"/>
    <col collapsed="false" customWidth="false" hidden="false" outlineLevel="0" max="14092" min="14092" style="70" width="42.57"/>
    <col collapsed="false" customWidth="true" hidden="false" outlineLevel="0" max="14093" min="14093" style="70" width="3.29"/>
    <col collapsed="false" customWidth="true" hidden="false" outlineLevel="0" max="14094" min="14094" style="70" width="8"/>
    <col collapsed="false" customWidth="false" hidden="false" outlineLevel="0" max="14095" min="14095" style="70" width="42.57"/>
    <col collapsed="false" customWidth="true" hidden="false" outlineLevel="0" max="14096" min="14096" style="70" width="3.29"/>
    <col collapsed="false" customWidth="true" hidden="false" outlineLevel="0" max="14097" min="14097" style="70" width="8"/>
    <col collapsed="false" customWidth="false" hidden="false" outlineLevel="0" max="14098" min="14098" style="70" width="42.57"/>
    <col collapsed="false" customWidth="true" hidden="false" outlineLevel="0" max="14099" min="14099" style="70" width="3.29"/>
    <col collapsed="false" customWidth="true" hidden="false" outlineLevel="0" max="14100" min="14100" style="70" width="8"/>
    <col collapsed="false" customWidth="false" hidden="false" outlineLevel="0" max="14101" min="14101" style="70" width="42.57"/>
    <col collapsed="false" customWidth="true" hidden="false" outlineLevel="0" max="14102" min="14102" style="70" width="3.29"/>
    <col collapsed="false" customWidth="true" hidden="false" outlineLevel="0" max="14103" min="14103" style="70" width="8"/>
    <col collapsed="false" customWidth="false" hidden="false" outlineLevel="0" max="14104" min="14104" style="70" width="42.57"/>
    <col collapsed="false" customWidth="true" hidden="false" outlineLevel="0" max="14105" min="14105" style="70" width="3.29"/>
    <col collapsed="false" customWidth="true" hidden="false" outlineLevel="0" max="14106" min="14106" style="70" width="8"/>
    <col collapsed="false" customWidth="false" hidden="false" outlineLevel="0" max="14107" min="14107" style="70" width="42.57"/>
    <col collapsed="false" customWidth="true" hidden="false" outlineLevel="0" max="14108" min="14108" style="70" width="3.29"/>
    <col collapsed="false" customWidth="true" hidden="false" outlineLevel="0" max="14109" min="14109" style="70" width="8"/>
    <col collapsed="false" customWidth="false" hidden="false" outlineLevel="0" max="14110" min="14110" style="70" width="42.57"/>
    <col collapsed="false" customWidth="true" hidden="false" outlineLevel="0" max="14111" min="14111" style="70" width="3.29"/>
    <col collapsed="false" customWidth="true" hidden="false" outlineLevel="0" max="14112" min="14112" style="70" width="8"/>
    <col collapsed="false" customWidth="false" hidden="false" outlineLevel="0" max="14113" min="14113" style="70" width="42.57"/>
    <col collapsed="false" customWidth="true" hidden="false" outlineLevel="0" max="14114" min="14114" style="70" width="3.29"/>
    <col collapsed="false" customWidth="true" hidden="false" outlineLevel="0" max="14115" min="14115" style="70" width="8"/>
    <col collapsed="false" customWidth="false" hidden="false" outlineLevel="0" max="14116" min="14116" style="70" width="42.57"/>
    <col collapsed="false" customWidth="true" hidden="false" outlineLevel="0" max="14117" min="14117" style="70" width="3.29"/>
    <col collapsed="false" customWidth="true" hidden="false" outlineLevel="0" max="14118" min="14118" style="70" width="8"/>
    <col collapsed="false" customWidth="false" hidden="false" outlineLevel="0" max="14119" min="14119" style="70" width="42.57"/>
    <col collapsed="false" customWidth="true" hidden="false" outlineLevel="0" max="14120" min="14120" style="70" width="3.29"/>
    <col collapsed="false" customWidth="true" hidden="false" outlineLevel="0" max="14121" min="14121" style="70" width="8"/>
    <col collapsed="false" customWidth="false" hidden="false" outlineLevel="0" max="14122" min="14122" style="70" width="42.57"/>
    <col collapsed="false" customWidth="true" hidden="false" outlineLevel="0" max="14123" min="14123" style="70" width="3.29"/>
    <col collapsed="false" customWidth="true" hidden="false" outlineLevel="0" max="14124" min="14124" style="70" width="8"/>
    <col collapsed="false" customWidth="false" hidden="false" outlineLevel="0" max="14125" min="14125" style="70" width="42.57"/>
    <col collapsed="false" customWidth="true" hidden="false" outlineLevel="0" max="14126" min="14126" style="70" width="3.29"/>
    <col collapsed="false" customWidth="true" hidden="false" outlineLevel="0" max="14127" min="14127" style="70" width="8"/>
    <col collapsed="false" customWidth="false" hidden="false" outlineLevel="0" max="14128" min="14128" style="70" width="42.57"/>
    <col collapsed="false" customWidth="true" hidden="false" outlineLevel="0" max="14129" min="14129" style="70" width="3.29"/>
    <col collapsed="false" customWidth="true" hidden="false" outlineLevel="0" max="14130" min="14130" style="70" width="8"/>
    <col collapsed="false" customWidth="false" hidden="false" outlineLevel="0" max="14131" min="14131" style="70" width="42.57"/>
    <col collapsed="false" customWidth="true" hidden="false" outlineLevel="0" max="14132" min="14132" style="70" width="3.29"/>
    <col collapsed="false" customWidth="true" hidden="false" outlineLevel="0" max="14133" min="14133" style="70" width="8"/>
    <col collapsed="false" customWidth="false" hidden="false" outlineLevel="0" max="14134" min="14134" style="70" width="42.57"/>
    <col collapsed="false" customWidth="true" hidden="false" outlineLevel="0" max="14135" min="14135" style="70" width="3.29"/>
    <col collapsed="false" customWidth="true" hidden="false" outlineLevel="0" max="14136" min="14136" style="70" width="8"/>
    <col collapsed="false" customWidth="false" hidden="false" outlineLevel="0" max="14137" min="14137" style="70" width="42.57"/>
    <col collapsed="false" customWidth="true" hidden="false" outlineLevel="0" max="14138" min="14138" style="70" width="3.29"/>
    <col collapsed="false" customWidth="true" hidden="false" outlineLevel="0" max="14139" min="14139" style="70" width="8"/>
    <col collapsed="false" customWidth="false" hidden="false" outlineLevel="0" max="14140" min="14140" style="70" width="42.57"/>
    <col collapsed="false" customWidth="true" hidden="false" outlineLevel="0" max="14141" min="14141" style="70" width="3.29"/>
    <col collapsed="false" customWidth="true" hidden="false" outlineLevel="0" max="14142" min="14142" style="70" width="8"/>
    <col collapsed="false" customWidth="false" hidden="false" outlineLevel="0" max="14143" min="14143" style="70" width="42.57"/>
    <col collapsed="false" customWidth="true" hidden="false" outlineLevel="0" max="14144" min="14144" style="70" width="3.29"/>
    <col collapsed="false" customWidth="true" hidden="false" outlineLevel="0" max="14145" min="14145" style="70" width="8"/>
    <col collapsed="false" customWidth="false" hidden="false" outlineLevel="0" max="14146" min="14146" style="70" width="42.57"/>
    <col collapsed="false" customWidth="true" hidden="false" outlineLevel="0" max="14147" min="14147" style="70" width="3.29"/>
    <col collapsed="false" customWidth="true" hidden="false" outlineLevel="0" max="14148" min="14148" style="70" width="8"/>
    <col collapsed="false" customWidth="false" hidden="false" outlineLevel="0" max="14149" min="14149" style="70" width="42.57"/>
    <col collapsed="false" customWidth="true" hidden="false" outlineLevel="0" max="14150" min="14150" style="70" width="3.29"/>
    <col collapsed="false" customWidth="true" hidden="false" outlineLevel="0" max="14151" min="14151" style="70" width="8"/>
    <col collapsed="false" customWidth="false" hidden="false" outlineLevel="0" max="14152" min="14152" style="70" width="42.57"/>
    <col collapsed="false" customWidth="true" hidden="false" outlineLevel="0" max="14153" min="14153" style="70" width="3.29"/>
    <col collapsed="false" customWidth="true" hidden="false" outlineLevel="0" max="14154" min="14154" style="70" width="8"/>
    <col collapsed="false" customWidth="false" hidden="false" outlineLevel="0" max="14155" min="14155" style="70" width="42.57"/>
    <col collapsed="false" customWidth="true" hidden="false" outlineLevel="0" max="14156" min="14156" style="70" width="3.29"/>
    <col collapsed="false" customWidth="true" hidden="false" outlineLevel="0" max="14157" min="14157" style="70" width="8"/>
    <col collapsed="false" customWidth="false" hidden="false" outlineLevel="0" max="14158" min="14158" style="70" width="42.57"/>
    <col collapsed="false" customWidth="true" hidden="false" outlineLevel="0" max="14159" min="14159" style="70" width="3.29"/>
    <col collapsed="false" customWidth="true" hidden="false" outlineLevel="0" max="14160" min="14160" style="70" width="8"/>
    <col collapsed="false" customWidth="false" hidden="false" outlineLevel="0" max="14161" min="14161" style="70" width="42.57"/>
    <col collapsed="false" customWidth="true" hidden="false" outlineLevel="0" max="14162" min="14162" style="70" width="3.29"/>
    <col collapsed="false" customWidth="true" hidden="false" outlineLevel="0" max="14163" min="14163" style="70" width="8"/>
    <col collapsed="false" customWidth="false" hidden="false" outlineLevel="0" max="14164" min="14164" style="70" width="42.57"/>
    <col collapsed="false" customWidth="true" hidden="false" outlineLevel="0" max="14165" min="14165" style="70" width="3.29"/>
    <col collapsed="false" customWidth="true" hidden="false" outlineLevel="0" max="14166" min="14166" style="70" width="8"/>
    <col collapsed="false" customWidth="false" hidden="false" outlineLevel="0" max="14167" min="14167" style="70" width="42.57"/>
    <col collapsed="false" customWidth="true" hidden="false" outlineLevel="0" max="14168" min="14168" style="70" width="3.29"/>
    <col collapsed="false" customWidth="true" hidden="false" outlineLevel="0" max="14169" min="14169" style="70" width="8"/>
    <col collapsed="false" customWidth="false" hidden="false" outlineLevel="0" max="14170" min="14170" style="70" width="42.57"/>
    <col collapsed="false" customWidth="true" hidden="false" outlineLevel="0" max="14171" min="14171" style="70" width="3.29"/>
    <col collapsed="false" customWidth="true" hidden="false" outlineLevel="0" max="14172" min="14172" style="70" width="8"/>
    <col collapsed="false" customWidth="false" hidden="false" outlineLevel="0" max="14173" min="14173" style="70" width="42.57"/>
    <col collapsed="false" customWidth="true" hidden="false" outlineLevel="0" max="14174" min="14174" style="70" width="3.29"/>
    <col collapsed="false" customWidth="true" hidden="false" outlineLevel="0" max="14175" min="14175" style="70" width="8"/>
    <col collapsed="false" customWidth="false" hidden="false" outlineLevel="0" max="14176" min="14176" style="70" width="42.57"/>
    <col collapsed="false" customWidth="true" hidden="false" outlineLevel="0" max="14177" min="14177" style="70" width="3.29"/>
    <col collapsed="false" customWidth="true" hidden="false" outlineLevel="0" max="14178" min="14178" style="70" width="8"/>
    <col collapsed="false" customWidth="false" hidden="false" outlineLevel="0" max="14179" min="14179" style="70" width="42.57"/>
    <col collapsed="false" customWidth="true" hidden="false" outlineLevel="0" max="14180" min="14180" style="70" width="3.29"/>
    <col collapsed="false" customWidth="true" hidden="false" outlineLevel="0" max="14181" min="14181" style="70" width="8"/>
    <col collapsed="false" customWidth="false" hidden="false" outlineLevel="0" max="14182" min="14182" style="70" width="42.57"/>
    <col collapsed="false" customWidth="true" hidden="false" outlineLevel="0" max="14183" min="14183" style="70" width="3.29"/>
    <col collapsed="false" customWidth="true" hidden="false" outlineLevel="0" max="14184" min="14184" style="70" width="8"/>
    <col collapsed="false" customWidth="false" hidden="false" outlineLevel="0" max="14185" min="14185" style="70" width="42.57"/>
    <col collapsed="false" customWidth="true" hidden="false" outlineLevel="0" max="14186" min="14186" style="70" width="3.29"/>
    <col collapsed="false" customWidth="true" hidden="false" outlineLevel="0" max="14187" min="14187" style="70" width="8"/>
    <col collapsed="false" customWidth="false" hidden="false" outlineLevel="0" max="14188" min="14188" style="70" width="42.57"/>
    <col collapsed="false" customWidth="true" hidden="false" outlineLevel="0" max="14189" min="14189" style="70" width="3.29"/>
    <col collapsed="false" customWidth="true" hidden="false" outlineLevel="0" max="14190" min="14190" style="70" width="8"/>
    <col collapsed="false" customWidth="false" hidden="false" outlineLevel="0" max="14191" min="14191" style="70" width="42.57"/>
    <col collapsed="false" customWidth="true" hidden="false" outlineLevel="0" max="14192" min="14192" style="70" width="3.29"/>
    <col collapsed="false" customWidth="true" hidden="false" outlineLevel="0" max="14193" min="14193" style="70" width="8"/>
    <col collapsed="false" customWidth="false" hidden="false" outlineLevel="0" max="14194" min="14194" style="70" width="42.57"/>
    <col collapsed="false" customWidth="true" hidden="false" outlineLevel="0" max="14195" min="14195" style="70" width="3.29"/>
    <col collapsed="false" customWidth="true" hidden="false" outlineLevel="0" max="14196" min="14196" style="70" width="8"/>
    <col collapsed="false" customWidth="false" hidden="false" outlineLevel="0" max="14197" min="14197" style="70" width="42.57"/>
    <col collapsed="false" customWidth="true" hidden="false" outlineLevel="0" max="14198" min="14198" style="70" width="3.29"/>
    <col collapsed="false" customWidth="true" hidden="false" outlineLevel="0" max="14199" min="14199" style="70" width="8"/>
    <col collapsed="false" customWidth="false" hidden="false" outlineLevel="0" max="14200" min="14200" style="70" width="42.57"/>
    <col collapsed="false" customWidth="true" hidden="false" outlineLevel="0" max="14201" min="14201" style="70" width="3.29"/>
    <col collapsed="false" customWidth="true" hidden="false" outlineLevel="0" max="14202" min="14202" style="70" width="8"/>
    <col collapsed="false" customWidth="false" hidden="false" outlineLevel="0" max="14203" min="14203" style="70" width="42.57"/>
    <col collapsed="false" customWidth="true" hidden="false" outlineLevel="0" max="14204" min="14204" style="70" width="3.29"/>
    <col collapsed="false" customWidth="true" hidden="false" outlineLevel="0" max="14205" min="14205" style="70" width="8"/>
    <col collapsed="false" customWidth="false" hidden="false" outlineLevel="0" max="14206" min="14206" style="70" width="42.57"/>
    <col collapsed="false" customWidth="true" hidden="false" outlineLevel="0" max="14207" min="14207" style="70" width="3.29"/>
    <col collapsed="false" customWidth="true" hidden="false" outlineLevel="0" max="14208" min="14208" style="70" width="8"/>
    <col collapsed="false" customWidth="false" hidden="false" outlineLevel="0" max="14209" min="14209" style="70" width="42.57"/>
    <col collapsed="false" customWidth="true" hidden="false" outlineLevel="0" max="14210" min="14210" style="70" width="3.29"/>
    <col collapsed="false" customWidth="true" hidden="false" outlineLevel="0" max="14211" min="14211" style="70" width="8"/>
    <col collapsed="false" customWidth="false" hidden="false" outlineLevel="0" max="14212" min="14212" style="70" width="42.57"/>
    <col collapsed="false" customWidth="true" hidden="false" outlineLevel="0" max="14213" min="14213" style="70" width="3.29"/>
    <col collapsed="false" customWidth="true" hidden="false" outlineLevel="0" max="14214" min="14214" style="70" width="8"/>
    <col collapsed="false" customWidth="false" hidden="false" outlineLevel="0" max="14215" min="14215" style="70" width="42.57"/>
    <col collapsed="false" customWidth="true" hidden="false" outlineLevel="0" max="14216" min="14216" style="70" width="3.29"/>
    <col collapsed="false" customWidth="true" hidden="false" outlineLevel="0" max="14217" min="14217" style="70" width="8"/>
    <col collapsed="false" customWidth="false" hidden="false" outlineLevel="0" max="14218" min="14218" style="70" width="42.57"/>
    <col collapsed="false" customWidth="true" hidden="false" outlineLevel="0" max="14219" min="14219" style="70" width="3.29"/>
    <col collapsed="false" customWidth="true" hidden="false" outlineLevel="0" max="14220" min="14220" style="70" width="8"/>
    <col collapsed="false" customWidth="false" hidden="false" outlineLevel="0" max="14221" min="14221" style="70" width="42.57"/>
    <col collapsed="false" customWidth="true" hidden="false" outlineLevel="0" max="14222" min="14222" style="70" width="3.29"/>
    <col collapsed="false" customWidth="true" hidden="false" outlineLevel="0" max="14223" min="14223" style="70" width="8"/>
    <col collapsed="false" customWidth="false" hidden="false" outlineLevel="0" max="14224" min="14224" style="70" width="42.57"/>
    <col collapsed="false" customWidth="true" hidden="false" outlineLevel="0" max="14225" min="14225" style="70" width="3.29"/>
    <col collapsed="false" customWidth="true" hidden="false" outlineLevel="0" max="14226" min="14226" style="70" width="8"/>
    <col collapsed="false" customWidth="false" hidden="false" outlineLevel="0" max="14227" min="14227" style="70" width="42.57"/>
    <col collapsed="false" customWidth="true" hidden="false" outlineLevel="0" max="14228" min="14228" style="70" width="3.29"/>
    <col collapsed="false" customWidth="true" hidden="false" outlineLevel="0" max="14229" min="14229" style="70" width="8"/>
    <col collapsed="false" customWidth="false" hidden="false" outlineLevel="0" max="14230" min="14230" style="70" width="42.57"/>
    <col collapsed="false" customWidth="true" hidden="false" outlineLevel="0" max="14231" min="14231" style="70" width="3.29"/>
    <col collapsed="false" customWidth="true" hidden="false" outlineLevel="0" max="14232" min="14232" style="70" width="8"/>
    <col collapsed="false" customWidth="false" hidden="false" outlineLevel="0" max="14233" min="14233" style="70" width="42.57"/>
    <col collapsed="false" customWidth="true" hidden="false" outlineLevel="0" max="14234" min="14234" style="70" width="3.29"/>
    <col collapsed="false" customWidth="true" hidden="false" outlineLevel="0" max="14235" min="14235" style="70" width="8"/>
    <col collapsed="false" customWidth="false" hidden="false" outlineLevel="0" max="14236" min="14236" style="70" width="42.57"/>
    <col collapsed="false" customWidth="true" hidden="false" outlineLevel="0" max="14237" min="14237" style="70" width="3.29"/>
    <col collapsed="false" customWidth="true" hidden="false" outlineLevel="0" max="14238" min="14238" style="70" width="8"/>
    <col collapsed="false" customWidth="false" hidden="false" outlineLevel="0" max="14239" min="14239" style="70" width="42.57"/>
    <col collapsed="false" customWidth="true" hidden="false" outlineLevel="0" max="14240" min="14240" style="70" width="3.29"/>
    <col collapsed="false" customWidth="true" hidden="false" outlineLevel="0" max="14241" min="14241" style="70" width="8"/>
    <col collapsed="false" customWidth="false" hidden="false" outlineLevel="0" max="14242" min="14242" style="70" width="42.57"/>
    <col collapsed="false" customWidth="true" hidden="false" outlineLevel="0" max="14243" min="14243" style="70" width="3.29"/>
    <col collapsed="false" customWidth="true" hidden="false" outlineLevel="0" max="14244" min="14244" style="70" width="8"/>
    <col collapsed="false" customWidth="false" hidden="false" outlineLevel="0" max="14245" min="14245" style="70" width="42.57"/>
    <col collapsed="false" customWidth="true" hidden="false" outlineLevel="0" max="14246" min="14246" style="70" width="3.29"/>
    <col collapsed="false" customWidth="true" hidden="false" outlineLevel="0" max="14247" min="14247" style="70" width="8"/>
    <col collapsed="false" customWidth="false" hidden="false" outlineLevel="0" max="14248" min="14248" style="70" width="42.57"/>
    <col collapsed="false" customWidth="true" hidden="false" outlineLevel="0" max="14249" min="14249" style="70" width="3.29"/>
    <col collapsed="false" customWidth="true" hidden="false" outlineLevel="0" max="14250" min="14250" style="70" width="8"/>
    <col collapsed="false" customWidth="false" hidden="false" outlineLevel="0" max="14251" min="14251" style="70" width="42.57"/>
    <col collapsed="false" customWidth="true" hidden="false" outlineLevel="0" max="14252" min="14252" style="70" width="3.29"/>
    <col collapsed="false" customWidth="true" hidden="false" outlineLevel="0" max="14253" min="14253" style="70" width="8"/>
    <col collapsed="false" customWidth="false" hidden="false" outlineLevel="0" max="14254" min="14254" style="70" width="42.57"/>
    <col collapsed="false" customWidth="true" hidden="false" outlineLevel="0" max="14255" min="14255" style="70" width="3.29"/>
    <col collapsed="false" customWidth="true" hidden="false" outlineLevel="0" max="14256" min="14256" style="70" width="8"/>
    <col collapsed="false" customWidth="false" hidden="false" outlineLevel="0" max="14257" min="14257" style="70" width="42.57"/>
    <col collapsed="false" customWidth="true" hidden="false" outlineLevel="0" max="14258" min="14258" style="70" width="3.29"/>
    <col collapsed="false" customWidth="true" hidden="false" outlineLevel="0" max="14259" min="14259" style="70" width="8"/>
    <col collapsed="false" customWidth="false" hidden="false" outlineLevel="0" max="14260" min="14260" style="70" width="42.57"/>
    <col collapsed="false" customWidth="true" hidden="false" outlineLevel="0" max="14261" min="14261" style="70" width="3.29"/>
    <col collapsed="false" customWidth="true" hidden="false" outlineLevel="0" max="14262" min="14262" style="70" width="8"/>
    <col collapsed="false" customWidth="false" hidden="false" outlineLevel="0" max="14263" min="14263" style="70" width="42.57"/>
    <col collapsed="false" customWidth="true" hidden="false" outlineLevel="0" max="14264" min="14264" style="70" width="3.29"/>
    <col collapsed="false" customWidth="true" hidden="false" outlineLevel="0" max="14265" min="14265" style="70" width="8"/>
    <col collapsed="false" customWidth="false" hidden="false" outlineLevel="0" max="14266" min="14266" style="70" width="42.57"/>
    <col collapsed="false" customWidth="true" hidden="false" outlineLevel="0" max="14267" min="14267" style="70" width="3.29"/>
    <col collapsed="false" customWidth="true" hidden="false" outlineLevel="0" max="14268" min="14268" style="70" width="8"/>
    <col collapsed="false" customWidth="false" hidden="false" outlineLevel="0" max="14269" min="14269" style="70" width="42.57"/>
    <col collapsed="false" customWidth="true" hidden="false" outlineLevel="0" max="14270" min="14270" style="70" width="3.29"/>
    <col collapsed="false" customWidth="true" hidden="false" outlineLevel="0" max="14271" min="14271" style="70" width="8"/>
    <col collapsed="false" customWidth="false" hidden="false" outlineLevel="0" max="14272" min="14272" style="70" width="42.57"/>
    <col collapsed="false" customWidth="true" hidden="false" outlineLevel="0" max="14273" min="14273" style="70" width="3.29"/>
    <col collapsed="false" customWidth="true" hidden="false" outlineLevel="0" max="14274" min="14274" style="70" width="8"/>
    <col collapsed="false" customWidth="false" hidden="false" outlineLevel="0" max="14275" min="14275" style="70" width="42.57"/>
    <col collapsed="false" customWidth="true" hidden="false" outlineLevel="0" max="14276" min="14276" style="70" width="3.29"/>
    <col collapsed="false" customWidth="true" hidden="false" outlineLevel="0" max="14277" min="14277" style="70" width="8"/>
    <col collapsed="false" customWidth="false" hidden="false" outlineLevel="0" max="14278" min="14278" style="70" width="42.57"/>
    <col collapsed="false" customWidth="true" hidden="false" outlineLevel="0" max="14279" min="14279" style="70" width="3.29"/>
    <col collapsed="false" customWidth="true" hidden="false" outlineLevel="0" max="14280" min="14280" style="70" width="8"/>
    <col collapsed="false" customWidth="false" hidden="false" outlineLevel="0" max="14281" min="14281" style="70" width="42.57"/>
    <col collapsed="false" customWidth="true" hidden="false" outlineLevel="0" max="14282" min="14282" style="70" width="3.29"/>
    <col collapsed="false" customWidth="true" hidden="false" outlineLevel="0" max="14283" min="14283" style="70" width="8"/>
    <col collapsed="false" customWidth="false" hidden="false" outlineLevel="0" max="14284" min="14284" style="70" width="42.57"/>
    <col collapsed="false" customWidth="true" hidden="false" outlineLevel="0" max="14285" min="14285" style="70" width="3.29"/>
    <col collapsed="false" customWidth="true" hidden="false" outlineLevel="0" max="14286" min="14286" style="70" width="8"/>
    <col collapsed="false" customWidth="false" hidden="false" outlineLevel="0" max="14287" min="14287" style="70" width="42.57"/>
    <col collapsed="false" customWidth="true" hidden="false" outlineLevel="0" max="14288" min="14288" style="70" width="3.29"/>
    <col collapsed="false" customWidth="true" hidden="false" outlineLevel="0" max="14289" min="14289" style="70" width="8"/>
    <col collapsed="false" customWidth="false" hidden="false" outlineLevel="0" max="14290" min="14290" style="70" width="42.57"/>
    <col collapsed="false" customWidth="true" hidden="false" outlineLevel="0" max="14291" min="14291" style="70" width="3.29"/>
    <col collapsed="false" customWidth="true" hidden="false" outlineLevel="0" max="14292" min="14292" style="70" width="8"/>
    <col collapsed="false" customWidth="false" hidden="false" outlineLevel="0" max="14293" min="14293" style="70" width="42.57"/>
    <col collapsed="false" customWidth="true" hidden="false" outlineLevel="0" max="14294" min="14294" style="70" width="3.29"/>
    <col collapsed="false" customWidth="true" hidden="false" outlineLevel="0" max="14295" min="14295" style="70" width="8"/>
    <col collapsed="false" customWidth="false" hidden="false" outlineLevel="0" max="14296" min="14296" style="70" width="42.57"/>
    <col collapsed="false" customWidth="true" hidden="false" outlineLevel="0" max="14297" min="14297" style="70" width="3.29"/>
    <col collapsed="false" customWidth="true" hidden="false" outlineLevel="0" max="14298" min="14298" style="70" width="8"/>
    <col collapsed="false" customWidth="false" hidden="false" outlineLevel="0" max="14299" min="14299" style="70" width="42.57"/>
    <col collapsed="false" customWidth="true" hidden="false" outlineLevel="0" max="14300" min="14300" style="70" width="3.29"/>
    <col collapsed="false" customWidth="true" hidden="false" outlineLevel="0" max="14301" min="14301" style="70" width="8"/>
    <col collapsed="false" customWidth="false" hidden="false" outlineLevel="0" max="14302" min="14302" style="70" width="42.57"/>
    <col collapsed="false" customWidth="true" hidden="false" outlineLevel="0" max="14303" min="14303" style="70" width="3.29"/>
    <col collapsed="false" customWidth="true" hidden="false" outlineLevel="0" max="14304" min="14304" style="70" width="8"/>
    <col collapsed="false" customWidth="false" hidden="false" outlineLevel="0" max="14305" min="14305" style="70" width="42.57"/>
    <col collapsed="false" customWidth="true" hidden="false" outlineLevel="0" max="14306" min="14306" style="70" width="3.29"/>
    <col collapsed="false" customWidth="true" hidden="false" outlineLevel="0" max="14307" min="14307" style="70" width="8"/>
    <col collapsed="false" customWidth="false" hidden="false" outlineLevel="0" max="14308" min="14308" style="70" width="42.57"/>
    <col collapsed="false" customWidth="true" hidden="false" outlineLevel="0" max="14309" min="14309" style="70" width="3.29"/>
    <col collapsed="false" customWidth="true" hidden="false" outlineLevel="0" max="14310" min="14310" style="70" width="8"/>
    <col collapsed="false" customWidth="false" hidden="false" outlineLevel="0" max="14311" min="14311" style="70" width="42.57"/>
    <col collapsed="false" customWidth="true" hidden="false" outlineLevel="0" max="14312" min="14312" style="70" width="3.29"/>
    <col collapsed="false" customWidth="true" hidden="false" outlineLevel="0" max="14313" min="14313" style="70" width="8"/>
    <col collapsed="false" customWidth="false" hidden="false" outlineLevel="0" max="14314" min="14314" style="70" width="42.57"/>
    <col collapsed="false" customWidth="true" hidden="false" outlineLevel="0" max="14315" min="14315" style="70" width="3.29"/>
    <col collapsed="false" customWidth="true" hidden="false" outlineLevel="0" max="14316" min="14316" style="70" width="8"/>
    <col collapsed="false" customWidth="false" hidden="false" outlineLevel="0" max="14317" min="14317" style="70" width="42.57"/>
    <col collapsed="false" customWidth="true" hidden="false" outlineLevel="0" max="14318" min="14318" style="70" width="3.29"/>
    <col collapsed="false" customWidth="true" hidden="false" outlineLevel="0" max="14319" min="14319" style="70" width="8"/>
    <col collapsed="false" customWidth="false" hidden="false" outlineLevel="0" max="14320" min="14320" style="70" width="42.57"/>
    <col collapsed="false" customWidth="true" hidden="false" outlineLevel="0" max="14321" min="14321" style="70" width="3.29"/>
    <col collapsed="false" customWidth="true" hidden="false" outlineLevel="0" max="14322" min="14322" style="70" width="8"/>
    <col collapsed="false" customWidth="false" hidden="false" outlineLevel="0" max="14323" min="14323" style="70" width="42.57"/>
    <col collapsed="false" customWidth="true" hidden="false" outlineLevel="0" max="14324" min="14324" style="70" width="3.29"/>
    <col collapsed="false" customWidth="true" hidden="false" outlineLevel="0" max="14325" min="14325" style="70" width="8"/>
    <col collapsed="false" customWidth="false" hidden="false" outlineLevel="0" max="14326" min="14326" style="70" width="42.57"/>
    <col collapsed="false" customWidth="true" hidden="false" outlineLevel="0" max="14327" min="14327" style="70" width="3.29"/>
    <col collapsed="false" customWidth="true" hidden="false" outlineLevel="0" max="14328" min="14328" style="70" width="8"/>
    <col collapsed="false" customWidth="false" hidden="false" outlineLevel="0" max="14329" min="14329" style="70" width="42.57"/>
    <col collapsed="false" customWidth="true" hidden="false" outlineLevel="0" max="14330" min="14330" style="70" width="3.29"/>
    <col collapsed="false" customWidth="true" hidden="false" outlineLevel="0" max="14331" min="14331" style="70" width="8"/>
    <col collapsed="false" customWidth="false" hidden="false" outlineLevel="0" max="14332" min="14332" style="70" width="42.57"/>
    <col collapsed="false" customWidth="true" hidden="false" outlineLevel="0" max="14333" min="14333" style="70" width="3.29"/>
    <col collapsed="false" customWidth="true" hidden="false" outlineLevel="0" max="14334" min="14334" style="70" width="8"/>
    <col collapsed="false" customWidth="false" hidden="false" outlineLevel="0" max="14335" min="14335" style="70" width="42.57"/>
    <col collapsed="false" customWidth="true" hidden="false" outlineLevel="0" max="14336" min="14336" style="70" width="3.29"/>
    <col collapsed="false" customWidth="true" hidden="false" outlineLevel="0" max="14337" min="14337" style="70" width="8"/>
    <col collapsed="false" customWidth="false" hidden="false" outlineLevel="0" max="14338" min="14338" style="70" width="42.57"/>
    <col collapsed="false" customWidth="true" hidden="false" outlineLevel="0" max="14339" min="14339" style="70" width="3.29"/>
    <col collapsed="false" customWidth="true" hidden="false" outlineLevel="0" max="14340" min="14340" style="70" width="8"/>
    <col collapsed="false" customWidth="false" hidden="false" outlineLevel="0" max="14341" min="14341" style="70" width="42.57"/>
    <col collapsed="false" customWidth="true" hidden="false" outlineLevel="0" max="14342" min="14342" style="70" width="3.29"/>
    <col collapsed="false" customWidth="true" hidden="false" outlineLevel="0" max="14343" min="14343" style="70" width="8"/>
    <col collapsed="false" customWidth="false" hidden="false" outlineLevel="0" max="14344" min="14344" style="70" width="42.57"/>
    <col collapsed="false" customWidth="true" hidden="false" outlineLevel="0" max="14345" min="14345" style="70" width="3.29"/>
    <col collapsed="false" customWidth="true" hidden="false" outlineLevel="0" max="14346" min="14346" style="70" width="8"/>
    <col collapsed="false" customWidth="false" hidden="false" outlineLevel="0" max="14347" min="14347" style="70" width="42.57"/>
    <col collapsed="false" customWidth="true" hidden="false" outlineLevel="0" max="14348" min="14348" style="70" width="3.29"/>
    <col collapsed="false" customWidth="true" hidden="false" outlineLevel="0" max="14349" min="14349" style="70" width="8"/>
    <col collapsed="false" customWidth="false" hidden="false" outlineLevel="0" max="14350" min="14350" style="70" width="42.57"/>
    <col collapsed="false" customWidth="true" hidden="false" outlineLevel="0" max="14351" min="14351" style="70" width="3.29"/>
    <col collapsed="false" customWidth="true" hidden="false" outlineLevel="0" max="14352" min="14352" style="70" width="8"/>
    <col collapsed="false" customWidth="false" hidden="false" outlineLevel="0" max="14353" min="14353" style="70" width="42.57"/>
    <col collapsed="false" customWidth="true" hidden="false" outlineLevel="0" max="14354" min="14354" style="70" width="3.29"/>
    <col collapsed="false" customWidth="true" hidden="false" outlineLevel="0" max="14355" min="14355" style="70" width="8"/>
    <col collapsed="false" customWidth="false" hidden="false" outlineLevel="0" max="14356" min="14356" style="70" width="42.57"/>
    <col collapsed="false" customWidth="true" hidden="false" outlineLevel="0" max="14357" min="14357" style="70" width="3.29"/>
    <col collapsed="false" customWidth="true" hidden="false" outlineLevel="0" max="14358" min="14358" style="70" width="8"/>
    <col collapsed="false" customWidth="false" hidden="false" outlineLevel="0" max="14359" min="14359" style="70" width="42.57"/>
    <col collapsed="false" customWidth="true" hidden="false" outlineLevel="0" max="14360" min="14360" style="70" width="3.29"/>
    <col collapsed="false" customWidth="true" hidden="false" outlineLevel="0" max="14361" min="14361" style="70" width="8"/>
    <col collapsed="false" customWidth="false" hidden="false" outlineLevel="0" max="14362" min="14362" style="70" width="42.57"/>
    <col collapsed="false" customWidth="true" hidden="false" outlineLevel="0" max="14363" min="14363" style="70" width="3.29"/>
    <col collapsed="false" customWidth="true" hidden="false" outlineLevel="0" max="14364" min="14364" style="70" width="8"/>
    <col collapsed="false" customWidth="false" hidden="false" outlineLevel="0" max="14365" min="14365" style="70" width="42.57"/>
    <col collapsed="false" customWidth="true" hidden="false" outlineLevel="0" max="14366" min="14366" style="70" width="3.29"/>
    <col collapsed="false" customWidth="true" hidden="false" outlineLevel="0" max="14367" min="14367" style="70" width="8"/>
    <col collapsed="false" customWidth="false" hidden="false" outlineLevel="0" max="14368" min="14368" style="70" width="42.57"/>
    <col collapsed="false" customWidth="true" hidden="false" outlineLevel="0" max="14369" min="14369" style="70" width="3.29"/>
    <col collapsed="false" customWidth="true" hidden="false" outlineLevel="0" max="14370" min="14370" style="70" width="8"/>
    <col collapsed="false" customWidth="false" hidden="false" outlineLevel="0" max="14371" min="14371" style="70" width="42.57"/>
    <col collapsed="false" customWidth="true" hidden="false" outlineLevel="0" max="14372" min="14372" style="70" width="3.29"/>
    <col collapsed="false" customWidth="true" hidden="false" outlineLevel="0" max="14373" min="14373" style="70" width="8"/>
    <col collapsed="false" customWidth="false" hidden="false" outlineLevel="0" max="14374" min="14374" style="70" width="42.57"/>
    <col collapsed="false" customWidth="true" hidden="false" outlineLevel="0" max="14375" min="14375" style="70" width="3.29"/>
    <col collapsed="false" customWidth="true" hidden="false" outlineLevel="0" max="14376" min="14376" style="70" width="8"/>
    <col collapsed="false" customWidth="false" hidden="false" outlineLevel="0" max="14377" min="14377" style="70" width="42.57"/>
    <col collapsed="false" customWidth="true" hidden="false" outlineLevel="0" max="14378" min="14378" style="70" width="3.29"/>
    <col collapsed="false" customWidth="true" hidden="false" outlineLevel="0" max="14379" min="14379" style="70" width="8"/>
    <col collapsed="false" customWidth="false" hidden="false" outlineLevel="0" max="14380" min="14380" style="70" width="42.57"/>
    <col collapsed="false" customWidth="true" hidden="false" outlineLevel="0" max="14381" min="14381" style="70" width="3.29"/>
    <col collapsed="false" customWidth="true" hidden="false" outlineLevel="0" max="14382" min="14382" style="70" width="8"/>
    <col collapsed="false" customWidth="false" hidden="false" outlineLevel="0" max="14383" min="14383" style="70" width="42.57"/>
    <col collapsed="false" customWidth="true" hidden="false" outlineLevel="0" max="14384" min="14384" style="70" width="3.29"/>
    <col collapsed="false" customWidth="true" hidden="false" outlineLevel="0" max="14385" min="14385" style="70" width="8"/>
    <col collapsed="false" customWidth="false" hidden="false" outlineLevel="0" max="14386" min="14386" style="70" width="42.57"/>
    <col collapsed="false" customWidth="true" hidden="false" outlineLevel="0" max="14387" min="14387" style="70" width="3.29"/>
    <col collapsed="false" customWidth="true" hidden="false" outlineLevel="0" max="14388" min="14388" style="70" width="8"/>
    <col collapsed="false" customWidth="false" hidden="false" outlineLevel="0" max="14389" min="14389" style="70" width="42.57"/>
    <col collapsed="false" customWidth="true" hidden="false" outlineLevel="0" max="14390" min="14390" style="70" width="3.29"/>
    <col collapsed="false" customWidth="true" hidden="false" outlineLevel="0" max="14391" min="14391" style="70" width="8"/>
    <col collapsed="false" customWidth="false" hidden="false" outlineLevel="0" max="14392" min="14392" style="70" width="42.57"/>
    <col collapsed="false" customWidth="true" hidden="false" outlineLevel="0" max="14393" min="14393" style="70" width="3.29"/>
    <col collapsed="false" customWidth="true" hidden="false" outlineLevel="0" max="14394" min="14394" style="70" width="8"/>
    <col collapsed="false" customWidth="false" hidden="false" outlineLevel="0" max="14395" min="14395" style="70" width="42.57"/>
    <col collapsed="false" customWidth="true" hidden="false" outlineLevel="0" max="14396" min="14396" style="70" width="3.29"/>
    <col collapsed="false" customWidth="true" hidden="false" outlineLevel="0" max="14397" min="14397" style="70" width="8"/>
    <col collapsed="false" customWidth="false" hidden="false" outlineLevel="0" max="14398" min="14398" style="70" width="42.57"/>
    <col collapsed="false" customWidth="true" hidden="false" outlineLevel="0" max="14399" min="14399" style="70" width="3.29"/>
    <col collapsed="false" customWidth="true" hidden="false" outlineLevel="0" max="14400" min="14400" style="70" width="8"/>
    <col collapsed="false" customWidth="false" hidden="false" outlineLevel="0" max="14401" min="14401" style="70" width="42.57"/>
    <col collapsed="false" customWidth="true" hidden="false" outlineLevel="0" max="14402" min="14402" style="70" width="3.29"/>
    <col collapsed="false" customWidth="true" hidden="false" outlineLevel="0" max="14403" min="14403" style="70" width="8"/>
    <col collapsed="false" customWidth="false" hidden="false" outlineLevel="0" max="14404" min="14404" style="70" width="42.57"/>
    <col collapsed="false" customWidth="true" hidden="false" outlineLevel="0" max="14405" min="14405" style="70" width="3.29"/>
    <col collapsed="false" customWidth="true" hidden="false" outlineLevel="0" max="14406" min="14406" style="70" width="8"/>
    <col collapsed="false" customWidth="false" hidden="false" outlineLevel="0" max="14407" min="14407" style="70" width="42.57"/>
    <col collapsed="false" customWidth="true" hidden="false" outlineLevel="0" max="14408" min="14408" style="70" width="3.29"/>
    <col collapsed="false" customWidth="true" hidden="false" outlineLevel="0" max="14409" min="14409" style="70" width="8"/>
    <col collapsed="false" customWidth="false" hidden="false" outlineLevel="0" max="14410" min="14410" style="70" width="42.57"/>
    <col collapsed="false" customWidth="true" hidden="false" outlineLevel="0" max="14411" min="14411" style="70" width="3.29"/>
    <col collapsed="false" customWidth="true" hidden="false" outlineLevel="0" max="14412" min="14412" style="70" width="8"/>
    <col collapsed="false" customWidth="false" hidden="false" outlineLevel="0" max="14413" min="14413" style="70" width="42.57"/>
    <col collapsed="false" customWidth="true" hidden="false" outlineLevel="0" max="14414" min="14414" style="70" width="3.29"/>
    <col collapsed="false" customWidth="true" hidden="false" outlineLevel="0" max="14415" min="14415" style="70" width="8"/>
    <col collapsed="false" customWidth="false" hidden="false" outlineLevel="0" max="14416" min="14416" style="70" width="42.57"/>
    <col collapsed="false" customWidth="true" hidden="false" outlineLevel="0" max="14417" min="14417" style="70" width="3.29"/>
    <col collapsed="false" customWidth="true" hidden="false" outlineLevel="0" max="14418" min="14418" style="70" width="8"/>
    <col collapsed="false" customWidth="false" hidden="false" outlineLevel="0" max="14419" min="14419" style="70" width="42.57"/>
    <col collapsed="false" customWidth="true" hidden="false" outlineLevel="0" max="14420" min="14420" style="70" width="3.29"/>
    <col collapsed="false" customWidth="true" hidden="false" outlineLevel="0" max="14421" min="14421" style="70" width="8"/>
    <col collapsed="false" customWidth="false" hidden="false" outlineLevel="0" max="14422" min="14422" style="70" width="42.57"/>
    <col collapsed="false" customWidth="true" hidden="false" outlineLevel="0" max="14423" min="14423" style="70" width="3.29"/>
    <col collapsed="false" customWidth="true" hidden="false" outlineLevel="0" max="14424" min="14424" style="70" width="8"/>
    <col collapsed="false" customWidth="false" hidden="false" outlineLevel="0" max="14425" min="14425" style="70" width="42.57"/>
    <col collapsed="false" customWidth="true" hidden="false" outlineLevel="0" max="14426" min="14426" style="70" width="3.29"/>
    <col collapsed="false" customWidth="true" hidden="false" outlineLevel="0" max="14427" min="14427" style="70" width="8"/>
    <col collapsed="false" customWidth="false" hidden="false" outlineLevel="0" max="14428" min="14428" style="70" width="42.57"/>
    <col collapsed="false" customWidth="true" hidden="false" outlineLevel="0" max="14429" min="14429" style="70" width="3.29"/>
    <col collapsed="false" customWidth="true" hidden="false" outlineLevel="0" max="14430" min="14430" style="70" width="8"/>
    <col collapsed="false" customWidth="false" hidden="false" outlineLevel="0" max="14431" min="14431" style="70" width="42.57"/>
    <col collapsed="false" customWidth="true" hidden="false" outlineLevel="0" max="14432" min="14432" style="70" width="3.29"/>
    <col collapsed="false" customWidth="true" hidden="false" outlineLevel="0" max="14433" min="14433" style="70" width="8"/>
    <col collapsed="false" customWidth="false" hidden="false" outlineLevel="0" max="14434" min="14434" style="70" width="42.57"/>
    <col collapsed="false" customWidth="true" hidden="false" outlineLevel="0" max="14435" min="14435" style="70" width="3.29"/>
    <col collapsed="false" customWidth="true" hidden="false" outlineLevel="0" max="14436" min="14436" style="70" width="8"/>
    <col collapsed="false" customWidth="false" hidden="false" outlineLevel="0" max="14437" min="14437" style="70" width="42.57"/>
    <col collapsed="false" customWidth="true" hidden="false" outlineLevel="0" max="14438" min="14438" style="70" width="3.29"/>
    <col collapsed="false" customWidth="true" hidden="false" outlineLevel="0" max="14439" min="14439" style="70" width="8"/>
    <col collapsed="false" customWidth="false" hidden="false" outlineLevel="0" max="14440" min="14440" style="70" width="42.57"/>
    <col collapsed="false" customWidth="true" hidden="false" outlineLevel="0" max="14441" min="14441" style="70" width="3.29"/>
    <col collapsed="false" customWidth="true" hidden="false" outlineLevel="0" max="14442" min="14442" style="70" width="8"/>
    <col collapsed="false" customWidth="false" hidden="false" outlineLevel="0" max="14443" min="14443" style="70" width="42.57"/>
    <col collapsed="false" customWidth="true" hidden="false" outlineLevel="0" max="14444" min="14444" style="70" width="3.29"/>
    <col collapsed="false" customWidth="true" hidden="false" outlineLevel="0" max="14445" min="14445" style="70" width="8"/>
    <col collapsed="false" customWidth="false" hidden="false" outlineLevel="0" max="14446" min="14446" style="70" width="42.57"/>
    <col collapsed="false" customWidth="true" hidden="false" outlineLevel="0" max="14447" min="14447" style="70" width="3.29"/>
    <col collapsed="false" customWidth="true" hidden="false" outlineLevel="0" max="14448" min="14448" style="70" width="8"/>
    <col collapsed="false" customWidth="false" hidden="false" outlineLevel="0" max="14449" min="14449" style="70" width="42.57"/>
    <col collapsed="false" customWidth="true" hidden="false" outlineLevel="0" max="14450" min="14450" style="70" width="3.29"/>
    <col collapsed="false" customWidth="true" hidden="false" outlineLevel="0" max="14451" min="14451" style="70" width="8"/>
    <col collapsed="false" customWidth="false" hidden="false" outlineLevel="0" max="14452" min="14452" style="70" width="42.57"/>
    <col collapsed="false" customWidth="true" hidden="false" outlineLevel="0" max="14453" min="14453" style="70" width="3.29"/>
    <col collapsed="false" customWidth="true" hidden="false" outlineLevel="0" max="14454" min="14454" style="70" width="8"/>
    <col collapsed="false" customWidth="false" hidden="false" outlineLevel="0" max="14455" min="14455" style="70" width="42.57"/>
    <col collapsed="false" customWidth="true" hidden="false" outlineLevel="0" max="14456" min="14456" style="70" width="3.29"/>
    <col collapsed="false" customWidth="true" hidden="false" outlineLevel="0" max="14457" min="14457" style="70" width="8"/>
    <col collapsed="false" customWidth="false" hidden="false" outlineLevel="0" max="14458" min="14458" style="70" width="42.57"/>
    <col collapsed="false" customWidth="true" hidden="false" outlineLevel="0" max="14459" min="14459" style="70" width="3.29"/>
    <col collapsed="false" customWidth="true" hidden="false" outlineLevel="0" max="14460" min="14460" style="70" width="8"/>
    <col collapsed="false" customWidth="false" hidden="false" outlineLevel="0" max="14461" min="14461" style="70" width="42.57"/>
    <col collapsed="false" customWidth="true" hidden="false" outlineLevel="0" max="14462" min="14462" style="70" width="3.29"/>
    <col collapsed="false" customWidth="true" hidden="false" outlineLevel="0" max="14463" min="14463" style="70" width="8"/>
    <col collapsed="false" customWidth="false" hidden="false" outlineLevel="0" max="14464" min="14464" style="70" width="42.57"/>
    <col collapsed="false" customWidth="true" hidden="false" outlineLevel="0" max="14465" min="14465" style="70" width="3.29"/>
    <col collapsed="false" customWidth="true" hidden="false" outlineLevel="0" max="14466" min="14466" style="70" width="8"/>
    <col collapsed="false" customWidth="false" hidden="false" outlineLevel="0" max="14467" min="14467" style="70" width="42.57"/>
    <col collapsed="false" customWidth="true" hidden="false" outlineLevel="0" max="14468" min="14468" style="70" width="3.29"/>
    <col collapsed="false" customWidth="true" hidden="false" outlineLevel="0" max="14469" min="14469" style="70" width="8"/>
    <col collapsed="false" customWidth="false" hidden="false" outlineLevel="0" max="14470" min="14470" style="70" width="42.57"/>
    <col collapsed="false" customWidth="true" hidden="false" outlineLevel="0" max="14471" min="14471" style="70" width="3.29"/>
    <col collapsed="false" customWidth="true" hidden="false" outlineLevel="0" max="14472" min="14472" style="70" width="8"/>
    <col collapsed="false" customWidth="false" hidden="false" outlineLevel="0" max="14473" min="14473" style="70" width="42.57"/>
    <col collapsed="false" customWidth="true" hidden="false" outlineLevel="0" max="14474" min="14474" style="70" width="3.29"/>
    <col collapsed="false" customWidth="true" hidden="false" outlineLevel="0" max="14475" min="14475" style="70" width="8"/>
    <col collapsed="false" customWidth="false" hidden="false" outlineLevel="0" max="14476" min="14476" style="70" width="42.57"/>
    <col collapsed="false" customWidth="true" hidden="false" outlineLevel="0" max="14477" min="14477" style="70" width="3.29"/>
    <col collapsed="false" customWidth="true" hidden="false" outlineLevel="0" max="14478" min="14478" style="70" width="8"/>
    <col collapsed="false" customWidth="false" hidden="false" outlineLevel="0" max="14479" min="14479" style="70" width="42.57"/>
    <col collapsed="false" customWidth="true" hidden="false" outlineLevel="0" max="14480" min="14480" style="70" width="3.29"/>
    <col collapsed="false" customWidth="true" hidden="false" outlineLevel="0" max="14481" min="14481" style="70" width="8"/>
    <col collapsed="false" customWidth="false" hidden="false" outlineLevel="0" max="14482" min="14482" style="70" width="42.57"/>
    <col collapsed="false" customWidth="true" hidden="false" outlineLevel="0" max="14483" min="14483" style="70" width="3.29"/>
    <col collapsed="false" customWidth="true" hidden="false" outlineLevel="0" max="14484" min="14484" style="70" width="8"/>
    <col collapsed="false" customWidth="false" hidden="false" outlineLevel="0" max="14485" min="14485" style="70" width="42.57"/>
    <col collapsed="false" customWidth="true" hidden="false" outlineLevel="0" max="14486" min="14486" style="70" width="3.29"/>
    <col collapsed="false" customWidth="true" hidden="false" outlineLevel="0" max="14487" min="14487" style="70" width="8"/>
    <col collapsed="false" customWidth="false" hidden="false" outlineLevel="0" max="14488" min="14488" style="70" width="42.57"/>
    <col collapsed="false" customWidth="true" hidden="false" outlineLevel="0" max="14489" min="14489" style="70" width="3.29"/>
    <col collapsed="false" customWidth="true" hidden="false" outlineLevel="0" max="14490" min="14490" style="70" width="8"/>
    <col collapsed="false" customWidth="false" hidden="false" outlineLevel="0" max="14491" min="14491" style="70" width="42.57"/>
    <col collapsed="false" customWidth="true" hidden="false" outlineLevel="0" max="14492" min="14492" style="70" width="3.29"/>
    <col collapsed="false" customWidth="true" hidden="false" outlineLevel="0" max="14493" min="14493" style="70" width="8"/>
    <col collapsed="false" customWidth="false" hidden="false" outlineLevel="0" max="14494" min="14494" style="70" width="42.57"/>
    <col collapsed="false" customWidth="true" hidden="false" outlineLevel="0" max="14495" min="14495" style="70" width="3.29"/>
    <col collapsed="false" customWidth="true" hidden="false" outlineLevel="0" max="14496" min="14496" style="70" width="8"/>
    <col collapsed="false" customWidth="false" hidden="false" outlineLevel="0" max="14497" min="14497" style="70" width="42.57"/>
    <col collapsed="false" customWidth="true" hidden="false" outlineLevel="0" max="14498" min="14498" style="70" width="3.29"/>
    <col collapsed="false" customWidth="true" hidden="false" outlineLevel="0" max="14499" min="14499" style="70" width="8"/>
    <col collapsed="false" customWidth="false" hidden="false" outlineLevel="0" max="14500" min="14500" style="70" width="42.57"/>
    <col collapsed="false" customWidth="true" hidden="false" outlineLevel="0" max="14501" min="14501" style="70" width="3.29"/>
    <col collapsed="false" customWidth="true" hidden="false" outlineLevel="0" max="14502" min="14502" style="70" width="8"/>
    <col collapsed="false" customWidth="false" hidden="false" outlineLevel="0" max="14503" min="14503" style="70" width="42.57"/>
    <col collapsed="false" customWidth="true" hidden="false" outlineLevel="0" max="14504" min="14504" style="70" width="3.29"/>
    <col collapsed="false" customWidth="true" hidden="false" outlineLevel="0" max="14505" min="14505" style="70" width="8"/>
    <col collapsed="false" customWidth="false" hidden="false" outlineLevel="0" max="14506" min="14506" style="70" width="42.57"/>
    <col collapsed="false" customWidth="true" hidden="false" outlineLevel="0" max="14507" min="14507" style="70" width="3.29"/>
    <col collapsed="false" customWidth="true" hidden="false" outlineLevel="0" max="14508" min="14508" style="70" width="8"/>
    <col collapsed="false" customWidth="false" hidden="false" outlineLevel="0" max="14509" min="14509" style="70" width="42.57"/>
    <col collapsed="false" customWidth="true" hidden="false" outlineLevel="0" max="14510" min="14510" style="70" width="3.29"/>
    <col collapsed="false" customWidth="true" hidden="false" outlineLevel="0" max="14511" min="14511" style="70" width="8"/>
    <col collapsed="false" customWidth="false" hidden="false" outlineLevel="0" max="14512" min="14512" style="70" width="42.57"/>
    <col collapsed="false" customWidth="true" hidden="false" outlineLevel="0" max="14513" min="14513" style="70" width="3.29"/>
    <col collapsed="false" customWidth="true" hidden="false" outlineLevel="0" max="14514" min="14514" style="70" width="8"/>
    <col collapsed="false" customWidth="false" hidden="false" outlineLevel="0" max="14515" min="14515" style="70" width="42.57"/>
    <col collapsed="false" customWidth="true" hidden="false" outlineLevel="0" max="14516" min="14516" style="70" width="3.29"/>
    <col collapsed="false" customWidth="true" hidden="false" outlineLevel="0" max="14517" min="14517" style="70" width="8"/>
    <col collapsed="false" customWidth="false" hidden="false" outlineLevel="0" max="14518" min="14518" style="70" width="42.57"/>
    <col collapsed="false" customWidth="true" hidden="false" outlineLevel="0" max="14519" min="14519" style="70" width="3.29"/>
    <col collapsed="false" customWidth="true" hidden="false" outlineLevel="0" max="14520" min="14520" style="70" width="8"/>
    <col collapsed="false" customWidth="false" hidden="false" outlineLevel="0" max="14521" min="14521" style="70" width="42.57"/>
    <col collapsed="false" customWidth="true" hidden="false" outlineLevel="0" max="14522" min="14522" style="70" width="3.29"/>
    <col collapsed="false" customWidth="true" hidden="false" outlineLevel="0" max="14523" min="14523" style="70" width="8"/>
    <col collapsed="false" customWidth="false" hidden="false" outlineLevel="0" max="14524" min="14524" style="70" width="42.57"/>
    <col collapsed="false" customWidth="true" hidden="false" outlineLevel="0" max="14525" min="14525" style="70" width="3.29"/>
    <col collapsed="false" customWidth="true" hidden="false" outlineLevel="0" max="14526" min="14526" style="70" width="8"/>
    <col collapsed="false" customWidth="false" hidden="false" outlineLevel="0" max="14527" min="14527" style="70" width="42.57"/>
    <col collapsed="false" customWidth="true" hidden="false" outlineLevel="0" max="14528" min="14528" style="70" width="3.29"/>
    <col collapsed="false" customWidth="true" hidden="false" outlineLevel="0" max="14529" min="14529" style="70" width="8"/>
    <col collapsed="false" customWidth="false" hidden="false" outlineLevel="0" max="14530" min="14530" style="70" width="42.57"/>
    <col collapsed="false" customWidth="true" hidden="false" outlineLevel="0" max="14531" min="14531" style="70" width="3.29"/>
    <col collapsed="false" customWidth="true" hidden="false" outlineLevel="0" max="14532" min="14532" style="70" width="8"/>
    <col collapsed="false" customWidth="false" hidden="false" outlineLevel="0" max="14533" min="14533" style="70" width="42.57"/>
    <col collapsed="false" customWidth="true" hidden="false" outlineLevel="0" max="14534" min="14534" style="70" width="3.29"/>
    <col collapsed="false" customWidth="true" hidden="false" outlineLevel="0" max="14535" min="14535" style="70" width="8"/>
    <col collapsed="false" customWidth="false" hidden="false" outlineLevel="0" max="14536" min="14536" style="70" width="42.57"/>
    <col collapsed="false" customWidth="true" hidden="false" outlineLevel="0" max="14537" min="14537" style="70" width="3.29"/>
    <col collapsed="false" customWidth="true" hidden="false" outlineLevel="0" max="14538" min="14538" style="70" width="8"/>
    <col collapsed="false" customWidth="false" hidden="false" outlineLevel="0" max="14539" min="14539" style="70" width="42.57"/>
    <col collapsed="false" customWidth="true" hidden="false" outlineLevel="0" max="14540" min="14540" style="70" width="3.29"/>
    <col collapsed="false" customWidth="true" hidden="false" outlineLevel="0" max="14541" min="14541" style="70" width="8"/>
    <col collapsed="false" customWidth="false" hidden="false" outlineLevel="0" max="14542" min="14542" style="70" width="42.57"/>
    <col collapsed="false" customWidth="true" hidden="false" outlineLevel="0" max="14543" min="14543" style="70" width="3.29"/>
    <col collapsed="false" customWidth="true" hidden="false" outlineLevel="0" max="14544" min="14544" style="70" width="8"/>
    <col collapsed="false" customWidth="false" hidden="false" outlineLevel="0" max="14545" min="14545" style="70" width="42.57"/>
    <col collapsed="false" customWidth="true" hidden="false" outlineLevel="0" max="14546" min="14546" style="70" width="3.29"/>
    <col collapsed="false" customWidth="true" hidden="false" outlineLevel="0" max="14547" min="14547" style="70" width="8"/>
    <col collapsed="false" customWidth="false" hidden="false" outlineLevel="0" max="14548" min="14548" style="70" width="42.57"/>
    <col collapsed="false" customWidth="true" hidden="false" outlineLevel="0" max="14549" min="14549" style="70" width="3.29"/>
    <col collapsed="false" customWidth="true" hidden="false" outlineLevel="0" max="14550" min="14550" style="70" width="8"/>
    <col collapsed="false" customWidth="false" hidden="false" outlineLevel="0" max="14551" min="14551" style="70" width="42.57"/>
    <col collapsed="false" customWidth="true" hidden="false" outlineLevel="0" max="14552" min="14552" style="70" width="3.29"/>
    <col collapsed="false" customWidth="true" hidden="false" outlineLevel="0" max="14553" min="14553" style="70" width="8"/>
    <col collapsed="false" customWidth="false" hidden="false" outlineLevel="0" max="14554" min="14554" style="70" width="42.57"/>
    <col collapsed="false" customWidth="true" hidden="false" outlineLevel="0" max="14555" min="14555" style="70" width="3.29"/>
    <col collapsed="false" customWidth="true" hidden="false" outlineLevel="0" max="14556" min="14556" style="70" width="8"/>
    <col collapsed="false" customWidth="false" hidden="false" outlineLevel="0" max="14557" min="14557" style="70" width="42.57"/>
    <col collapsed="false" customWidth="true" hidden="false" outlineLevel="0" max="14558" min="14558" style="70" width="3.29"/>
    <col collapsed="false" customWidth="true" hidden="false" outlineLevel="0" max="14559" min="14559" style="70" width="8"/>
    <col collapsed="false" customWidth="false" hidden="false" outlineLevel="0" max="14560" min="14560" style="70" width="42.57"/>
    <col collapsed="false" customWidth="true" hidden="false" outlineLevel="0" max="14561" min="14561" style="70" width="3.29"/>
    <col collapsed="false" customWidth="true" hidden="false" outlineLevel="0" max="14562" min="14562" style="70" width="8"/>
    <col collapsed="false" customWidth="false" hidden="false" outlineLevel="0" max="14563" min="14563" style="70" width="42.57"/>
    <col collapsed="false" customWidth="true" hidden="false" outlineLevel="0" max="14564" min="14564" style="70" width="3.29"/>
    <col collapsed="false" customWidth="true" hidden="false" outlineLevel="0" max="14565" min="14565" style="70" width="8"/>
    <col collapsed="false" customWidth="false" hidden="false" outlineLevel="0" max="14566" min="14566" style="70" width="42.57"/>
    <col collapsed="false" customWidth="true" hidden="false" outlineLevel="0" max="14567" min="14567" style="70" width="3.29"/>
    <col collapsed="false" customWidth="true" hidden="false" outlineLevel="0" max="14568" min="14568" style="70" width="8"/>
    <col collapsed="false" customWidth="false" hidden="false" outlineLevel="0" max="14569" min="14569" style="70" width="42.57"/>
    <col collapsed="false" customWidth="true" hidden="false" outlineLevel="0" max="14570" min="14570" style="70" width="3.29"/>
    <col collapsed="false" customWidth="true" hidden="false" outlineLevel="0" max="14571" min="14571" style="70" width="8"/>
    <col collapsed="false" customWidth="false" hidden="false" outlineLevel="0" max="14572" min="14572" style="70" width="42.57"/>
    <col collapsed="false" customWidth="true" hidden="false" outlineLevel="0" max="14573" min="14573" style="70" width="3.29"/>
    <col collapsed="false" customWidth="true" hidden="false" outlineLevel="0" max="14574" min="14574" style="70" width="8"/>
    <col collapsed="false" customWidth="false" hidden="false" outlineLevel="0" max="14575" min="14575" style="70" width="42.57"/>
    <col collapsed="false" customWidth="true" hidden="false" outlineLevel="0" max="14576" min="14576" style="70" width="3.29"/>
    <col collapsed="false" customWidth="true" hidden="false" outlineLevel="0" max="14577" min="14577" style="70" width="8"/>
    <col collapsed="false" customWidth="false" hidden="false" outlineLevel="0" max="14578" min="14578" style="70" width="42.57"/>
    <col collapsed="false" customWidth="true" hidden="false" outlineLevel="0" max="14579" min="14579" style="70" width="3.29"/>
    <col collapsed="false" customWidth="true" hidden="false" outlineLevel="0" max="14580" min="14580" style="70" width="8"/>
    <col collapsed="false" customWidth="false" hidden="false" outlineLevel="0" max="14581" min="14581" style="70" width="42.57"/>
    <col collapsed="false" customWidth="true" hidden="false" outlineLevel="0" max="14582" min="14582" style="70" width="3.29"/>
    <col collapsed="false" customWidth="true" hidden="false" outlineLevel="0" max="14583" min="14583" style="70" width="8"/>
    <col collapsed="false" customWidth="false" hidden="false" outlineLevel="0" max="14584" min="14584" style="70" width="42.57"/>
    <col collapsed="false" customWidth="true" hidden="false" outlineLevel="0" max="14585" min="14585" style="70" width="3.29"/>
    <col collapsed="false" customWidth="true" hidden="false" outlineLevel="0" max="14586" min="14586" style="70" width="8"/>
    <col collapsed="false" customWidth="false" hidden="false" outlineLevel="0" max="14587" min="14587" style="70" width="42.57"/>
    <col collapsed="false" customWidth="true" hidden="false" outlineLevel="0" max="14588" min="14588" style="70" width="3.29"/>
    <col collapsed="false" customWidth="true" hidden="false" outlineLevel="0" max="14589" min="14589" style="70" width="8"/>
    <col collapsed="false" customWidth="false" hidden="false" outlineLevel="0" max="14590" min="14590" style="70" width="42.57"/>
    <col collapsed="false" customWidth="true" hidden="false" outlineLevel="0" max="14591" min="14591" style="70" width="3.29"/>
    <col collapsed="false" customWidth="true" hidden="false" outlineLevel="0" max="14592" min="14592" style="70" width="8"/>
    <col collapsed="false" customWidth="false" hidden="false" outlineLevel="0" max="14593" min="14593" style="70" width="42.57"/>
    <col collapsed="false" customWidth="true" hidden="false" outlineLevel="0" max="14594" min="14594" style="70" width="3.29"/>
    <col collapsed="false" customWidth="true" hidden="false" outlineLevel="0" max="14595" min="14595" style="70" width="8"/>
    <col collapsed="false" customWidth="false" hidden="false" outlineLevel="0" max="14596" min="14596" style="70" width="42.57"/>
    <col collapsed="false" customWidth="true" hidden="false" outlineLevel="0" max="14597" min="14597" style="70" width="3.29"/>
    <col collapsed="false" customWidth="true" hidden="false" outlineLevel="0" max="14598" min="14598" style="70" width="8"/>
    <col collapsed="false" customWidth="false" hidden="false" outlineLevel="0" max="14599" min="14599" style="70" width="42.57"/>
    <col collapsed="false" customWidth="true" hidden="false" outlineLevel="0" max="14600" min="14600" style="70" width="3.29"/>
    <col collapsed="false" customWidth="true" hidden="false" outlineLevel="0" max="14601" min="14601" style="70" width="8"/>
    <col collapsed="false" customWidth="false" hidden="false" outlineLevel="0" max="14602" min="14602" style="70" width="42.57"/>
    <col collapsed="false" customWidth="true" hidden="false" outlineLevel="0" max="14603" min="14603" style="70" width="3.29"/>
    <col collapsed="false" customWidth="true" hidden="false" outlineLevel="0" max="14604" min="14604" style="70" width="8"/>
    <col collapsed="false" customWidth="false" hidden="false" outlineLevel="0" max="14605" min="14605" style="70" width="42.57"/>
    <col collapsed="false" customWidth="true" hidden="false" outlineLevel="0" max="14606" min="14606" style="70" width="3.29"/>
    <col collapsed="false" customWidth="true" hidden="false" outlineLevel="0" max="14607" min="14607" style="70" width="8"/>
    <col collapsed="false" customWidth="false" hidden="false" outlineLevel="0" max="14608" min="14608" style="70" width="42.57"/>
    <col collapsed="false" customWidth="true" hidden="false" outlineLevel="0" max="14609" min="14609" style="70" width="3.29"/>
    <col collapsed="false" customWidth="true" hidden="false" outlineLevel="0" max="14610" min="14610" style="70" width="8"/>
    <col collapsed="false" customWidth="false" hidden="false" outlineLevel="0" max="14611" min="14611" style="70" width="42.57"/>
    <col collapsed="false" customWidth="true" hidden="false" outlineLevel="0" max="14612" min="14612" style="70" width="3.29"/>
    <col collapsed="false" customWidth="true" hidden="false" outlineLevel="0" max="14613" min="14613" style="70" width="8"/>
    <col collapsed="false" customWidth="false" hidden="false" outlineLevel="0" max="14614" min="14614" style="70" width="42.57"/>
    <col collapsed="false" customWidth="true" hidden="false" outlineLevel="0" max="14615" min="14615" style="70" width="3.29"/>
    <col collapsed="false" customWidth="true" hidden="false" outlineLevel="0" max="14616" min="14616" style="70" width="8"/>
    <col collapsed="false" customWidth="false" hidden="false" outlineLevel="0" max="14617" min="14617" style="70" width="42.57"/>
    <col collapsed="false" customWidth="true" hidden="false" outlineLevel="0" max="14618" min="14618" style="70" width="3.29"/>
    <col collapsed="false" customWidth="true" hidden="false" outlineLevel="0" max="14619" min="14619" style="70" width="8"/>
    <col collapsed="false" customWidth="false" hidden="false" outlineLevel="0" max="14620" min="14620" style="70" width="42.57"/>
    <col collapsed="false" customWidth="true" hidden="false" outlineLevel="0" max="14621" min="14621" style="70" width="3.29"/>
    <col collapsed="false" customWidth="true" hidden="false" outlineLevel="0" max="14622" min="14622" style="70" width="8"/>
    <col collapsed="false" customWidth="false" hidden="false" outlineLevel="0" max="14623" min="14623" style="70" width="42.57"/>
    <col collapsed="false" customWidth="true" hidden="false" outlineLevel="0" max="14624" min="14624" style="70" width="3.29"/>
    <col collapsed="false" customWidth="true" hidden="false" outlineLevel="0" max="14625" min="14625" style="70" width="8"/>
    <col collapsed="false" customWidth="false" hidden="false" outlineLevel="0" max="14626" min="14626" style="70" width="42.57"/>
    <col collapsed="false" customWidth="true" hidden="false" outlineLevel="0" max="14627" min="14627" style="70" width="3.29"/>
    <col collapsed="false" customWidth="true" hidden="false" outlineLevel="0" max="14628" min="14628" style="70" width="8"/>
    <col collapsed="false" customWidth="false" hidden="false" outlineLevel="0" max="14629" min="14629" style="70" width="42.57"/>
    <col collapsed="false" customWidth="true" hidden="false" outlineLevel="0" max="14630" min="14630" style="70" width="3.29"/>
    <col collapsed="false" customWidth="true" hidden="false" outlineLevel="0" max="14631" min="14631" style="70" width="8"/>
    <col collapsed="false" customWidth="false" hidden="false" outlineLevel="0" max="14632" min="14632" style="70" width="42.57"/>
    <col collapsed="false" customWidth="true" hidden="false" outlineLevel="0" max="14633" min="14633" style="70" width="3.29"/>
    <col collapsed="false" customWidth="true" hidden="false" outlineLevel="0" max="14634" min="14634" style="70" width="8"/>
    <col collapsed="false" customWidth="false" hidden="false" outlineLevel="0" max="14635" min="14635" style="70" width="42.57"/>
    <col collapsed="false" customWidth="true" hidden="false" outlineLevel="0" max="14636" min="14636" style="70" width="3.29"/>
    <col collapsed="false" customWidth="true" hidden="false" outlineLevel="0" max="14637" min="14637" style="70" width="8"/>
    <col collapsed="false" customWidth="false" hidden="false" outlineLevel="0" max="14638" min="14638" style="70" width="42.57"/>
    <col collapsed="false" customWidth="true" hidden="false" outlineLevel="0" max="14639" min="14639" style="70" width="3.29"/>
    <col collapsed="false" customWidth="true" hidden="false" outlineLevel="0" max="14640" min="14640" style="70" width="8"/>
    <col collapsed="false" customWidth="false" hidden="false" outlineLevel="0" max="14641" min="14641" style="70" width="42.57"/>
    <col collapsed="false" customWidth="true" hidden="false" outlineLevel="0" max="14642" min="14642" style="70" width="3.29"/>
    <col collapsed="false" customWidth="true" hidden="false" outlineLevel="0" max="14643" min="14643" style="70" width="8"/>
    <col collapsed="false" customWidth="false" hidden="false" outlineLevel="0" max="14644" min="14644" style="70" width="42.57"/>
    <col collapsed="false" customWidth="true" hidden="false" outlineLevel="0" max="14645" min="14645" style="70" width="3.29"/>
    <col collapsed="false" customWidth="true" hidden="false" outlineLevel="0" max="14646" min="14646" style="70" width="8"/>
    <col collapsed="false" customWidth="false" hidden="false" outlineLevel="0" max="14647" min="14647" style="70" width="42.57"/>
    <col collapsed="false" customWidth="true" hidden="false" outlineLevel="0" max="14648" min="14648" style="70" width="3.29"/>
    <col collapsed="false" customWidth="true" hidden="false" outlineLevel="0" max="14649" min="14649" style="70" width="8"/>
    <col collapsed="false" customWidth="false" hidden="false" outlineLevel="0" max="14650" min="14650" style="70" width="42.57"/>
    <col collapsed="false" customWidth="true" hidden="false" outlineLevel="0" max="14651" min="14651" style="70" width="3.29"/>
    <col collapsed="false" customWidth="true" hidden="false" outlineLevel="0" max="14652" min="14652" style="70" width="8"/>
    <col collapsed="false" customWidth="false" hidden="false" outlineLevel="0" max="14653" min="14653" style="70" width="42.57"/>
    <col collapsed="false" customWidth="true" hidden="false" outlineLevel="0" max="14654" min="14654" style="70" width="3.29"/>
    <col collapsed="false" customWidth="true" hidden="false" outlineLevel="0" max="14655" min="14655" style="70" width="8"/>
    <col collapsed="false" customWidth="false" hidden="false" outlineLevel="0" max="14656" min="14656" style="70" width="42.57"/>
    <col collapsed="false" customWidth="true" hidden="false" outlineLevel="0" max="14657" min="14657" style="70" width="3.29"/>
    <col collapsed="false" customWidth="true" hidden="false" outlineLevel="0" max="14658" min="14658" style="70" width="8"/>
    <col collapsed="false" customWidth="false" hidden="false" outlineLevel="0" max="14659" min="14659" style="70" width="42.57"/>
    <col collapsed="false" customWidth="true" hidden="false" outlineLevel="0" max="14660" min="14660" style="70" width="3.29"/>
    <col collapsed="false" customWidth="true" hidden="false" outlineLevel="0" max="14661" min="14661" style="70" width="8"/>
    <col collapsed="false" customWidth="false" hidden="false" outlineLevel="0" max="14662" min="14662" style="70" width="42.57"/>
    <col collapsed="false" customWidth="true" hidden="false" outlineLevel="0" max="14663" min="14663" style="70" width="3.29"/>
    <col collapsed="false" customWidth="true" hidden="false" outlineLevel="0" max="14664" min="14664" style="70" width="8"/>
    <col collapsed="false" customWidth="false" hidden="false" outlineLevel="0" max="14665" min="14665" style="70" width="42.57"/>
    <col collapsed="false" customWidth="true" hidden="false" outlineLevel="0" max="14666" min="14666" style="70" width="3.29"/>
    <col collapsed="false" customWidth="true" hidden="false" outlineLevel="0" max="14667" min="14667" style="70" width="8"/>
    <col collapsed="false" customWidth="false" hidden="false" outlineLevel="0" max="14668" min="14668" style="70" width="42.57"/>
    <col collapsed="false" customWidth="true" hidden="false" outlineLevel="0" max="14669" min="14669" style="70" width="3.29"/>
    <col collapsed="false" customWidth="true" hidden="false" outlineLevel="0" max="14670" min="14670" style="70" width="8"/>
    <col collapsed="false" customWidth="false" hidden="false" outlineLevel="0" max="14671" min="14671" style="70" width="42.57"/>
    <col collapsed="false" customWidth="true" hidden="false" outlineLevel="0" max="14672" min="14672" style="70" width="3.29"/>
    <col collapsed="false" customWidth="true" hidden="false" outlineLevel="0" max="14673" min="14673" style="70" width="8"/>
    <col collapsed="false" customWidth="false" hidden="false" outlineLevel="0" max="14674" min="14674" style="70" width="42.57"/>
    <col collapsed="false" customWidth="true" hidden="false" outlineLevel="0" max="14675" min="14675" style="70" width="3.29"/>
    <col collapsed="false" customWidth="true" hidden="false" outlineLevel="0" max="14676" min="14676" style="70" width="8"/>
    <col collapsed="false" customWidth="false" hidden="false" outlineLevel="0" max="14677" min="14677" style="70" width="42.57"/>
    <col collapsed="false" customWidth="true" hidden="false" outlineLevel="0" max="14678" min="14678" style="70" width="3.29"/>
    <col collapsed="false" customWidth="true" hidden="false" outlineLevel="0" max="14679" min="14679" style="70" width="8"/>
    <col collapsed="false" customWidth="false" hidden="false" outlineLevel="0" max="14680" min="14680" style="70" width="42.57"/>
    <col collapsed="false" customWidth="true" hidden="false" outlineLevel="0" max="14681" min="14681" style="70" width="3.29"/>
    <col collapsed="false" customWidth="true" hidden="false" outlineLevel="0" max="14682" min="14682" style="70" width="8"/>
    <col collapsed="false" customWidth="false" hidden="false" outlineLevel="0" max="14683" min="14683" style="70" width="42.57"/>
    <col collapsed="false" customWidth="true" hidden="false" outlineLevel="0" max="14684" min="14684" style="70" width="3.29"/>
    <col collapsed="false" customWidth="true" hidden="false" outlineLevel="0" max="14685" min="14685" style="70" width="8"/>
    <col collapsed="false" customWidth="false" hidden="false" outlineLevel="0" max="14686" min="14686" style="70" width="42.57"/>
    <col collapsed="false" customWidth="true" hidden="false" outlineLevel="0" max="14687" min="14687" style="70" width="3.29"/>
    <col collapsed="false" customWidth="true" hidden="false" outlineLevel="0" max="14688" min="14688" style="70" width="8"/>
    <col collapsed="false" customWidth="false" hidden="false" outlineLevel="0" max="14689" min="14689" style="70" width="42.57"/>
    <col collapsed="false" customWidth="true" hidden="false" outlineLevel="0" max="14690" min="14690" style="70" width="3.29"/>
    <col collapsed="false" customWidth="true" hidden="false" outlineLevel="0" max="14691" min="14691" style="70" width="8"/>
    <col collapsed="false" customWidth="false" hidden="false" outlineLevel="0" max="14692" min="14692" style="70" width="42.57"/>
    <col collapsed="false" customWidth="true" hidden="false" outlineLevel="0" max="14693" min="14693" style="70" width="3.29"/>
    <col collapsed="false" customWidth="true" hidden="false" outlineLevel="0" max="14694" min="14694" style="70" width="8"/>
    <col collapsed="false" customWidth="false" hidden="false" outlineLevel="0" max="14695" min="14695" style="70" width="42.57"/>
    <col collapsed="false" customWidth="true" hidden="false" outlineLevel="0" max="14696" min="14696" style="70" width="3.29"/>
    <col collapsed="false" customWidth="true" hidden="false" outlineLevel="0" max="14697" min="14697" style="70" width="8"/>
    <col collapsed="false" customWidth="false" hidden="false" outlineLevel="0" max="14698" min="14698" style="70" width="42.57"/>
    <col collapsed="false" customWidth="true" hidden="false" outlineLevel="0" max="14699" min="14699" style="70" width="3.29"/>
    <col collapsed="false" customWidth="true" hidden="false" outlineLevel="0" max="14700" min="14700" style="70" width="8"/>
    <col collapsed="false" customWidth="false" hidden="false" outlineLevel="0" max="14701" min="14701" style="70" width="42.57"/>
    <col collapsed="false" customWidth="true" hidden="false" outlineLevel="0" max="14702" min="14702" style="70" width="3.29"/>
    <col collapsed="false" customWidth="true" hidden="false" outlineLevel="0" max="14703" min="14703" style="70" width="8"/>
    <col collapsed="false" customWidth="false" hidden="false" outlineLevel="0" max="14704" min="14704" style="70" width="42.57"/>
    <col collapsed="false" customWidth="true" hidden="false" outlineLevel="0" max="14705" min="14705" style="70" width="3.29"/>
    <col collapsed="false" customWidth="true" hidden="false" outlineLevel="0" max="14706" min="14706" style="70" width="8"/>
    <col collapsed="false" customWidth="false" hidden="false" outlineLevel="0" max="14707" min="14707" style="70" width="42.57"/>
    <col collapsed="false" customWidth="true" hidden="false" outlineLevel="0" max="14708" min="14708" style="70" width="3.29"/>
    <col collapsed="false" customWidth="true" hidden="false" outlineLevel="0" max="14709" min="14709" style="70" width="8"/>
    <col collapsed="false" customWidth="false" hidden="false" outlineLevel="0" max="14710" min="14710" style="70" width="42.57"/>
    <col collapsed="false" customWidth="true" hidden="false" outlineLevel="0" max="14711" min="14711" style="70" width="3.29"/>
    <col collapsed="false" customWidth="true" hidden="false" outlineLevel="0" max="14712" min="14712" style="70" width="8"/>
    <col collapsed="false" customWidth="false" hidden="false" outlineLevel="0" max="14713" min="14713" style="70" width="42.57"/>
    <col collapsed="false" customWidth="true" hidden="false" outlineLevel="0" max="14714" min="14714" style="70" width="3.29"/>
    <col collapsed="false" customWidth="true" hidden="false" outlineLevel="0" max="14715" min="14715" style="70" width="8"/>
    <col collapsed="false" customWidth="false" hidden="false" outlineLevel="0" max="14716" min="14716" style="70" width="42.57"/>
    <col collapsed="false" customWidth="true" hidden="false" outlineLevel="0" max="14717" min="14717" style="70" width="3.29"/>
    <col collapsed="false" customWidth="true" hidden="false" outlineLevel="0" max="14718" min="14718" style="70" width="8"/>
    <col collapsed="false" customWidth="false" hidden="false" outlineLevel="0" max="14719" min="14719" style="70" width="42.57"/>
    <col collapsed="false" customWidth="true" hidden="false" outlineLevel="0" max="14720" min="14720" style="70" width="3.29"/>
    <col collapsed="false" customWidth="true" hidden="false" outlineLevel="0" max="14721" min="14721" style="70" width="8"/>
    <col collapsed="false" customWidth="false" hidden="false" outlineLevel="0" max="14722" min="14722" style="70" width="42.57"/>
    <col collapsed="false" customWidth="true" hidden="false" outlineLevel="0" max="14723" min="14723" style="70" width="3.29"/>
    <col collapsed="false" customWidth="true" hidden="false" outlineLevel="0" max="14724" min="14724" style="70" width="8"/>
    <col collapsed="false" customWidth="false" hidden="false" outlineLevel="0" max="14725" min="14725" style="70" width="42.57"/>
    <col collapsed="false" customWidth="true" hidden="false" outlineLevel="0" max="14726" min="14726" style="70" width="3.29"/>
    <col collapsed="false" customWidth="true" hidden="false" outlineLevel="0" max="14727" min="14727" style="70" width="8"/>
    <col collapsed="false" customWidth="false" hidden="false" outlineLevel="0" max="14728" min="14728" style="70" width="42.57"/>
    <col collapsed="false" customWidth="true" hidden="false" outlineLevel="0" max="14729" min="14729" style="70" width="3.29"/>
    <col collapsed="false" customWidth="true" hidden="false" outlineLevel="0" max="14730" min="14730" style="70" width="8"/>
    <col collapsed="false" customWidth="false" hidden="false" outlineLevel="0" max="14731" min="14731" style="70" width="42.57"/>
    <col collapsed="false" customWidth="true" hidden="false" outlineLevel="0" max="14732" min="14732" style="70" width="3.29"/>
    <col collapsed="false" customWidth="true" hidden="false" outlineLevel="0" max="14733" min="14733" style="70" width="8"/>
    <col collapsed="false" customWidth="false" hidden="false" outlineLevel="0" max="14734" min="14734" style="70" width="42.57"/>
    <col collapsed="false" customWidth="true" hidden="false" outlineLevel="0" max="14735" min="14735" style="70" width="3.29"/>
    <col collapsed="false" customWidth="true" hidden="false" outlineLevel="0" max="14736" min="14736" style="70" width="8"/>
    <col collapsed="false" customWidth="false" hidden="false" outlineLevel="0" max="14737" min="14737" style="70" width="42.57"/>
    <col collapsed="false" customWidth="true" hidden="false" outlineLevel="0" max="14738" min="14738" style="70" width="3.29"/>
    <col collapsed="false" customWidth="true" hidden="false" outlineLevel="0" max="14739" min="14739" style="70" width="8"/>
    <col collapsed="false" customWidth="false" hidden="false" outlineLevel="0" max="14740" min="14740" style="70" width="42.57"/>
    <col collapsed="false" customWidth="true" hidden="false" outlineLevel="0" max="14741" min="14741" style="70" width="3.29"/>
    <col collapsed="false" customWidth="true" hidden="false" outlineLevel="0" max="14742" min="14742" style="70" width="8"/>
    <col collapsed="false" customWidth="false" hidden="false" outlineLevel="0" max="14743" min="14743" style="70" width="42.57"/>
    <col collapsed="false" customWidth="true" hidden="false" outlineLevel="0" max="14744" min="14744" style="70" width="3.29"/>
    <col collapsed="false" customWidth="true" hidden="false" outlineLevel="0" max="14745" min="14745" style="70" width="8"/>
    <col collapsed="false" customWidth="false" hidden="false" outlineLevel="0" max="14746" min="14746" style="70" width="42.57"/>
    <col collapsed="false" customWidth="true" hidden="false" outlineLevel="0" max="14747" min="14747" style="70" width="3.29"/>
    <col collapsed="false" customWidth="true" hidden="false" outlineLevel="0" max="14748" min="14748" style="70" width="8"/>
    <col collapsed="false" customWidth="false" hidden="false" outlineLevel="0" max="14749" min="14749" style="70" width="42.57"/>
    <col collapsed="false" customWidth="true" hidden="false" outlineLevel="0" max="14750" min="14750" style="70" width="3.29"/>
    <col collapsed="false" customWidth="true" hidden="false" outlineLevel="0" max="14751" min="14751" style="70" width="8"/>
    <col collapsed="false" customWidth="false" hidden="false" outlineLevel="0" max="14752" min="14752" style="70" width="42.57"/>
    <col collapsed="false" customWidth="true" hidden="false" outlineLevel="0" max="14753" min="14753" style="70" width="3.29"/>
    <col collapsed="false" customWidth="true" hidden="false" outlineLevel="0" max="14754" min="14754" style="70" width="8"/>
    <col collapsed="false" customWidth="false" hidden="false" outlineLevel="0" max="14755" min="14755" style="70" width="42.57"/>
    <col collapsed="false" customWidth="true" hidden="false" outlineLevel="0" max="14756" min="14756" style="70" width="3.29"/>
    <col collapsed="false" customWidth="true" hidden="false" outlineLevel="0" max="14757" min="14757" style="70" width="8"/>
    <col collapsed="false" customWidth="false" hidden="false" outlineLevel="0" max="14758" min="14758" style="70" width="42.57"/>
    <col collapsed="false" customWidth="true" hidden="false" outlineLevel="0" max="14759" min="14759" style="70" width="3.29"/>
    <col collapsed="false" customWidth="true" hidden="false" outlineLevel="0" max="14760" min="14760" style="70" width="8"/>
    <col collapsed="false" customWidth="false" hidden="false" outlineLevel="0" max="14761" min="14761" style="70" width="42.57"/>
    <col collapsed="false" customWidth="true" hidden="false" outlineLevel="0" max="14762" min="14762" style="70" width="3.29"/>
    <col collapsed="false" customWidth="true" hidden="false" outlineLevel="0" max="14763" min="14763" style="70" width="8"/>
    <col collapsed="false" customWidth="false" hidden="false" outlineLevel="0" max="14764" min="14764" style="70" width="42.57"/>
    <col collapsed="false" customWidth="true" hidden="false" outlineLevel="0" max="14765" min="14765" style="70" width="3.29"/>
    <col collapsed="false" customWidth="true" hidden="false" outlineLevel="0" max="14766" min="14766" style="70" width="8"/>
    <col collapsed="false" customWidth="false" hidden="false" outlineLevel="0" max="14767" min="14767" style="70" width="42.57"/>
    <col collapsed="false" customWidth="true" hidden="false" outlineLevel="0" max="14768" min="14768" style="70" width="3.29"/>
    <col collapsed="false" customWidth="true" hidden="false" outlineLevel="0" max="14769" min="14769" style="70" width="8"/>
    <col collapsed="false" customWidth="false" hidden="false" outlineLevel="0" max="14770" min="14770" style="70" width="42.57"/>
    <col collapsed="false" customWidth="true" hidden="false" outlineLevel="0" max="14771" min="14771" style="70" width="3.29"/>
    <col collapsed="false" customWidth="true" hidden="false" outlineLevel="0" max="14772" min="14772" style="70" width="8"/>
    <col collapsed="false" customWidth="false" hidden="false" outlineLevel="0" max="14773" min="14773" style="70" width="42.57"/>
    <col collapsed="false" customWidth="true" hidden="false" outlineLevel="0" max="14774" min="14774" style="70" width="3.29"/>
    <col collapsed="false" customWidth="true" hidden="false" outlineLevel="0" max="14775" min="14775" style="70" width="8"/>
    <col collapsed="false" customWidth="false" hidden="false" outlineLevel="0" max="14776" min="14776" style="70" width="42.57"/>
    <col collapsed="false" customWidth="true" hidden="false" outlineLevel="0" max="14777" min="14777" style="70" width="3.29"/>
    <col collapsed="false" customWidth="true" hidden="false" outlineLevel="0" max="14778" min="14778" style="70" width="8"/>
    <col collapsed="false" customWidth="false" hidden="false" outlineLevel="0" max="14779" min="14779" style="70" width="42.57"/>
    <col collapsed="false" customWidth="true" hidden="false" outlineLevel="0" max="14780" min="14780" style="70" width="3.29"/>
    <col collapsed="false" customWidth="true" hidden="false" outlineLevel="0" max="14781" min="14781" style="70" width="8"/>
    <col collapsed="false" customWidth="false" hidden="false" outlineLevel="0" max="14782" min="14782" style="70" width="42.57"/>
    <col collapsed="false" customWidth="true" hidden="false" outlineLevel="0" max="14783" min="14783" style="70" width="3.29"/>
    <col collapsed="false" customWidth="true" hidden="false" outlineLevel="0" max="14784" min="14784" style="70" width="8"/>
    <col collapsed="false" customWidth="false" hidden="false" outlineLevel="0" max="14785" min="14785" style="70" width="42.57"/>
    <col collapsed="false" customWidth="true" hidden="false" outlineLevel="0" max="14786" min="14786" style="70" width="3.29"/>
    <col collapsed="false" customWidth="true" hidden="false" outlineLevel="0" max="14787" min="14787" style="70" width="8"/>
    <col collapsed="false" customWidth="false" hidden="false" outlineLevel="0" max="14788" min="14788" style="70" width="42.57"/>
    <col collapsed="false" customWidth="true" hidden="false" outlineLevel="0" max="14789" min="14789" style="70" width="3.29"/>
    <col collapsed="false" customWidth="true" hidden="false" outlineLevel="0" max="14790" min="14790" style="70" width="8"/>
    <col collapsed="false" customWidth="false" hidden="false" outlineLevel="0" max="14791" min="14791" style="70" width="42.57"/>
    <col collapsed="false" customWidth="true" hidden="false" outlineLevel="0" max="14792" min="14792" style="70" width="3.29"/>
    <col collapsed="false" customWidth="true" hidden="false" outlineLevel="0" max="14793" min="14793" style="70" width="8"/>
    <col collapsed="false" customWidth="false" hidden="false" outlineLevel="0" max="14794" min="14794" style="70" width="42.57"/>
    <col collapsed="false" customWidth="true" hidden="false" outlineLevel="0" max="14795" min="14795" style="70" width="3.29"/>
    <col collapsed="false" customWidth="true" hidden="false" outlineLevel="0" max="14796" min="14796" style="70" width="8"/>
    <col collapsed="false" customWidth="false" hidden="false" outlineLevel="0" max="14797" min="14797" style="70" width="42.57"/>
    <col collapsed="false" customWidth="true" hidden="false" outlineLevel="0" max="14798" min="14798" style="70" width="3.29"/>
    <col collapsed="false" customWidth="true" hidden="false" outlineLevel="0" max="14799" min="14799" style="70" width="8"/>
    <col collapsed="false" customWidth="false" hidden="false" outlineLevel="0" max="14800" min="14800" style="70" width="42.57"/>
    <col collapsed="false" customWidth="true" hidden="false" outlineLevel="0" max="14801" min="14801" style="70" width="3.29"/>
    <col collapsed="false" customWidth="true" hidden="false" outlineLevel="0" max="14802" min="14802" style="70" width="8"/>
    <col collapsed="false" customWidth="false" hidden="false" outlineLevel="0" max="14803" min="14803" style="70" width="42.57"/>
    <col collapsed="false" customWidth="true" hidden="false" outlineLevel="0" max="14804" min="14804" style="70" width="3.29"/>
    <col collapsed="false" customWidth="true" hidden="false" outlineLevel="0" max="14805" min="14805" style="70" width="8"/>
    <col collapsed="false" customWidth="false" hidden="false" outlineLevel="0" max="14806" min="14806" style="70" width="42.57"/>
    <col collapsed="false" customWidth="true" hidden="false" outlineLevel="0" max="14807" min="14807" style="70" width="3.29"/>
    <col collapsed="false" customWidth="true" hidden="false" outlineLevel="0" max="14808" min="14808" style="70" width="8"/>
    <col collapsed="false" customWidth="false" hidden="false" outlineLevel="0" max="14809" min="14809" style="70" width="42.57"/>
    <col collapsed="false" customWidth="true" hidden="false" outlineLevel="0" max="14810" min="14810" style="70" width="3.29"/>
    <col collapsed="false" customWidth="true" hidden="false" outlineLevel="0" max="14811" min="14811" style="70" width="8"/>
    <col collapsed="false" customWidth="false" hidden="false" outlineLevel="0" max="14812" min="14812" style="70" width="42.57"/>
    <col collapsed="false" customWidth="true" hidden="false" outlineLevel="0" max="14813" min="14813" style="70" width="3.29"/>
    <col collapsed="false" customWidth="true" hidden="false" outlineLevel="0" max="14814" min="14814" style="70" width="8"/>
    <col collapsed="false" customWidth="false" hidden="false" outlineLevel="0" max="14815" min="14815" style="70" width="42.57"/>
    <col collapsed="false" customWidth="true" hidden="false" outlineLevel="0" max="14816" min="14816" style="70" width="3.29"/>
    <col collapsed="false" customWidth="true" hidden="false" outlineLevel="0" max="14817" min="14817" style="70" width="8"/>
    <col collapsed="false" customWidth="false" hidden="false" outlineLevel="0" max="14818" min="14818" style="70" width="42.57"/>
    <col collapsed="false" customWidth="true" hidden="false" outlineLevel="0" max="14819" min="14819" style="70" width="3.29"/>
    <col collapsed="false" customWidth="true" hidden="false" outlineLevel="0" max="14820" min="14820" style="70" width="8"/>
    <col collapsed="false" customWidth="false" hidden="false" outlineLevel="0" max="14821" min="14821" style="70" width="42.57"/>
    <col collapsed="false" customWidth="true" hidden="false" outlineLevel="0" max="14822" min="14822" style="70" width="3.29"/>
    <col collapsed="false" customWidth="true" hidden="false" outlineLevel="0" max="14823" min="14823" style="70" width="8"/>
    <col collapsed="false" customWidth="false" hidden="false" outlineLevel="0" max="14824" min="14824" style="70" width="42.57"/>
    <col collapsed="false" customWidth="true" hidden="false" outlineLevel="0" max="14825" min="14825" style="70" width="3.29"/>
    <col collapsed="false" customWidth="true" hidden="false" outlineLevel="0" max="14826" min="14826" style="70" width="8"/>
    <col collapsed="false" customWidth="false" hidden="false" outlineLevel="0" max="14827" min="14827" style="70" width="42.57"/>
    <col collapsed="false" customWidth="true" hidden="false" outlineLevel="0" max="14828" min="14828" style="70" width="3.29"/>
    <col collapsed="false" customWidth="true" hidden="false" outlineLevel="0" max="14829" min="14829" style="70" width="8"/>
    <col collapsed="false" customWidth="false" hidden="false" outlineLevel="0" max="14830" min="14830" style="70" width="42.57"/>
    <col collapsed="false" customWidth="true" hidden="false" outlineLevel="0" max="14831" min="14831" style="70" width="3.29"/>
    <col collapsed="false" customWidth="true" hidden="false" outlineLevel="0" max="14832" min="14832" style="70" width="8"/>
    <col collapsed="false" customWidth="false" hidden="false" outlineLevel="0" max="14833" min="14833" style="70" width="42.57"/>
    <col collapsed="false" customWidth="true" hidden="false" outlineLevel="0" max="14834" min="14834" style="70" width="3.29"/>
    <col collapsed="false" customWidth="true" hidden="false" outlineLevel="0" max="14835" min="14835" style="70" width="8"/>
    <col collapsed="false" customWidth="false" hidden="false" outlineLevel="0" max="14836" min="14836" style="70" width="42.57"/>
    <col collapsed="false" customWidth="true" hidden="false" outlineLevel="0" max="14837" min="14837" style="70" width="3.29"/>
    <col collapsed="false" customWidth="true" hidden="false" outlineLevel="0" max="14838" min="14838" style="70" width="8"/>
    <col collapsed="false" customWidth="false" hidden="false" outlineLevel="0" max="14839" min="14839" style="70" width="42.57"/>
    <col collapsed="false" customWidth="true" hidden="false" outlineLevel="0" max="14840" min="14840" style="70" width="3.29"/>
    <col collapsed="false" customWidth="true" hidden="false" outlineLevel="0" max="14841" min="14841" style="70" width="8"/>
    <col collapsed="false" customWidth="false" hidden="false" outlineLevel="0" max="14842" min="14842" style="70" width="42.57"/>
    <col collapsed="false" customWidth="true" hidden="false" outlineLevel="0" max="14843" min="14843" style="70" width="3.29"/>
    <col collapsed="false" customWidth="true" hidden="false" outlineLevel="0" max="14844" min="14844" style="70" width="8"/>
    <col collapsed="false" customWidth="false" hidden="false" outlineLevel="0" max="14845" min="14845" style="70" width="42.57"/>
    <col collapsed="false" customWidth="true" hidden="false" outlineLevel="0" max="14846" min="14846" style="70" width="3.29"/>
    <col collapsed="false" customWidth="true" hidden="false" outlineLevel="0" max="14847" min="14847" style="70" width="8"/>
    <col collapsed="false" customWidth="false" hidden="false" outlineLevel="0" max="14848" min="14848" style="70" width="42.57"/>
    <col collapsed="false" customWidth="true" hidden="false" outlineLevel="0" max="14849" min="14849" style="70" width="3.29"/>
    <col collapsed="false" customWidth="true" hidden="false" outlineLevel="0" max="14850" min="14850" style="70" width="8"/>
    <col collapsed="false" customWidth="false" hidden="false" outlineLevel="0" max="14851" min="14851" style="70" width="42.57"/>
    <col collapsed="false" customWidth="true" hidden="false" outlineLevel="0" max="14852" min="14852" style="70" width="3.29"/>
    <col collapsed="false" customWidth="true" hidden="false" outlineLevel="0" max="14853" min="14853" style="70" width="8"/>
    <col collapsed="false" customWidth="false" hidden="false" outlineLevel="0" max="14854" min="14854" style="70" width="42.57"/>
    <col collapsed="false" customWidth="true" hidden="false" outlineLevel="0" max="14855" min="14855" style="70" width="3.29"/>
    <col collapsed="false" customWidth="true" hidden="false" outlineLevel="0" max="14856" min="14856" style="70" width="8"/>
    <col collapsed="false" customWidth="false" hidden="false" outlineLevel="0" max="14857" min="14857" style="70" width="42.57"/>
    <col collapsed="false" customWidth="true" hidden="false" outlineLevel="0" max="14858" min="14858" style="70" width="3.29"/>
    <col collapsed="false" customWidth="true" hidden="false" outlineLevel="0" max="14859" min="14859" style="70" width="8"/>
    <col collapsed="false" customWidth="false" hidden="false" outlineLevel="0" max="14860" min="14860" style="70" width="42.57"/>
    <col collapsed="false" customWidth="true" hidden="false" outlineLevel="0" max="14861" min="14861" style="70" width="3.29"/>
    <col collapsed="false" customWidth="true" hidden="false" outlineLevel="0" max="14862" min="14862" style="70" width="8"/>
    <col collapsed="false" customWidth="false" hidden="false" outlineLevel="0" max="14863" min="14863" style="70" width="42.57"/>
    <col collapsed="false" customWidth="true" hidden="false" outlineLevel="0" max="14864" min="14864" style="70" width="3.29"/>
    <col collapsed="false" customWidth="true" hidden="false" outlineLevel="0" max="14865" min="14865" style="70" width="8"/>
    <col collapsed="false" customWidth="false" hidden="false" outlineLevel="0" max="14866" min="14866" style="70" width="42.57"/>
    <col collapsed="false" customWidth="true" hidden="false" outlineLevel="0" max="14867" min="14867" style="70" width="3.29"/>
    <col collapsed="false" customWidth="true" hidden="false" outlineLevel="0" max="14868" min="14868" style="70" width="8"/>
    <col collapsed="false" customWidth="false" hidden="false" outlineLevel="0" max="14869" min="14869" style="70" width="42.57"/>
    <col collapsed="false" customWidth="true" hidden="false" outlineLevel="0" max="14870" min="14870" style="70" width="3.29"/>
    <col collapsed="false" customWidth="true" hidden="false" outlineLevel="0" max="14871" min="14871" style="70" width="8"/>
    <col collapsed="false" customWidth="false" hidden="false" outlineLevel="0" max="14872" min="14872" style="70" width="42.57"/>
    <col collapsed="false" customWidth="true" hidden="false" outlineLevel="0" max="14873" min="14873" style="70" width="3.29"/>
    <col collapsed="false" customWidth="true" hidden="false" outlineLevel="0" max="14874" min="14874" style="70" width="8"/>
    <col collapsed="false" customWidth="false" hidden="false" outlineLevel="0" max="14875" min="14875" style="70" width="42.57"/>
    <col collapsed="false" customWidth="true" hidden="false" outlineLevel="0" max="14876" min="14876" style="70" width="3.29"/>
    <col collapsed="false" customWidth="true" hidden="false" outlineLevel="0" max="14877" min="14877" style="70" width="8"/>
    <col collapsed="false" customWidth="false" hidden="false" outlineLevel="0" max="14878" min="14878" style="70" width="42.57"/>
    <col collapsed="false" customWidth="true" hidden="false" outlineLevel="0" max="14879" min="14879" style="70" width="3.29"/>
    <col collapsed="false" customWidth="true" hidden="false" outlineLevel="0" max="14880" min="14880" style="70" width="8"/>
    <col collapsed="false" customWidth="false" hidden="false" outlineLevel="0" max="14881" min="14881" style="70" width="42.57"/>
    <col collapsed="false" customWidth="true" hidden="false" outlineLevel="0" max="14882" min="14882" style="70" width="3.29"/>
    <col collapsed="false" customWidth="true" hidden="false" outlineLevel="0" max="14883" min="14883" style="70" width="8"/>
    <col collapsed="false" customWidth="false" hidden="false" outlineLevel="0" max="14884" min="14884" style="70" width="42.57"/>
    <col collapsed="false" customWidth="true" hidden="false" outlineLevel="0" max="14885" min="14885" style="70" width="3.29"/>
    <col collapsed="false" customWidth="true" hidden="false" outlineLevel="0" max="14886" min="14886" style="70" width="8"/>
    <col collapsed="false" customWidth="false" hidden="false" outlineLevel="0" max="14887" min="14887" style="70" width="42.57"/>
    <col collapsed="false" customWidth="true" hidden="false" outlineLevel="0" max="14888" min="14888" style="70" width="3.29"/>
    <col collapsed="false" customWidth="true" hidden="false" outlineLevel="0" max="14889" min="14889" style="70" width="8"/>
    <col collapsed="false" customWidth="false" hidden="false" outlineLevel="0" max="14890" min="14890" style="70" width="42.57"/>
    <col collapsed="false" customWidth="true" hidden="false" outlineLevel="0" max="14891" min="14891" style="70" width="3.29"/>
    <col collapsed="false" customWidth="true" hidden="false" outlineLevel="0" max="14892" min="14892" style="70" width="8"/>
    <col collapsed="false" customWidth="false" hidden="false" outlineLevel="0" max="14893" min="14893" style="70" width="42.57"/>
    <col collapsed="false" customWidth="true" hidden="false" outlineLevel="0" max="14894" min="14894" style="70" width="3.29"/>
    <col collapsed="false" customWidth="true" hidden="false" outlineLevel="0" max="14895" min="14895" style="70" width="8"/>
    <col collapsed="false" customWidth="false" hidden="false" outlineLevel="0" max="14896" min="14896" style="70" width="42.57"/>
    <col collapsed="false" customWidth="true" hidden="false" outlineLevel="0" max="14897" min="14897" style="70" width="3.29"/>
    <col collapsed="false" customWidth="true" hidden="false" outlineLevel="0" max="14898" min="14898" style="70" width="8"/>
    <col collapsed="false" customWidth="false" hidden="false" outlineLevel="0" max="14899" min="14899" style="70" width="42.57"/>
    <col collapsed="false" customWidth="true" hidden="false" outlineLevel="0" max="14900" min="14900" style="70" width="3.29"/>
    <col collapsed="false" customWidth="true" hidden="false" outlineLevel="0" max="14901" min="14901" style="70" width="8"/>
    <col collapsed="false" customWidth="false" hidden="false" outlineLevel="0" max="14902" min="14902" style="70" width="42.57"/>
    <col collapsed="false" customWidth="true" hidden="false" outlineLevel="0" max="14903" min="14903" style="70" width="3.29"/>
    <col collapsed="false" customWidth="true" hidden="false" outlineLevel="0" max="14904" min="14904" style="70" width="8"/>
    <col collapsed="false" customWidth="false" hidden="false" outlineLevel="0" max="14905" min="14905" style="70" width="42.57"/>
    <col collapsed="false" customWidth="true" hidden="false" outlineLevel="0" max="14906" min="14906" style="70" width="3.29"/>
    <col collapsed="false" customWidth="true" hidden="false" outlineLevel="0" max="14907" min="14907" style="70" width="8"/>
    <col collapsed="false" customWidth="false" hidden="false" outlineLevel="0" max="14908" min="14908" style="70" width="42.57"/>
    <col collapsed="false" customWidth="true" hidden="false" outlineLevel="0" max="14909" min="14909" style="70" width="3.29"/>
    <col collapsed="false" customWidth="true" hidden="false" outlineLevel="0" max="14910" min="14910" style="70" width="8"/>
    <col collapsed="false" customWidth="false" hidden="false" outlineLevel="0" max="14911" min="14911" style="70" width="42.57"/>
    <col collapsed="false" customWidth="true" hidden="false" outlineLevel="0" max="14912" min="14912" style="70" width="3.29"/>
    <col collapsed="false" customWidth="true" hidden="false" outlineLevel="0" max="14913" min="14913" style="70" width="8"/>
    <col collapsed="false" customWidth="false" hidden="false" outlineLevel="0" max="14914" min="14914" style="70" width="42.57"/>
    <col collapsed="false" customWidth="true" hidden="false" outlineLevel="0" max="14915" min="14915" style="70" width="3.29"/>
    <col collapsed="false" customWidth="true" hidden="false" outlineLevel="0" max="14916" min="14916" style="70" width="8"/>
    <col collapsed="false" customWidth="false" hidden="false" outlineLevel="0" max="14917" min="14917" style="70" width="42.57"/>
    <col collapsed="false" customWidth="true" hidden="false" outlineLevel="0" max="14918" min="14918" style="70" width="3.29"/>
    <col collapsed="false" customWidth="true" hidden="false" outlineLevel="0" max="14919" min="14919" style="70" width="8"/>
    <col collapsed="false" customWidth="false" hidden="false" outlineLevel="0" max="14920" min="14920" style="70" width="42.57"/>
    <col collapsed="false" customWidth="true" hidden="false" outlineLevel="0" max="14921" min="14921" style="70" width="3.29"/>
    <col collapsed="false" customWidth="true" hidden="false" outlineLevel="0" max="14922" min="14922" style="70" width="8"/>
    <col collapsed="false" customWidth="false" hidden="false" outlineLevel="0" max="14923" min="14923" style="70" width="42.57"/>
    <col collapsed="false" customWidth="true" hidden="false" outlineLevel="0" max="14924" min="14924" style="70" width="3.29"/>
    <col collapsed="false" customWidth="true" hidden="false" outlineLevel="0" max="14925" min="14925" style="70" width="8"/>
    <col collapsed="false" customWidth="false" hidden="false" outlineLevel="0" max="14926" min="14926" style="70" width="42.57"/>
    <col collapsed="false" customWidth="true" hidden="false" outlineLevel="0" max="14927" min="14927" style="70" width="3.29"/>
    <col collapsed="false" customWidth="true" hidden="false" outlineLevel="0" max="14928" min="14928" style="70" width="8"/>
    <col collapsed="false" customWidth="false" hidden="false" outlineLevel="0" max="14929" min="14929" style="70" width="42.57"/>
    <col collapsed="false" customWidth="true" hidden="false" outlineLevel="0" max="14930" min="14930" style="70" width="3.29"/>
    <col collapsed="false" customWidth="true" hidden="false" outlineLevel="0" max="14931" min="14931" style="70" width="8"/>
    <col collapsed="false" customWidth="false" hidden="false" outlineLevel="0" max="14932" min="14932" style="70" width="42.57"/>
    <col collapsed="false" customWidth="true" hidden="false" outlineLevel="0" max="14933" min="14933" style="70" width="3.29"/>
    <col collapsed="false" customWidth="true" hidden="false" outlineLevel="0" max="14934" min="14934" style="70" width="8"/>
    <col collapsed="false" customWidth="false" hidden="false" outlineLevel="0" max="14935" min="14935" style="70" width="42.57"/>
    <col collapsed="false" customWidth="true" hidden="false" outlineLevel="0" max="14936" min="14936" style="70" width="3.29"/>
    <col collapsed="false" customWidth="true" hidden="false" outlineLevel="0" max="14937" min="14937" style="70" width="8"/>
    <col collapsed="false" customWidth="false" hidden="false" outlineLevel="0" max="14938" min="14938" style="70" width="42.57"/>
    <col collapsed="false" customWidth="true" hidden="false" outlineLevel="0" max="14939" min="14939" style="70" width="3.29"/>
    <col collapsed="false" customWidth="true" hidden="false" outlineLevel="0" max="14940" min="14940" style="70" width="8"/>
    <col collapsed="false" customWidth="false" hidden="false" outlineLevel="0" max="14941" min="14941" style="70" width="42.57"/>
    <col collapsed="false" customWidth="true" hidden="false" outlineLevel="0" max="14942" min="14942" style="70" width="3.29"/>
    <col collapsed="false" customWidth="true" hidden="false" outlineLevel="0" max="14943" min="14943" style="70" width="8"/>
    <col collapsed="false" customWidth="false" hidden="false" outlineLevel="0" max="14944" min="14944" style="70" width="42.57"/>
    <col collapsed="false" customWidth="true" hidden="false" outlineLevel="0" max="14945" min="14945" style="70" width="3.29"/>
    <col collapsed="false" customWidth="true" hidden="false" outlineLevel="0" max="14946" min="14946" style="70" width="8"/>
    <col collapsed="false" customWidth="false" hidden="false" outlineLevel="0" max="14947" min="14947" style="70" width="42.57"/>
    <col collapsed="false" customWidth="true" hidden="false" outlineLevel="0" max="14948" min="14948" style="70" width="3.29"/>
    <col collapsed="false" customWidth="true" hidden="false" outlineLevel="0" max="14949" min="14949" style="70" width="8"/>
    <col collapsed="false" customWidth="false" hidden="false" outlineLevel="0" max="14950" min="14950" style="70" width="42.57"/>
    <col collapsed="false" customWidth="true" hidden="false" outlineLevel="0" max="14951" min="14951" style="70" width="3.29"/>
    <col collapsed="false" customWidth="true" hidden="false" outlineLevel="0" max="14952" min="14952" style="70" width="8"/>
    <col collapsed="false" customWidth="false" hidden="false" outlineLevel="0" max="14953" min="14953" style="70" width="42.57"/>
    <col collapsed="false" customWidth="true" hidden="false" outlineLevel="0" max="14954" min="14954" style="70" width="3.29"/>
    <col collapsed="false" customWidth="true" hidden="false" outlineLevel="0" max="14955" min="14955" style="70" width="8"/>
    <col collapsed="false" customWidth="false" hidden="false" outlineLevel="0" max="14956" min="14956" style="70" width="42.57"/>
    <col collapsed="false" customWidth="true" hidden="false" outlineLevel="0" max="14957" min="14957" style="70" width="3.29"/>
    <col collapsed="false" customWidth="true" hidden="false" outlineLevel="0" max="14958" min="14958" style="70" width="8"/>
    <col collapsed="false" customWidth="false" hidden="false" outlineLevel="0" max="14959" min="14959" style="70" width="42.57"/>
    <col collapsed="false" customWidth="true" hidden="false" outlineLevel="0" max="14960" min="14960" style="70" width="3.29"/>
    <col collapsed="false" customWidth="true" hidden="false" outlineLevel="0" max="14961" min="14961" style="70" width="8"/>
    <col collapsed="false" customWidth="false" hidden="false" outlineLevel="0" max="14962" min="14962" style="70" width="42.57"/>
    <col collapsed="false" customWidth="true" hidden="false" outlineLevel="0" max="14963" min="14963" style="70" width="3.29"/>
    <col collapsed="false" customWidth="true" hidden="false" outlineLevel="0" max="14964" min="14964" style="70" width="8"/>
    <col collapsed="false" customWidth="false" hidden="false" outlineLevel="0" max="14965" min="14965" style="70" width="42.57"/>
    <col collapsed="false" customWidth="true" hidden="false" outlineLevel="0" max="14966" min="14966" style="70" width="3.29"/>
    <col collapsed="false" customWidth="true" hidden="false" outlineLevel="0" max="14967" min="14967" style="70" width="8"/>
    <col collapsed="false" customWidth="false" hidden="false" outlineLevel="0" max="14968" min="14968" style="70" width="42.57"/>
    <col collapsed="false" customWidth="true" hidden="false" outlineLevel="0" max="14969" min="14969" style="70" width="3.29"/>
    <col collapsed="false" customWidth="true" hidden="false" outlineLevel="0" max="14970" min="14970" style="70" width="8"/>
    <col collapsed="false" customWidth="false" hidden="false" outlineLevel="0" max="14971" min="14971" style="70" width="42.57"/>
    <col collapsed="false" customWidth="true" hidden="false" outlineLevel="0" max="14972" min="14972" style="70" width="3.29"/>
    <col collapsed="false" customWidth="true" hidden="false" outlineLevel="0" max="14973" min="14973" style="70" width="8"/>
    <col collapsed="false" customWidth="false" hidden="false" outlineLevel="0" max="14974" min="14974" style="70" width="42.57"/>
    <col collapsed="false" customWidth="true" hidden="false" outlineLevel="0" max="14975" min="14975" style="70" width="3.29"/>
    <col collapsed="false" customWidth="true" hidden="false" outlineLevel="0" max="14976" min="14976" style="70" width="8"/>
    <col collapsed="false" customWidth="false" hidden="false" outlineLevel="0" max="14977" min="14977" style="70" width="42.57"/>
    <col collapsed="false" customWidth="true" hidden="false" outlineLevel="0" max="14978" min="14978" style="70" width="3.29"/>
    <col collapsed="false" customWidth="true" hidden="false" outlineLevel="0" max="14979" min="14979" style="70" width="8"/>
    <col collapsed="false" customWidth="false" hidden="false" outlineLevel="0" max="14980" min="14980" style="70" width="42.57"/>
    <col collapsed="false" customWidth="true" hidden="false" outlineLevel="0" max="14981" min="14981" style="70" width="3.29"/>
    <col collapsed="false" customWidth="true" hidden="false" outlineLevel="0" max="14982" min="14982" style="70" width="8"/>
    <col collapsed="false" customWidth="false" hidden="false" outlineLevel="0" max="14983" min="14983" style="70" width="42.57"/>
    <col collapsed="false" customWidth="true" hidden="false" outlineLevel="0" max="14984" min="14984" style="70" width="3.29"/>
    <col collapsed="false" customWidth="true" hidden="false" outlineLevel="0" max="14985" min="14985" style="70" width="8"/>
    <col collapsed="false" customWidth="false" hidden="false" outlineLevel="0" max="14986" min="14986" style="70" width="42.57"/>
    <col collapsed="false" customWidth="true" hidden="false" outlineLevel="0" max="14987" min="14987" style="70" width="3.29"/>
    <col collapsed="false" customWidth="true" hidden="false" outlineLevel="0" max="14988" min="14988" style="70" width="8"/>
    <col collapsed="false" customWidth="false" hidden="false" outlineLevel="0" max="14989" min="14989" style="70" width="42.57"/>
    <col collapsed="false" customWidth="true" hidden="false" outlineLevel="0" max="14990" min="14990" style="70" width="3.29"/>
    <col collapsed="false" customWidth="true" hidden="false" outlineLevel="0" max="14991" min="14991" style="70" width="8"/>
    <col collapsed="false" customWidth="false" hidden="false" outlineLevel="0" max="14992" min="14992" style="70" width="42.57"/>
    <col collapsed="false" customWidth="true" hidden="false" outlineLevel="0" max="14993" min="14993" style="70" width="3.29"/>
    <col collapsed="false" customWidth="true" hidden="false" outlineLevel="0" max="14994" min="14994" style="70" width="8"/>
    <col collapsed="false" customWidth="false" hidden="false" outlineLevel="0" max="14995" min="14995" style="70" width="42.57"/>
    <col collapsed="false" customWidth="true" hidden="false" outlineLevel="0" max="14996" min="14996" style="70" width="3.29"/>
    <col collapsed="false" customWidth="true" hidden="false" outlineLevel="0" max="14997" min="14997" style="70" width="8"/>
    <col collapsed="false" customWidth="false" hidden="false" outlineLevel="0" max="14998" min="14998" style="70" width="42.57"/>
    <col collapsed="false" customWidth="true" hidden="false" outlineLevel="0" max="14999" min="14999" style="70" width="3.29"/>
    <col collapsed="false" customWidth="true" hidden="false" outlineLevel="0" max="15000" min="15000" style="70" width="8"/>
    <col collapsed="false" customWidth="false" hidden="false" outlineLevel="0" max="15001" min="15001" style="70" width="42.57"/>
    <col collapsed="false" customWidth="true" hidden="false" outlineLevel="0" max="15002" min="15002" style="70" width="3.29"/>
    <col collapsed="false" customWidth="true" hidden="false" outlineLevel="0" max="15003" min="15003" style="70" width="8"/>
    <col collapsed="false" customWidth="false" hidden="false" outlineLevel="0" max="15004" min="15004" style="70" width="42.57"/>
    <col collapsed="false" customWidth="true" hidden="false" outlineLevel="0" max="15005" min="15005" style="70" width="3.29"/>
    <col collapsed="false" customWidth="true" hidden="false" outlineLevel="0" max="15006" min="15006" style="70" width="8"/>
    <col collapsed="false" customWidth="false" hidden="false" outlineLevel="0" max="15007" min="15007" style="70" width="42.57"/>
    <col collapsed="false" customWidth="true" hidden="false" outlineLevel="0" max="15008" min="15008" style="70" width="3.29"/>
    <col collapsed="false" customWidth="true" hidden="false" outlineLevel="0" max="15009" min="15009" style="70" width="8"/>
    <col collapsed="false" customWidth="false" hidden="false" outlineLevel="0" max="15010" min="15010" style="70" width="42.57"/>
    <col collapsed="false" customWidth="true" hidden="false" outlineLevel="0" max="15011" min="15011" style="70" width="3.29"/>
    <col collapsed="false" customWidth="true" hidden="false" outlineLevel="0" max="15012" min="15012" style="70" width="8"/>
    <col collapsed="false" customWidth="false" hidden="false" outlineLevel="0" max="15013" min="15013" style="70" width="42.57"/>
    <col collapsed="false" customWidth="true" hidden="false" outlineLevel="0" max="15014" min="15014" style="70" width="3.29"/>
    <col collapsed="false" customWidth="true" hidden="false" outlineLevel="0" max="15015" min="15015" style="70" width="8"/>
    <col collapsed="false" customWidth="false" hidden="false" outlineLevel="0" max="15016" min="15016" style="70" width="42.57"/>
    <col collapsed="false" customWidth="true" hidden="false" outlineLevel="0" max="15017" min="15017" style="70" width="3.29"/>
    <col collapsed="false" customWidth="true" hidden="false" outlineLevel="0" max="15018" min="15018" style="70" width="8"/>
    <col collapsed="false" customWidth="false" hidden="false" outlineLevel="0" max="15019" min="15019" style="70" width="42.57"/>
    <col collapsed="false" customWidth="true" hidden="false" outlineLevel="0" max="15020" min="15020" style="70" width="3.29"/>
    <col collapsed="false" customWidth="true" hidden="false" outlineLevel="0" max="15021" min="15021" style="70" width="8"/>
    <col collapsed="false" customWidth="false" hidden="false" outlineLevel="0" max="15022" min="15022" style="70" width="42.57"/>
    <col collapsed="false" customWidth="true" hidden="false" outlineLevel="0" max="15023" min="15023" style="70" width="3.29"/>
    <col collapsed="false" customWidth="true" hidden="false" outlineLevel="0" max="15024" min="15024" style="70" width="8"/>
    <col collapsed="false" customWidth="false" hidden="false" outlineLevel="0" max="15025" min="15025" style="70" width="42.57"/>
    <col collapsed="false" customWidth="true" hidden="false" outlineLevel="0" max="15026" min="15026" style="70" width="3.29"/>
    <col collapsed="false" customWidth="true" hidden="false" outlineLevel="0" max="15027" min="15027" style="70" width="8"/>
    <col collapsed="false" customWidth="false" hidden="false" outlineLevel="0" max="15028" min="15028" style="70" width="42.57"/>
    <col collapsed="false" customWidth="true" hidden="false" outlineLevel="0" max="15029" min="15029" style="70" width="3.29"/>
    <col collapsed="false" customWidth="true" hidden="false" outlineLevel="0" max="15030" min="15030" style="70" width="8"/>
    <col collapsed="false" customWidth="false" hidden="false" outlineLevel="0" max="15031" min="15031" style="70" width="42.57"/>
    <col collapsed="false" customWidth="true" hidden="false" outlineLevel="0" max="15032" min="15032" style="70" width="3.29"/>
    <col collapsed="false" customWidth="true" hidden="false" outlineLevel="0" max="15033" min="15033" style="70" width="8"/>
    <col collapsed="false" customWidth="false" hidden="false" outlineLevel="0" max="15034" min="15034" style="70" width="42.57"/>
    <col collapsed="false" customWidth="true" hidden="false" outlineLevel="0" max="15035" min="15035" style="70" width="3.29"/>
    <col collapsed="false" customWidth="true" hidden="false" outlineLevel="0" max="15036" min="15036" style="70" width="8"/>
    <col collapsed="false" customWidth="false" hidden="false" outlineLevel="0" max="15037" min="15037" style="70" width="42.57"/>
    <col collapsed="false" customWidth="true" hidden="false" outlineLevel="0" max="15038" min="15038" style="70" width="3.29"/>
    <col collapsed="false" customWidth="true" hidden="false" outlineLevel="0" max="15039" min="15039" style="70" width="8"/>
    <col collapsed="false" customWidth="false" hidden="false" outlineLevel="0" max="15040" min="15040" style="70" width="42.57"/>
    <col collapsed="false" customWidth="true" hidden="false" outlineLevel="0" max="15041" min="15041" style="70" width="3.29"/>
    <col collapsed="false" customWidth="true" hidden="false" outlineLevel="0" max="15042" min="15042" style="70" width="8"/>
    <col collapsed="false" customWidth="false" hidden="false" outlineLevel="0" max="15043" min="15043" style="70" width="42.57"/>
    <col collapsed="false" customWidth="true" hidden="false" outlineLevel="0" max="15044" min="15044" style="70" width="3.29"/>
    <col collapsed="false" customWidth="true" hidden="false" outlineLevel="0" max="15045" min="15045" style="70" width="8"/>
    <col collapsed="false" customWidth="false" hidden="false" outlineLevel="0" max="15046" min="15046" style="70" width="42.57"/>
    <col collapsed="false" customWidth="true" hidden="false" outlineLevel="0" max="15047" min="15047" style="70" width="3.29"/>
    <col collapsed="false" customWidth="true" hidden="false" outlineLevel="0" max="15048" min="15048" style="70" width="8"/>
    <col collapsed="false" customWidth="false" hidden="false" outlineLevel="0" max="15049" min="15049" style="70" width="42.57"/>
    <col collapsed="false" customWidth="true" hidden="false" outlineLevel="0" max="15050" min="15050" style="70" width="3.29"/>
    <col collapsed="false" customWidth="true" hidden="false" outlineLevel="0" max="15051" min="15051" style="70" width="8"/>
    <col collapsed="false" customWidth="false" hidden="false" outlineLevel="0" max="15052" min="15052" style="70" width="42.57"/>
    <col collapsed="false" customWidth="true" hidden="false" outlineLevel="0" max="15053" min="15053" style="70" width="3.29"/>
    <col collapsed="false" customWidth="true" hidden="false" outlineLevel="0" max="15054" min="15054" style="70" width="8"/>
    <col collapsed="false" customWidth="false" hidden="false" outlineLevel="0" max="15055" min="15055" style="70" width="42.57"/>
    <col collapsed="false" customWidth="true" hidden="false" outlineLevel="0" max="15056" min="15056" style="70" width="3.29"/>
    <col collapsed="false" customWidth="true" hidden="false" outlineLevel="0" max="15057" min="15057" style="70" width="8"/>
    <col collapsed="false" customWidth="false" hidden="false" outlineLevel="0" max="15058" min="15058" style="70" width="42.57"/>
    <col collapsed="false" customWidth="true" hidden="false" outlineLevel="0" max="15059" min="15059" style="70" width="3.29"/>
    <col collapsed="false" customWidth="true" hidden="false" outlineLevel="0" max="15060" min="15060" style="70" width="8"/>
    <col collapsed="false" customWidth="false" hidden="false" outlineLevel="0" max="15061" min="15061" style="70" width="42.57"/>
    <col collapsed="false" customWidth="true" hidden="false" outlineLevel="0" max="15062" min="15062" style="70" width="3.29"/>
    <col collapsed="false" customWidth="true" hidden="false" outlineLevel="0" max="15063" min="15063" style="70" width="8"/>
    <col collapsed="false" customWidth="false" hidden="false" outlineLevel="0" max="15064" min="15064" style="70" width="42.57"/>
    <col collapsed="false" customWidth="true" hidden="false" outlineLevel="0" max="15065" min="15065" style="70" width="3.29"/>
    <col collapsed="false" customWidth="true" hidden="false" outlineLevel="0" max="15066" min="15066" style="70" width="8"/>
    <col collapsed="false" customWidth="false" hidden="false" outlineLevel="0" max="15067" min="15067" style="70" width="42.57"/>
    <col collapsed="false" customWidth="true" hidden="false" outlineLevel="0" max="15068" min="15068" style="70" width="3.29"/>
    <col collapsed="false" customWidth="true" hidden="false" outlineLevel="0" max="15069" min="15069" style="70" width="8"/>
    <col collapsed="false" customWidth="false" hidden="false" outlineLevel="0" max="15070" min="15070" style="70" width="42.57"/>
    <col collapsed="false" customWidth="true" hidden="false" outlineLevel="0" max="15071" min="15071" style="70" width="3.29"/>
    <col collapsed="false" customWidth="true" hidden="false" outlineLevel="0" max="15072" min="15072" style="70" width="8"/>
    <col collapsed="false" customWidth="false" hidden="false" outlineLevel="0" max="15073" min="15073" style="70" width="42.57"/>
    <col collapsed="false" customWidth="true" hidden="false" outlineLevel="0" max="15074" min="15074" style="70" width="3.29"/>
    <col collapsed="false" customWidth="true" hidden="false" outlineLevel="0" max="15075" min="15075" style="70" width="8"/>
    <col collapsed="false" customWidth="false" hidden="false" outlineLevel="0" max="15076" min="15076" style="70" width="42.57"/>
    <col collapsed="false" customWidth="true" hidden="false" outlineLevel="0" max="15077" min="15077" style="70" width="3.29"/>
    <col collapsed="false" customWidth="true" hidden="false" outlineLevel="0" max="15078" min="15078" style="70" width="8"/>
    <col collapsed="false" customWidth="false" hidden="false" outlineLevel="0" max="15079" min="15079" style="70" width="42.57"/>
    <col collapsed="false" customWidth="true" hidden="false" outlineLevel="0" max="15080" min="15080" style="70" width="3.29"/>
    <col collapsed="false" customWidth="true" hidden="false" outlineLevel="0" max="15081" min="15081" style="70" width="8"/>
    <col collapsed="false" customWidth="false" hidden="false" outlineLevel="0" max="15082" min="15082" style="70" width="42.57"/>
    <col collapsed="false" customWidth="true" hidden="false" outlineLevel="0" max="15083" min="15083" style="70" width="3.29"/>
    <col collapsed="false" customWidth="true" hidden="false" outlineLevel="0" max="15084" min="15084" style="70" width="8"/>
    <col collapsed="false" customWidth="false" hidden="false" outlineLevel="0" max="15085" min="15085" style="70" width="42.57"/>
    <col collapsed="false" customWidth="true" hidden="false" outlineLevel="0" max="15086" min="15086" style="70" width="3.29"/>
    <col collapsed="false" customWidth="true" hidden="false" outlineLevel="0" max="15087" min="15087" style="70" width="8"/>
    <col collapsed="false" customWidth="false" hidden="false" outlineLevel="0" max="15088" min="15088" style="70" width="42.57"/>
    <col collapsed="false" customWidth="true" hidden="false" outlineLevel="0" max="15089" min="15089" style="70" width="3.29"/>
    <col collapsed="false" customWidth="true" hidden="false" outlineLevel="0" max="15090" min="15090" style="70" width="8"/>
    <col collapsed="false" customWidth="false" hidden="false" outlineLevel="0" max="15091" min="15091" style="70" width="42.57"/>
    <col collapsed="false" customWidth="true" hidden="false" outlineLevel="0" max="15092" min="15092" style="70" width="3.29"/>
    <col collapsed="false" customWidth="true" hidden="false" outlineLevel="0" max="15093" min="15093" style="70" width="8"/>
    <col collapsed="false" customWidth="false" hidden="false" outlineLevel="0" max="15094" min="15094" style="70" width="42.57"/>
    <col collapsed="false" customWidth="true" hidden="false" outlineLevel="0" max="15095" min="15095" style="70" width="3.29"/>
    <col collapsed="false" customWidth="true" hidden="false" outlineLevel="0" max="15096" min="15096" style="70" width="8"/>
    <col collapsed="false" customWidth="false" hidden="false" outlineLevel="0" max="15097" min="15097" style="70" width="42.57"/>
    <col collapsed="false" customWidth="true" hidden="false" outlineLevel="0" max="15098" min="15098" style="70" width="3.29"/>
    <col collapsed="false" customWidth="true" hidden="false" outlineLevel="0" max="15099" min="15099" style="70" width="8"/>
    <col collapsed="false" customWidth="false" hidden="false" outlineLevel="0" max="15100" min="15100" style="70" width="42.57"/>
    <col collapsed="false" customWidth="true" hidden="false" outlineLevel="0" max="15101" min="15101" style="70" width="3.29"/>
    <col collapsed="false" customWidth="true" hidden="false" outlineLevel="0" max="15102" min="15102" style="70" width="8"/>
    <col collapsed="false" customWidth="false" hidden="false" outlineLevel="0" max="15103" min="15103" style="70" width="42.57"/>
    <col collapsed="false" customWidth="true" hidden="false" outlineLevel="0" max="15104" min="15104" style="70" width="3.29"/>
    <col collapsed="false" customWidth="true" hidden="false" outlineLevel="0" max="15105" min="15105" style="70" width="8"/>
    <col collapsed="false" customWidth="false" hidden="false" outlineLevel="0" max="15106" min="15106" style="70" width="42.57"/>
    <col collapsed="false" customWidth="true" hidden="false" outlineLevel="0" max="15107" min="15107" style="70" width="3.29"/>
    <col collapsed="false" customWidth="true" hidden="false" outlineLevel="0" max="15108" min="15108" style="70" width="8"/>
    <col collapsed="false" customWidth="false" hidden="false" outlineLevel="0" max="15109" min="15109" style="70" width="42.57"/>
    <col collapsed="false" customWidth="true" hidden="false" outlineLevel="0" max="15110" min="15110" style="70" width="3.29"/>
    <col collapsed="false" customWidth="true" hidden="false" outlineLevel="0" max="15111" min="15111" style="70" width="8"/>
    <col collapsed="false" customWidth="false" hidden="false" outlineLevel="0" max="15112" min="15112" style="70" width="42.57"/>
    <col collapsed="false" customWidth="true" hidden="false" outlineLevel="0" max="15113" min="15113" style="70" width="3.29"/>
    <col collapsed="false" customWidth="true" hidden="false" outlineLevel="0" max="15114" min="15114" style="70" width="8"/>
    <col collapsed="false" customWidth="false" hidden="false" outlineLevel="0" max="15115" min="15115" style="70" width="42.57"/>
    <col collapsed="false" customWidth="true" hidden="false" outlineLevel="0" max="15116" min="15116" style="70" width="3.29"/>
    <col collapsed="false" customWidth="true" hidden="false" outlineLevel="0" max="15117" min="15117" style="70" width="8"/>
    <col collapsed="false" customWidth="false" hidden="false" outlineLevel="0" max="15118" min="15118" style="70" width="42.57"/>
    <col collapsed="false" customWidth="true" hidden="false" outlineLevel="0" max="15119" min="15119" style="70" width="3.29"/>
    <col collapsed="false" customWidth="true" hidden="false" outlineLevel="0" max="15120" min="15120" style="70" width="8"/>
    <col collapsed="false" customWidth="false" hidden="false" outlineLevel="0" max="15121" min="15121" style="70" width="42.57"/>
    <col collapsed="false" customWidth="true" hidden="false" outlineLevel="0" max="15122" min="15122" style="70" width="3.29"/>
    <col collapsed="false" customWidth="true" hidden="false" outlineLevel="0" max="15123" min="15123" style="70" width="8"/>
    <col collapsed="false" customWidth="false" hidden="false" outlineLevel="0" max="15124" min="15124" style="70" width="42.57"/>
    <col collapsed="false" customWidth="true" hidden="false" outlineLevel="0" max="15125" min="15125" style="70" width="3.29"/>
    <col collapsed="false" customWidth="true" hidden="false" outlineLevel="0" max="15126" min="15126" style="70" width="8"/>
    <col collapsed="false" customWidth="false" hidden="false" outlineLevel="0" max="15127" min="15127" style="70" width="42.57"/>
    <col collapsed="false" customWidth="true" hidden="false" outlineLevel="0" max="15128" min="15128" style="70" width="3.29"/>
    <col collapsed="false" customWidth="true" hidden="false" outlineLevel="0" max="15129" min="15129" style="70" width="8"/>
    <col collapsed="false" customWidth="false" hidden="false" outlineLevel="0" max="15130" min="15130" style="70" width="42.57"/>
    <col collapsed="false" customWidth="true" hidden="false" outlineLevel="0" max="15131" min="15131" style="70" width="3.29"/>
    <col collapsed="false" customWidth="true" hidden="false" outlineLevel="0" max="15132" min="15132" style="70" width="8"/>
    <col collapsed="false" customWidth="false" hidden="false" outlineLevel="0" max="15133" min="15133" style="70" width="42.57"/>
    <col collapsed="false" customWidth="true" hidden="false" outlineLevel="0" max="15134" min="15134" style="70" width="3.29"/>
    <col collapsed="false" customWidth="true" hidden="false" outlineLevel="0" max="15135" min="15135" style="70" width="8"/>
    <col collapsed="false" customWidth="false" hidden="false" outlineLevel="0" max="15136" min="15136" style="70" width="42.57"/>
    <col collapsed="false" customWidth="true" hidden="false" outlineLevel="0" max="15137" min="15137" style="70" width="3.29"/>
    <col collapsed="false" customWidth="true" hidden="false" outlineLevel="0" max="15138" min="15138" style="70" width="8"/>
    <col collapsed="false" customWidth="false" hidden="false" outlineLevel="0" max="15139" min="15139" style="70" width="42.57"/>
    <col collapsed="false" customWidth="true" hidden="false" outlineLevel="0" max="15140" min="15140" style="70" width="3.29"/>
    <col collapsed="false" customWidth="true" hidden="false" outlineLevel="0" max="15141" min="15141" style="70" width="8"/>
    <col collapsed="false" customWidth="false" hidden="false" outlineLevel="0" max="15142" min="15142" style="70" width="42.57"/>
    <col collapsed="false" customWidth="true" hidden="false" outlineLevel="0" max="15143" min="15143" style="70" width="3.29"/>
    <col collapsed="false" customWidth="true" hidden="false" outlineLevel="0" max="15144" min="15144" style="70" width="8"/>
    <col collapsed="false" customWidth="false" hidden="false" outlineLevel="0" max="15145" min="15145" style="70" width="42.57"/>
    <col collapsed="false" customWidth="true" hidden="false" outlineLevel="0" max="15146" min="15146" style="70" width="3.29"/>
    <col collapsed="false" customWidth="true" hidden="false" outlineLevel="0" max="15147" min="15147" style="70" width="8"/>
    <col collapsed="false" customWidth="false" hidden="false" outlineLevel="0" max="15148" min="15148" style="70" width="42.57"/>
    <col collapsed="false" customWidth="true" hidden="false" outlineLevel="0" max="15149" min="15149" style="70" width="3.29"/>
    <col collapsed="false" customWidth="true" hidden="false" outlineLevel="0" max="15150" min="15150" style="70" width="8"/>
    <col collapsed="false" customWidth="false" hidden="false" outlineLevel="0" max="15151" min="15151" style="70" width="42.57"/>
    <col collapsed="false" customWidth="true" hidden="false" outlineLevel="0" max="15152" min="15152" style="70" width="3.29"/>
    <col collapsed="false" customWidth="true" hidden="false" outlineLevel="0" max="15153" min="15153" style="70" width="8"/>
    <col collapsed="false" customWidth="false" hidden="false" outlineLevel="0" max="15154" min="15154" style="70" width="42.57"/>
    <col collapsed="false" customWidth="true" hidden="false" outlineLevel="0" max="15155" min="15155" style="70" width="3.29"/>
    <col collapsed="false" customWidth="true" hidden="false" outlineLevel="0" max="15156" min="15156" style="70" width="8"/>
    <col collapsed="false" customWidth="false" hidden="false" outlineLevel="0" max="15157" min="15157" style="70" width="42.57"/>
    <col collapsed="false" customWidth="true" hidden="false" outlineLevel="0" max="15158" min="15158" style="70" width="3.29"/>
    <col collapsed="false" customWidth="true" hidden="false" outlineLevel="0" max="15159" min="15159" style="70" width="8"/>
    <col collapsed="false" customWidth="false" hidden="false" outlineLevel="0" max="15160" min="15160" style="70" width="42.57"/>
    <col collapsed="false" customWidth="true" hidden="false" outlineLevel="0" max="15161" min="15161" style="70" width="3.29"/>
    <col collapsed="false" customWidth="true" hidden="false" outlineLevel="0" max="15162" min="15162" style="70" width="8"/>
    <col collapsed="false" customWidth="false" hidden="false" outlineLevel="0" max="15163" min="15163" style="70" width="42.57"/>
    <col collapsed="false" customWidth="true" hidden="false" outlineLevel="0" max="15164" min="15164" style="70" width="3.29"/>
    <col collapsed="false" customWidth="true" hidden="false" outlineLevel="0" max="15165" min="15165" style="70" width="8"/>
    <col collapsed="false" customWidth="false" hidden="false" outlineLevel="0" max="15166" min="15166" style="70" width="42.57"/>
    <col collapsed="false" customWidth="true" hidden="false" outlineLevel="0" max="15167" min="15167" style="70" width="3.29"/>
    <col collapsed="false" customWidth="true" hidden="false" outlineLevel="0" max="15168" min="15168" style="70" width="8"/>
    <col collapsed="false" customWidth="false" hidden="false" outlineLevel="0" max="15169" min="15169" style="70" width="42.57"/>
    <col collapsed="false" customWidth="true" hidden="false" outlineLevel="0" max="15170" min="15170" style="70" width="3.29"/>
    <col collapsed="false" customWidth="true" hidden="false" outlineLevel="0" max="15171" min="15171" style="70" width="8"/>
    <col collapsed="false" customWidth="false" hidden="false" outlineLevel="0" max="15172" min="15172" style="70" width="42.57"/>
    <col collapsed="false" customWidth="true" hidden="false" outlineLevel="0" max="15173" min="15173" style="70" width="3.29"/>
    <col collapsed="false" customWidth="true" hidden="false" outlineLevel="0" max="15174" min="15174" style="70" width="8"/>
    <col collapsed="false" customWidth="false" hidden="false" outlineLevel="0" max="15175" min="15175" style="70" width="42.57"/>
    <col collapsed="false" customWidth="true" hidden="false" outlineLevel="0" max="15176" min="15176" style="70" width="3.29"/>
    <col collapsed="false" customWidth="true" hidden="false" outlineLevel="0" max="15177" min="15177" style="70" width="8"/>
    <col collapsed="false" customWidth="false" hidden="false" outlineLevel="0" max="15178" min="15178" style="70" width="42.57"/>
    <col collapsed="false" customWidth="true" hidden="false" outlineLevel="0" max="15179" min="15179" style="70" width="3.29"/>
    <col collapsed="false" customWidth="true" hidden="false" outlineLevel="0" max="15180" min="15180" style="70" width="8"/>
    <col collapsed="false" customWidth="false" hidden="false" outlineLevel="0" max="15181" min="15181" style="70" width="42.57"/>
    <col collapsed="false" customWidth="true" hidden="false" outlineLevel="0" max="15182" min="15182" style="70" width="3.29"/>
    <col collapsed="false" customWidth="true" hidden="false" outlineLevel="0" max="15183" min="15183" style="70" width="8"/>
    <col collapsed="false" customWidth="false" hidden="false" outlineLevel="0" max="15184" min="15184" style="70" width="42.57"/>
    <col collapsed="false" customWidth="true" hidden="false" outlineLevel="0" max="15185" min="15185" style="70" width="3.29"/>
    <col collapsed="false" customWidth="true" hidden="false" outlineLevel="0" max="15186" min="15186" style="70" width="8"/>
    <col collapsed="false" customWidth="false" hidden="false" outlineLevel="0" max="15187" min="15187" style="70" width="42.57"/>
    <col collapsed="false" customWidth="true" hidden="false" outlineLevel="0" max="15188" min="15188" style="70" width="3.29"/>
    <col collapsed="false" customWidth="true" hidden="false" outlineLevel="0" max="15189" min="15189" style="70" width="8"/>
    <col collapsed="false" customWidth="false" hidden="false" outlineLevel="0" max="15190" min="15190" style="70" width="42.57"/>
    <col collapsed="false" customWidth="true" hidden="false" outlineLevel="0" max="15191" min="15191" style="70" width="3.29"/>
    <col collapsed="false" customWidth="true" hidden="false" outlineLevel="0" max="15192" min="15192" style="70" width="8"/>
    <col collapsed="false" customWidth="false" hidden="false" outlineLevel="0" max="15193" min="15193" style="70" width="42.57"/>
    <col collapsed="false" customWidth="true" hidden="false" outlineLevel="0" max="15194" min="15194" style="70" width="3.29"/>
    <col collapsed="false" customWidth="true" hidden="false" outlineLevel="0" max="15195" min="15195" style="70" width="8"/>
    <col collapsed="false" customWidth="false" hidden="false" outlineLevel="0" max="15196" min="15196" style="70" width="42.57"/>
    <col collapsed="false" customWidth="true" hidden="false" outlineLevel="0" max="15197" min="15197" style="70" width="3.29"/>
    <col collapsed="false" customWidth="true" hidden="false" outlineLevel="0" max="15198" min="15198" style="70" width="8"/>
    <col collapsed="false" customWidth="false" hidden="false" outlineLevel="0" max="15199" min="15199" style="70" width="42.57"/>
    <col collapsed="false" customWidth="true" hidden="false" outlineLevel="0" max="15200" min="15200" style="70" width="3.29"/>
    <col collapsed="false" customWidth="true" hidden="false" outlineLevel="0" max="15201" min="15201" style="70" width="8"/>
    <col collapsed="false" customWidth="false" hidden="false" outlineLevel="0" max="15202" min="15202" style="70" width="42.57"/>
    <col collapsed="false" customWidth="true" hidden="false" outlineLevel="0" max="15203" min="15203" style="70" width="3.29"/>
    <col collapsed="false" customWidth="true" hidden="false" outlineLevel="0" max="15204" min="15204" style="70" width="8"/>
    <col collapsed="false" customWidth="false" hidden="false" outlineLevel="0" max="15205" min="15205" style="70" width="42.57"/>
    <col collapsed="false" customWidth="true" hidden="false" outlineLevel="0" max="15206" min="15206" style="70" width="3.29"/>
    <col collapsed="false" customWidth="true" hidden="false" outlineLevel="0" max="15207" min="15207" style="70" width="8"/>
    <col collapsed="false" customWidth="false" hidden="false" outlineLevel="0" max="15208" min="15208" style="70" width="42.57"/>
    <col collapsed="false" customWidth="true" hidden="false" outlineLevel="0" max="15209" min="15209" style="70" width="3.29"/>
    <col collapsed="false" customWidth="true" hidden="false" outlineLevel="0" max="15210" min="15210" style="70" width="8"/>
    <col collapsed="false" customWidth="false" hidden="false" outlineLevel="0" max="15211" min="15211" style="70" width="42.57"/>
    <col collapsed="false" customWidth="true" hidden="false" outlineLevel="0" max="15212" min="15212" style="70" width="3.29"/>
    <col collapsed="false" customWidth="true" hidden="false" outlineLevel="0" max="15213" min="15213" style="70" width="8"/>
    <col collapsed="false" customWidth="false" hidden="false" outlineLevel="0" max="15214" min="15214" style="70" width="42.57"/>
    <col collapsed="false" customWidth="true" hidden="false" outlineLevel="0" max="15215" min="15215" style="70" width="3.29"/>
    <col collapsed="false" customWidth="true" hidden="false" outlineLevel="0" max="15216" min="15216" style="70" width="8"/>
    <col collapsed="false" customWidth="false" hidden="false" outlineLevel="0" max="15217" min="15217" style="70" width="42.57"/>
    <col collapsed="false" customWidth="true" hidden="false" outlineLevel="0" max="15218" min="15218" style="70" width="3.29"/>
    <col collapsed="false" customWidth="true" hidden="false" outlineLevel="0" max="15219" min="15219" style="70" width="8"/>
    <col collapsed="false" customWidth="false" hidden="false" outlineLevel="0" max="15220" min="15220" style="70" width="42.57"/>
    <col collapsed="false" customWidth="true" hidden="false" outlineLevel="0" max="15221" min="15221" style="70" width="3.29"/>
    <col collapsed="false" customWidth="true" hidden="false" outlineLevel="0" max="15222" min="15222" style="70" width="8"/>
    <col collapsed="false" customWidth="false" hidden="false" outlineLevel="0" max="15223" min="15223" style="70" width="42.57"/>
    <col collapsed="false" customWidth="true" hidden="false" outlineLevel="0" max="15224" min="15224" style="70" width="3.29"/>
    <col collapsed="false" customWidth="true" hidden="false" outlineLevel="0" max="15225" min="15225" style="70" width="8"/>
    <col collapsed="false" customWidth="false" hidden="false" outlineLevel="0" max="15226" min="15226" style="70" width="42.57"/>
    <col collapsed="false" customWidth="true" hidden="false" outlineLevel="0" max="15227" min="15227" style="70" width="3.29"/>
    <col collapsed="false" customWidth="true" hidden="false" outlineLevel="0" max="15228" min="15228" style="70" width="8"/>
    <col collapsed="false" customWidth="false" hidden="false" outlineLevel="0" max="15229" min="15229" style="70" width="42.57"/>
    <col collapsed="false" customWidth="true" hidden="false" outlineLevel="0" max="15230" min="15230" style="70" width="3.29"/>
    <col collapsed="false" customWidth="true" hidden="false" outlineLevel="0" max="15231" min="15231" style="70" width="8"/>
    <col collapsed="false" customWidth="false" hidden="false" outlineLevel="0" max="15232" min="15232" style="70" width="42.57"/>
    <col collapsed="false" customWidth="true" hidden="false" outlineLevel="0" max="15233" min="15233" style="70" width="3.29"/>
    <col collapsed="false" customWidth="true" hidden="false" outlineLevel="0" max="15234" min="15234" style="70" width="8"/>
    <col collapsed="false" customWidth="false" hidden="false" outlineLevel="0" max="15235" min="15235" style="70" width="42.57"/>
    <col collapsed="false" customWidth="true" hidden="false" outlineLevel="0" max="15236" min="15236" style="70" width="3.29"/>
    <col collapsed="false" customWidth="true" hidden="false" outlineLevel="0" max="15237" min="15237" style="70" width="8"/>
    <col collapsed="false" customWidth="false" hidden="false" outlineLevel="0" max="15238" min="15238" style="70" width="42.57"/>
    <col collapsed="false" customWidth="true" hidden="false" outlineLevel="0" max="15239" min="15239" style="70" width="3.29"/>
    <col collapsed="false" customWidth="true" hidden="false" outlineLevel="0" max="15240" min="15240" style="70" width="8"/>
    <col collapsed="false" customWidth="false" hidden="false" outlineLevel="0" max="15241" min="15241" style="70" width="42.57"/>
    <col collapsed="false" customWidth="true" hidden="false" outlineLevel="0" max="15242" min="15242" style="70" width="3.29"/>
    <col collapsed="false" customWidth="true" hidden="false" outlineLevel="0" max="15243" min="15243" style="70" width="8"/>
    <col collapsed="false" customWidth="false" hidden="false" outlineLevel="0" max="15244" min="15244" style="70" width="42.57"/>
    <col collapsed="false" customWidth="true" hidden="false" outlineLevel="0" max="15245" min="15245" style="70" width="3.29"/>
    <col collapsed="false" customWidth="true" hidden="false" outlineLevel="0" max="15246" min="15246" style="70" width="8"/>
    <col collapsed="false" customWidth="false" hidden="false" outlineLevel="0" max="15247" min="15247" style="70" width="42.57"/>
    <col collapsed="false" customWidth="true" hidden="false" outlineLevel="0" max="15248" min="15248" style="70" width="3.29"/>
    <col collapsed="false" customWidth="true" hidden="false" outlineLevel="0" max="15249" min="15249" style="70" width="8"/>
    <col collapsed="false" customWidth="false" hidden="false" outlineLevel="0" max="15250" min="15250" style="70" width="42.57"/>
    <col collapsed="false" customWidth="true" hidden="false" outlineLevel="0" max="15251" min="15251" style="70" width="3.29"/>
    <col collapsed="false" customWidth="true" hidden="false" outlineLevel="0" max="15252" min="15252" style="70" width="8"/>
    <col collapsed="false" customWidth="false" hidden="false" outlineLevel="0" max="15253" min="15253" style="70" width="42.57"/>
    <col collapsed="false" customWidth="true" hidden="false" outlineLevel="0" max="15254" min="15254" style="70" width="3.29"/>
    <col collapsed="false" customWidth="true" hidden="false" outlineLevel="0" max="15255" min="15255" style="70" width="8"/>
    <col collapsed="false" customWidth="false" hidden="false" outlineLevel="0" max="15256" min="15256" style="70" width="42.57"/>
    <col collapsed="false" customWidth="true" hidden="false" outlineLevel="0" max="15257" min="15257" style="70" width="3.29"/>
    <col collapsed="false" customWidth="true" hidden="false" outlineLevel="0" max="15258" min="15258" style="70" width="8"/>
    <col collapsed="false" customWidth="false" hidden="false" outlineLevel="0" max="15259" min="15259" style="70" width="42.57"/>
    <col collapsed="false" customWidth="true" hidden="false" outlineLevel="0" max="15260" min="15260" style="70" width="3.29"/>
    <col collapsed="false" customWidth="true" hidden="false" outlineLevel="0" max="15261" min="15261" style="70" width="8"/>
    <col collapsed="false" customWidth="false" hidden="false" outlineLevel="0" max="15262" min="15262" style="70" width="42.57"/>
    <col collapsed="false" customWidth="true" hidden="false" outlineLevel="0" max="15263" min="15263" style="70" width="3.29"/>
    <col collapsed="false" customWidth="true" hidden="false" outlineLevel="0" max="15264" min="15264" style="70" width="8"/>
    <col collapsed="false" customWidth="false" hidden="false" outlineLevel="0" max="15265" min="15265" style="70" width="42.57"/>
    <col collapsed="false" customWidth="true" hidden="false" outlineLevel="0" max="15266" min="15266" style="70" width="3.29"/>
    <col collapsed="false" customWidth="true" hidden="false" outlineLevel="0" max="15267" min="15267" style="70" width="8"/>
    <col collapsed="false" customWidth="false" hidden="false" outlineLevel="0" max="15268" min="15268" style="70" width="42.57"/>
    <col collapsed="false" customWidth="true" hidden="false" outlineLevel="0" max="15269" min="15269" style="70" width="3.29"/>
    <col collapsed="false" customWidth="true" hidden="false" outlineLevel="0" max="15270" min="15270" style="70" width="8"/>
    <col collapsed="false" customWidth="false" hidden="false" outlineLevel="0" max="15271" min="15271" style="70" width="42.57"/>
    <col collapsed="false" customWidth="true" hidden="false" outlineLevel="0" max="15272" min="15272" style="70" width="3.29"/>
    <col collapsed="false" customWidth="true" hidden="false" outlineLevel="0" max="15273" min="15273" style="70" width="8"/>
    <col collapsed="false" customWidth="false" hidden="false" outlineLevel="0" max="15274" min="15274" style="70" width="42.57"/>
    <col collapsed="false" customWidth="true" hidden="false" outlineLevel="0" max="15275" min="15275" style="70" width="3.29"/>
    <col collapsed="false" customWidth="true" hidden="false" outlineLevel="0" max="15276" min="15276" style="70" width="8"/>
    <col collapsed="false" customWidth="false" hidden="false" outlineLevel="0" max="15277" min="15277" style="70" width="42.57"/>
    <col collapsed="false" customWidth="true" hidden="false" outlineLevel="0" max="15278" min="15278" style="70" width="3.29"/>
    <col collapsed="false" customWidth="true" hidden="false" outlineLevel="0" max="15279" min="15279" style="70" width="8"/>
    <col collapsed="false" customWidth="false" hidden="false" outlineLevel="0" max="15280" min="15280" style="70" width="42.57"/>
    <col collapsed="false" customWidth="true" hidden="false" outlineLevel="0" max="15281" min="15281" style="70" width="3.29"/>
    <col collapsed="false" customWidth="true" hidden="false" outlineLevel="0" max="15282" min="15282" style="70" width="8"/>
    <col collapsed="false" customWidth="false" hidden="false" outlineLevel="0" max="15283" min="15283" style="70" width="42.57"/>
    <col collapsed="false" customWidth="true" hidden="false" outlineLevel="0" max="15284" min="15284" style="70" width="3.29"/>
    <col collapsed="false" customWidth="true" hidden="false" outlineLevel="0" max="15285" min="15285" style="70" width="8"/>
    <col collapsed="false" customWidth="false" hidden="false" outlineLevel="0" max="15286" min="15286" style="70" width="42.57"/>
    <col collapsed="false" customWidth="true" hidden="false" outlineLevel="0" max="15287" min="15287" style="70" width="3.29"/>
    <col collapsed="false" customWidth="true" hidden="false" outlineLevel="0" max="15288" min="15288" style="70" width="8"/>
    <col collapsed="false" customWidth="false" hidden="false" outlineLevel="0" max="15289" min="15289" style="70" width="42.57"/>
    <col collapsed="false" customWidth="true" hidden="false" outlineLevel="0" max="15290" min="15290" style="70" width="3.29"/>
    <col collapsed="false" customWidth="true" hidden="false" outlineLevel="0" max="15291" min="15291" style="70" width="8"/>
    <col collapsed="false" customWidth="false" hidden="false" outlineLevel="0" max="15292" min="15292" style="70" width="42.57"/>
    <col collapsed="false" customWidth="true" hidden="false" outlineLevel="0" max="15293" min="15293" style="70" width="3.29"/>
    <col collapsed="false" customWidth="true" hidden="false" outlineLevel="0" max="15294" min="15294" style="70" width="8"/>
    <col collapsed="false" customWidth="false" hidden="false" outlineLevel="0" max="15295" min="15295" style="70" width="42.57"/>
    <col collapsed="false" customWidth="true" hidden="false" outlineLevel="0" max="15296" min="15296" style="70" width="3.29"/>
    <col collapsed="false" customWidth="true" hidden="false" outlineLevel="0" max="15297" min="15297" style="70" width="8"/>
    <col collapsed="false" customWidth="false" hidden="false" outlineLevel="0" max="15298" min="15298" style="70" width="42.57"/>
    <col collapsed="false" customWidth="true" hidden="false" outlineLevel="0" max="15299" min="15299" style="70" width="3.29"/>
    <col collapsed="false" customWidth="true" hidden="false" outlineLevel="0" max="15300" min="15300" style="70" width="8"/>
    <col collapsed="false" customWidth="false" hidden="false" outlineLevel="0" max="15301" min="15301" style="70" width="42.57"/>
    <col collapsed="false" customWidth="true" hidden="false" outlineLevel="0" max="15302" min="15302" style="70" width="3.29"/>
    <col collapsed="false" customWidth="true" hidden="false" outlineLevel="0" max="15303" min="15303" style="70" width="8"/>
    <col collapsed="false" customWidth="false" hidden="false" outlineLevel="0" max="15304" min="15304" style="70" width="42.57"/>
    <col collapsed="false" customWidth="true" hidden="false" outlineLevel="0" max="15305" min="15305" style="70" width="3.29"/>
    <col collapsed="false" customWidth="true" hidden="false" outlineLevel="0" max="15306" min="15306" style="70" width="8"/>
    <col collapsed="false" customWidth="false" hidden="false" outlineLevel="0" max="15307" min="15307" style="70" width="42.57"/>
    <col collapsed="false" customWidth="true" hidden="false" outlineLevel="0" max="15308" min="15308" style="70" width="3.29"/>
    <col collapsed="false" customWidth="true" hidden="false" outlineLevel="0" max="15309" min="15309" style="70" width="8"/>
    <col collapsed="false" customWidth="false" hidden="false" outlineLevel="0" max="15310" min="15310" style="70" width="42.57"/>
    <col collapsed="false" customWidth="true" hidden="false" outlineLevel="0" max="15311" min="15311" style="70" width="3.29"/>
    <col collapsed="false" customWidth="true" hidden="false" outlineLevel="0" max="15312" min="15312" style="70" width="8"/>
    <col collapsed="false" customWidth="false" hidden="false" outlineLevel="0" max="15313" min="15313" style="70" width="42.57"/>
    <col collapsed="false" customWidth="true" hidden="false" outlineLevel="0" max="15314" min="15314" style="70" width="3.29"/>
    <col collapsed="false" customWidth="true" hidden="false" outlineLevel="0" max="15315" min="15315" style="70" width="8"/>
    <col collapsed="false" customWidth="false" hidden="false" outlineLevel="0" max="15316" min="15316" style="70" width="42.57"/>
    <col collapsed="false" customWidth="true" hidden="false" outlineLevel="0" max="15317" min="15317" style="70" width="3.29"/>
    <col collapsed="false" customWidth="true" hidden="false" outlineLevel="0" max="15318" min="15318" style="70" width="8"/>
    <col collapsed="false" customWidth="false" hidden="false" outlineLevel="0" max="15319" min="15319" style="70" width="42.57"/>
    <col collapsed="false" customWidth="true" hidden="false" outlineLevel="0" max="15320" min="15320" style="70" width="3.29"/>
    <col collapsed="false" customWidth="true" hidden="false" outlineLevel="0" max="15321" min="15321" style="70" width="8"/>
    <col collapsed="false" customWidth="false" hidden="false" outlineLevel="0" max="15322" min="15322" style="70" width="42.57"/>
    <col collapsed="false" customWidth="true" hidden="false" outlineLevel="0" max="15323" min="15323" style="70" width="3.29"/>
    <col collapsed="false" customWidth="true" hidden="false" outlineLevel="0" max="15324" min="15324" style="70" width="8"/>
    <col collapsed="false" customWidth="false" hidden="false" outlineLevel="0" max="15325" min="15325" style="70" width="42.57"/>
    <col collapsed="false" customWidth="true" hidden="false" outlineLevel="0" max="15326" min="15326" style="70" width="3.29"/>
    <col collapsed="false" customWidth="true" hidden="false" outlineLevel="0" max="15327" min="15327" style="70" width="8"/>
    <col collapsed="false" customWidth="false" hidden="false" outlineLevel="0" max="15328" min="15328" style="70" width="42.57"/>
    <col collapsed="false" customWidth="true" hidden="false" outlineLevel="0" max="15329" min="15329" style="70" width="3.29"/>
    <col collapsed="false" customWidth="true" hidden="false" outlineLevel="0" max="15330" min="15330" style="70" width="8"/>
    <col collapsed="false" customWidth="false" hidden="false" outlineLevel="0" max="15331" min="15331" style="70" width="42.57"/>
    <col collapsed="false" customWidth="true" hidden="false" outlineLevel="0" max="15332" min="15332" style="70" width="3.29"/>
    <col collapsed="false" customWidth="true" hidden="false" outlineLevel="0" max="15333" min="15333" style="70" width="8"/>
    <col collapsed="false" customWidth="false" hidden="false" outlineLevel="0" max="15334" min="15334" style="70" width="42.57"/>
    <col collapsed="false" customWidth="true" hidden="false" outlineLevel="0" max="15335" min="15335" style="70" width="3.29"/>
    <col collapsed="false" customWidth="true" hidden="false" outlineLevel="0" max="15336" min="15336" style="70" width="8"/>
    <col collapsed="false" customWidth="false" hidden="false" outlineLevel="0" max="15337" min="15337" style="70" width="42.57"/>
    <col collapsed="false" customWidth="true" hidden="false" outlineLevel="0" max="15338" min="15338" style="70" width="3.29"/>
    <col collapsed="false" customWidth="true" hidden="false" outlineLevel="0" max="15339" min="15339" style="70" width="8"/>
    <col collapsed="false" customWidth="false" hidden="false" outlineLevel="0" max="15340" min="15340" style="70" width="42.57"/>
    <col collapsed="false" customWidth="true" hidden="false" outlineLevel="0" max="15341" min="15341" style="70" width="3.29"/>
    <col collapsed="false" customWidth="true" hidden="false" outlineLevel="0" max="15342" min="15342" style="70" width="8"/>
    <col collapsed="false" customWidth="false" hidden="false" outlineLevel="0" max="15343" min="15343" style="70" width="42.57"/>
    <col collapsed="false" customWidth="true" hidden="false" outlineLevel="0" max="15344" min="15344" style="70" width="3.29"/>
    <col collapsed="false" customWidth="true" hidden="false" outlineLevel="0" max="15345" min="15345" style="70" width="8"/>
    <col collapsed="false" customWidth="false" hidden="false" outlineLevel="0" max="15346" min="15346" style="70" width="42.57"/>
    <col collapsed="false" customWidth="true" hidden="false" outlineLevel="0" max="15347" min="15347" style="70" width="3.29"/>
    <col collapsed="false" customWidth="true" hidden="false" outlineLevel="0" max="15348" min="15348" style="70" width="8"/>
    <col collapsed="false" customWidth="false" hidden="false" outlineLevel="0" max="15349" min="15349" style="70" width="42.57"/>
    <col collapsed="false" customWidth="true" hidden="false" outlineLevel="0" max="15350" min="15350" style="70" width="3.29"/>
    <col collapsed="false" customWidth="true" hidden="false" outlineLevel="0" max="15351" min="15351" style="70" width="8"/>
    <col collapsed="false" customWidth="false" hidden="false" outlineLevel="0" max="15352" min="15352" style="70" width="42.57"/>
    <col collapsed="false" customWidth="true" hidden="false" outlineLevel="0" max="15353" min="15353" style="70" width="3.29"/>
    <col collapsed="false" customWidth="true" hidden="false" outlineLevel="0" max="15354" min="15354" style="70" width="8"/>
    <col collapsed="false" customWidth="false" hidden="false" outlineLevel="0" max="15355" min="15355" style="70" width="42.57"/>
    <col collapsed="false" customWidth="true" hidden="false" outlineLevel="0" max="15356" min="15356" style="70" width="3.29"/>
    <col collapsed="false" customWidth="true" hidden="false" outlineLevel="0" max="15357" min="15357" style="70" width="8"/>
    <col collapsed="false" customWidth="false" hidden="false" outlineLevel="0" max="15358" min="15358" style="70" width="42.57"/>
    <col collapsed="false" customWidth="true" hidden="false" outlineLevel="0" max="15359" min="15359" style="70" width="3.29"/>
    <col collapsed="false" customWidth="true" hidden="false" outlineLevel="0" max="15360" min="15360" style="70" width="8"/>
    <col collapsed="false" customWidth="false" hidden="false" outlineLevel="0" max="15361" min="15361" style="70" width="42.57"/>
    <col collapsed="false" customWidth="true" hidden="false" outlineLevel="0" max="15362" min="15362" style="70" width="3.29"/>
    <col collapsed="false" customWidth="true" hidden="false" outlineLevel="0" max="15363" min="15363" style="70" width="8"/>
    <col collapsed="false" customWidth="false" hidden="false" outlineLevel="0" max="15364" min="15364" style="70" width="42.57"/>
    <col collapsed="false" customWidth="true" hidden="false" outlineLevel="0" max="15365" min="15365" style="70" width="3.29"/>
    <col collapsed="false" customWidth="true" hidden="false" outlineLevel="0" max="15366" min="15366" style="70" width="8"/>
    <col collapsed="false" customWidth="false" hidden="false" outlineLevel="0" max="15367" min="15367" style="70" width="42.57"/>
    <col collapsed="false" customWidth="true" hidden="false" outlineLevel="0" max="15368" min="15368" style="70" width="3.29"/>
    <col collapsed="false" customWidth="true" hidden="false" outlineLevel="0" max="15369" min="15369" style="70" width="8"/>
    <col collapsed="false" customWidth="false" hidden="false" outlineLevel="0" max="15370" min="15370" style="70" width="42.57"/>
    <col collapsed="false" customWidth="true" hidden="false" outlineLevel="0" max="15371" min="15371" style="70" width="3.29"/>
    <col collapsed="false" customWidth="true" hidden="false" outlineLevel="0" max="15372" min="15372" style="70" width="8"/>
    <col collapsed="false" customWidth="false" hidden="false" outlineLevel="0" max="15373" min="15373" style="70" width="42.57"/>
    <col collapsed="false" customWidth="true" hidden="false" outlineLevel="0" max="15374" min="15374" style="70" width="3.29"/>
    <col collapsed="false" customWidth="true" hidden="false" outlineLevel="0" max="15375" min="15375" style="70" width="8"/>
    <col collapsed="false" customWidth="false" hidden="false" outlineLevel="0" max="15376" min="15376" style="70" width="42.57"/>
    <col collapsed="false" customWidth="true" hidden="false" outlineLevel="0" max="15377" min="15377" style="70" width="3.29"/>
    <col collapsed="false" customWidth="true" hidden="false" outlineLevel="0" max="15378" min="15378" style="70" width="8"/>
    <col collapsed="false" customWidth="false" hidden="false" outlineLevel="0" max="15379" min="15379" style="70" width="42.57"/>
    <col collapsed="false" customWidth="true" hidden="false" outlineLevel="0" max="15380" min="15380" style="70" width="3.29"/>
    <col collapsed="false" customWidth="true" hidden="false" outlineLevel="0" max="15381" min="15381" style="70" width="8"/>
    <col collapsed="false" customWidth="false" hidden="false" outlineLevel="0" max="15382" min="15382" style="70" width="42.57"/>
    <col collapsed="false" customWidth="true" hidden="false" outlineLevel="0" max="15383" min="15383" style="70" width="3.29"/>
    <col collapsed="false" customWidth="true" hidden="false" outlineLevel="0" max="15384" min="15384" style="70" width="8"/>
    <col collapsed="false" customWidth="false" hidden="false" outlineLevel="0" max="15385" min="15385" style="70" width="42.57"/>
    <col collapsed="false" customWidth="true" hidden="false" outlineLevel="0" max="15386" min="15386" style="70" width="3.29"/>
    <col collapsed="false" customWidth="true" hidden="false" outlineLevel="0" max="15387" min="15387" style="70" width="8"/>
    <col collapsed="false" customWidth="false" hidden="false" outlineLevel="0" max="15388" min="15388" style="70" width="42.57"/>
    <col collapsed="false" customWidth="true" hidden="false" outlineLevel="0" max="15389" min="15389" style="70" width="3.29"/>
    <col collapsed="false" customWidth="true" hidden="false" outlineLevel="0" max="15390" min="15390" style="70" width="8"/>
    <col collapsed="false" customWidth="false" hidden="false" outlineLevel="0" max="15391" min="15391" style="70" width="42.57"/>
    <col collapsed="false" customWidth="true" hidden="false" outlineLevel="0" max="15392" min="15392" style="70" width="3.29"/>
    <col collapsed="false" customWidth="true" hidden="false" outlineLevel="0" max="15393" min="15393" style="70" width="8"/>
    <col collapsed="false" customWidth="false" hidden="false" outlineLevel="0" max="15394" min="15394" style="70" width="42.57"/>
    <col collapsed="false" customWidth="true" hidden="false" outlineLevel="0" max="15395" min="15395" style="70" width="3.29"/>
    <col collapsed="false" customWidth="true" hidden="false" outlineLevel="0" max="15396" min="15396" style="70" width="8"/>
    <col collapsed="false" customWidth="false" hidden="false" outlineLevel="0" max="15397" min="15397" style="70" width="42.57"/>
    <col collapsed="false" customWidth="true" hidden="false" outlineLevel="0" max="15398" min="15398" style="70" width="3.29"/>
    <col collapsed="false" customWidth="true" hidden="false" outlineLevel="0" max="15399" min="15399" style="70" width="8"/>
    <col collapsed="false" customWidth="false" hidden="false" outlineLevel="0" max="15400" min="15400" style="70" width="42.57"/>
    <col collapsed="false" customWidth="true" hidden="false" outlineLevel="0" max="15401" min="15401" style="70" width="3.29"/>
    <col collapsed="false" customWidth="true" hidden="false" outlineLevel="0" max="15402" min="15402" style="70" width="8"/>
    <col collapsed="false" customWidth="false" hidden="false" outlineLevel="0" max="15403" min="15403" style="70" width="42.57"/>
    <col collapsed="false" customWidth="true" hidden="false" outlineLevel="0" max="15404" min="15404" style="70" width="3.29"/>
    <col collapsed="false" customWidth="true" hidden="false" outlineLevel="0" max="15405" min="15405" style="70" width="8"/>
    <col collapsed="false" customWidth="false" hidden="false" outlineLevel="0" max="15406" min="15406" style="70" width="42.57"/>
    <col collapsed="false" customWidth="true" hidden="false" outlineLevel="0" max="15407" min="15407" style="70" width="3.29"/>
    <col collapsed="false" customWidth="true" hidden="false" outlineLevel="0" max="15408" min="15408" style="70" width="8"/>
    <col collapsed="false" customWidth="false" hidden="false" outlineLevel="0" max="15409" min="15409" style="70" width="42.57"/>
    <col collapsed="false" customWidth="true" hidden="false" outlineLevel="0" max="15410" min="15410" style="70" width="3.29"/>
    <col collapsed="false" customWidth="true" hidden="false" outlineLevel="0" max="15411" min="15411" style="70" width="8"/>
    <col collapsed="false" customWidth="false" hidden="false" outlineLevel="0" max="15412" min="15412" style="70" width="42.57"/>
    <col collapsed="false" customWidth="true" hidden="false" outlineLevel="0" max="15413" min="15413" style="70" width="3.29"/>
    <col collapsed="false" customWidth="true" hidden="false" outlineLevel="0" max="15414" min="15414" style="70" width="8"/>
    <col collapsed="false" customWidth="false" hidden="false" outlineLevel="0" max="15415" min="15415" style="70" width="42.57"/>
    <col collapsed="false" customWidth="true" hidden="false" outlineLevel="0" max="15416" min="15416" style="70" width="3.29"/>
    <col collapsed="false" customWidth="true" hidden="false" outlineLevel="0" max="15417" min="15417" style="70" width="8"/>
    <col collapsed="false" customWidth="false" hidden="false" outlineLevel="0" max="15418" min="15418" style="70" width="42.57"/>
    <col collapsed="false" customWidth="true" hidden="false" outlineLevel="0" max="15419" min="15419" style="70" width="3.29"/>
    <col collapsed="false" customWidth="true" hidden="false" outlineLevel="0" max="15420" min="15420" style="70" width="8"/>
    <col collapsed="false" customWidth="false" hidden="false" outlineLevel="0" max="15421" min="15421" style="70" width="42.57"/>
    <col collapsed="false" customWidth="true" hidden="false" outlineLevel="0" max="15422" min="15422" style="70" width="3.29"/>
    <col collapsed="false" customWidth="true" hidden="false" outlineLevel="0" max="15423" min="15423" style="70" width="8"/>
    <col collapsed="false" customWidth="false" hidden="false" outlineLevel="0" max="15424" min="15424" style="70" width="42.57"/>
    <col collapsed="false" customWidth="true" hidden="false" outlineLevel="0" max="15425" min="15425" style="70" width="3.29"/>
    <col collapsed="false" customWidth="true" hidden="false" outlineLevel="0" max="15426" min="15426" style="70" width="8"/>
    <col collapsed="false" customWidth="false" hidden="false" outlineLevel="0" max="15427" min="15427" style="70" width="42.57"/>
    <col collapsed="false" customWidth="true" hidden="false" outlineLevel="0" max="15428" min="15428" style="70" width="3.29"/>
    <col collapsed="false" customWidth="true" hidden="false" outlineLevel="0" max="15429" min="15429" style="70" width="8"/>
    <col collapsed="false" customWidth="false" hidden="false" outlineLevel="0" max="15430" min="15430" style="70" width="42.57"/>
    <col collapsed="false" customWidth="true" hidden="false" outlineLevel="0" max="15431" min="15431" style="70" width="3.29"/>
    <col collapsed="false" customWidth="true" hidden="false" outlineLevel="0" max="15432" min="15432" style="70" width="8"/>
    <col collapsed="false" customWidth="false" hidden="false" outlineLevel="0" max="15433" min="15433" style="70" width="42.57"/>
    <col collapsed="false" customWidth="true" hidden="false" outlineLevel="0" max="15434" min="15434" style="70" width="3.29"/>
    <col collapsed="false" customWidth="true" hidden="false" outlineLevel="0" max="15435" min="15435" style="70" width="8"/>
    <col collapsed="false" customWidth="false" hidden="false" outlineLevel="0" max="15436" min="15436" style="70" width="42.57"/>
    <col collapsed="false" customWidth="true" hidden="false" outlineLevel="0" max="15437" min="15437" style="70" width="3.29"/>
    <col collapsed="false" customWidth="true" hidden="false" outlineLevel="0" max="15438" min="15438" style="70" width="8"/>
    <col collapsed="false" customWidth="false" hidden="false" outlineLevel="0" max="15439" min="15439" style="70" width="42.57"/>
    <col collapsed="false" customWidth="true" hidden="false" outlineLevel="0" max="15440" min="15440" style="70" width="3.29"/>
    <col collapsed="false" customWidth="true" hidden="false" outlineLevel="0" max="15441" min="15441" style="70" width="8"/>
    <col collapsed="false" customWidth="false" hidden="false" outlineLevel="0" max="15442" min="15442" style="70" width="42.57"/>
    <col collapsed="false" customWidth="true" hidden="false" outlineLevel="0" max="15443" min="15443" style="70" width="3.29"/>
    <col collapsed="false" customWidth="true" hidden="false" outlineLevel="0" max="15444" min="15444" style="70" width="8"/>
    <col collapsed="false" customWidth="false" hidden="false" outlineLevel="0" max="15445" min="15445" style="70" width="42.57"/>
    <col collapsed="false" customWidth="true" hidden="false" outlineLevel="0" max="15446" min="15446" style="70" width="3.29"/>
    <col collapsed="false" customWidth="true" hidden="false" outlineLevel="0" max="15447" min="15447" style="70" width="8"/>
    <col collapsed="false" customWidth="false" hidden="false" outlineLevel="0" max="15448" min="15448" style="70" width="42.57"/>
    <col collapsed="false" customWidth="true" hidden="false" outlineLevel="0" max="15449" min="15449" style="70" width="3.29"/>
    <col collapsed="false" customWidth="true" hidden="false" outlineLevel="0" max="15450" min="15450" style="70" width="8"/>
    <col collapsed="false" customWidth="false" hidden="false" outlineLevel="0" max="15451" min="15451" style="70" width="42.57"/>
    <col collapsed="false" customWidth="true" hidden="false" outlineLevel="0" max="15452" min="15452" style="70" width="3.29"/>
    <col collapsed="false" customWidth="true" hidden="false" outlineLevel="0" max="15453" min="15453" style="70" width="8"/>
    <col collapsed="false" customWidth="false" hidden="false" outlineLevel="0" max="15454" min="15454" style="70" width="42.57"/>
    <col collapsed="false" customWidth="true" hidden="false" outlineLevel="0" max="15455" min="15455" style="70" width="3.29"/>
    <col collapsed="false" customWidth="true" hidden="false" outlineLevel="0" max="15456" min="15456" style="70" width="8"/>
    <col collapsed="false" customWidth="false" hidden="false" outlineLevel="0" max="15457" min="15457" style="70" width="42.57"/>
    <col collapsed="false" customWidth="true" hidden="false" outlineLevel="0" max="15458" min="15458" style="70" width="3.29"/>
    <col collapsed="false" customWidth="true" hidden="false" outlineLevel="0" max="15459" min="15459" style="70" width="8"/>
    <col collapsed="false" customWidth="false" hidden="false" outlineLevel="0" max="15460" min="15460" style="70" width="42.57"/>
    <col collapsed="false" customWidth="true" hidden="false" outlineLevel="0" max="15461" min="15461" style="70" width="3.29"/>
    <col collapsed="false" customWidth="true" hidden="false" outlineLevel="0" max="15462" min="15462" style="70" width="8"/>
    <col collapsed="false" customWidth="false" hidden="false" outlineLevel="0" max="15463" min="15463" style="70" width="42.57"/>
    <col collapsed="false" customWidth="true" hidden="false" outlineLevel="0" max="15464" min="15464" style="70" width="3.29"/>
    <col collapsed="false" customWidth="true" hidden="false" outlineLevel="0" max="15465" min="15465" style="70" width="8"/>
    <col collapsed="false" customWidth="false" hidden="false" outlineLevel="0" max="15466" min="15466" style="70" width="42.57"/>
    <col collapsed="false" customWidth="true" hidden="false" outlineLevel="0" max="15467" min="15467" style="70" width="3.29"/>
    <col collapsed="false" customWidth="true" hidden="false" outlineLevel="0" max="15468" min="15468" style="70" width="8"/>
    <col collapsed="false" customWidth="false" hidden="false" outlineLevel="0" max="15469" min="15469" style="70" width="42.57"/>
    <col collapsed="false" customWidth="true" hidden="false" outlineLevel="0" max="15470" min="15470" style="70" width="3.29"/>
    <col collapsed="false" customWidth="true" hidden="false" outlineLevel="0" max="15471" min="15471" style="70" width="8"/>
    <col collapsed="false" customWidth="false" hidden="false" outlineLevel="0" max="15472" min="15472" style="70" width="42.57"/>
    <col collapsed="false" customWidth="true" hidden="false" outlineLevel="0" max="15473" min="15473" style="70" width="3.29"/>
    <col collapsed="false" customWidth="true" hidden="false" outlineLevel="0" max="15474" min="15474" style="70" width="8"/>
    <col collapsed="false" customWidth="false" hidden="false" outlineLevel="0" max="15475" min="15475" style="70" width="42.57"/>
    <col collapsed="false" customWidth="true" hidden="false" outlineLevel="0" max="15476" min="15476" style="70" width="3.29"/>
    <col collapsed="false" customWidth="true" hidden="false" outlineLevel="0" max="15477" min="15477" style="70" width="8"/>
    <col collapsed="false" customWidth="false" hidden="false" outlineLevel="0" max="15478" min="15478" style="70" width="42.57"/>
    <col collapsed="false" customWidth="true" hidden="false" outlineLevel="0" max="15479" min="15479" style="70" width="3.29"/>
    <col collapsed="false" customWidth="true" hidden="false" outlineLevel="0" max="15480" min="15480" style="70" width="8"/>
    <col collapsed="false" customWidth="false" hidden="false" outlineLevel="0" max="15481" min="15481" style="70" width="42.57"/>
    <col collapsed="false" customWidth="true" hidden="false" outlineLevel="0" max="15482" min="15482" style="70" width="3.29"/>
    <col collapsed="false" customWidth="true" hidden="false" outlineLevel="0" max="15483" min="15483" style="70" width="8"/>
    <col collapsed="false" customWidth="false" hidden="false" outlineLevel="0" max="15484" min="15484" style="70" width="42.57"/>
    <col collapsed="false" customWidth="true" hidden="false" outlineLevel="0" max="15485" min="15485" style="70" width="3.29"/>
    <col collapsed="false" customWidth="true" hidden="false" outlineLevel="0" max="15486" min="15486" style="70" width="8"/>
    <col collapsed="false" customWidth="false" hidden="false" outlineLevel="0" max="15487" min="15487" style="70" width="42.57"/>
    <col collapsed="false" customWidth="true" hidden="false" outlineLevel="0" max="15488" min="15488" style="70" width="3.29"/>
    <col collapsed="false" customWidth="true" hidden="false" outlineLevel="0" max="15489" min="15489" style="70" width="8"/>
    <col collapsed="false" customWidth="false" hidden="false" outlineLevel="0" max="15490" min="15490" style="70" width="42.57"/>
    <col collapsed="false" customWidth="true" hidden="false" outlineLevel="0" max="15491" min="15491" style="70" width="3.29"/>
    <col collapsed="false" customWidth="true" hidden="false" outlineLevel="0" max="15492" min="15492" style="70" width="8"/>
    <col collapsed="false" customWidth="false" hidden="false" outlineLevel="0" max="15493" min="15493" style="70" width="42.57"/>
    <col collapsed="false" customWidth="true" hidden="false" outlineLevel="0" max="15494" min="15494" style="70" width="3.29"/>
    <col collapsed="false" customWidth="true" hidden="false" outlineLevel="0" max="15495" min="15495" style="70" width="8"/>
    <col collapsed="false" customWidth="false" hidden="false" outlineLevel="0" max="15496" min="15496" style="70" width="42.57"/>
    <col collapsed="false" customWidth="true" hidden="false" outlineLevel="0" max="15497" min="15497" style="70" width="3.29"/>
    <col collapsed="false" customWidth="true" hidden="false" outlineLevel="0" max="15498" min="15498" style="70" width="8"/>
    <col collapsed="false" customWidth="false" hidden="false" outlineLevel="0" max="15499" min="15499" style="70" width="42.57"/>
    <col collapsed="false" customWidth="true" hidden="false" outlineLevel="0" max="15500" min="15500" style="70" width="3.29"/>
    <col collapsed="false" customWidth="true" hidden="false" outlineLevel="0" max="15501" min="15501" style="70" width="8"/>
    <col collapsed="false" customWidth="false" hidden="false" outlineLevel="0" max="15502" min="15502" style="70" width="42.57"/>
    <col collapsed="false" customWidth="true" hidden="false" outlineLevel="0" max="15503" min="15503" style="70" width="3.29"/>
    <col collapsed="false" customWidth="true" hidden="false" outlineLevel="0" max="15504" min="15504" style="70" width="8"/>
    <col collapsed="false" customWidth="false" hidden="false" outlineLevel="0" max="15505" min="15505" style="70" width="42.57"/>
    <col collapsed="false" customWidth="true" hidden="false" outlineLevel="0" max="15506" min="15506" style="70" width="3.29"/>
    <col collapsed="false" customWidth="true" hidden="false" outlineLevel="0" max="15507" min="15507" style="70" width="8"/>
    <col collapsed="false" customWidth="false" hidden="false" outlineLevel="0" max="15508" min="15508" style="70" width="42.57"/>
    <col collapsed="false" customWidth="true" hidden="false" outlineLevel="0" max="15509" min="15509" style="70" width="3.29"/>
    <col collapsed="false" customWidth="true" hidden="false" outlineLevel="0" max="15510" min="15510" style="70" width="8"/>
    <col collapsed="false" customWidth="false" hidden="false" outlineLevel="0" max="15511" min="15511" style="70" width="42.57"/>
    <col collapsed="false" customWidth="true" hidden="false" outlineLevel="0" max="15512" min="15512" style="70" width="3.29"/>
    <col collapsed="false" customWidth="true" hidden="false" outlineLevel="0" max="15513" min="15513" style="70" width="8"/>
    <col collapsed="false" customWidth="false" hidden="false" outlineLevel="0" max="15514" min="15514" style="70" width="42.57"/>
    <col collapsed="false" customWidth="true" hidden="false" outlineLevel="0" max="15515" min="15515" style="70" width="3.29"/>
    <col collapsed="false" customWidth="true" hidden="false" outlineLevel="0" max="15516" min="15516" style="70" width="8"/>
    <col collapsed="false" customWidth="false" hidden="false" outlineLevel="0" max="15517" min="15517" style="70" width="42.57"/>
    <col collapsed="false" customWidth="true" hidden="false" outlineLevel="0" max="15518" min="15518" style="70" width="3.29"/>
    <col collapsed="false" customWidth="true" hidden="false" outlineLevel="0" max="15519" min="15519" style="70" width="8"/>
    <col collapsed="false" customWidth="false" hidden="false" outlineLevel="0" max="15520" min="15520" style="70" width="42.57"/>
    <col collapsed="false" customWidth="true" hidden="false" outlineLevel="0" max="15521" min="15521" style="70" width="3.29"/>
    <col collapsed="false" customWidth="true" hidden="false" outlineLevel="0" max="15522" min="15522" style="70" width="8"/>
    <col collapsed="false" customWidth="false" hidden="false" outlineLevel="0" max="15523" min="15523" style="70" width="42.57"/>
    <col collapsed="false" customWidth="true" hidden="false" outlineLevel="0" max="15524" min="15524" style="70" width="3.29"/>
    <col collapsed="false" customWidth="true" hidden="false" outlineLevel="0" max="15525" min="15525" style="70" width="8"/>
    <col collapsed="false" customWidth="false" hidden="false" outlineLevel="0" max="15526" min="15526" style="70" width="42.57"/>
    <col collapsed="false" customWidth="true" hidden="false" outlineLevel="0" max="15527" min="15527" style="70" width="3.29"/>
    <col collapsed="false" customWidth="true" hidden="false" outlineLevel="0" max="15528" min="15528" style="70" width="8"/>
    <col collapsed="false" customWidth="false" hidden="false" outlineLevel="0" max="15529" min="15529" style="70" width="42.57"/>
    <col collapsed="false" customWidth="true" hidden="false" outlineLevel="0" max="15530" min="15530" style="70" width="3.29"/>
    <col collapsed="false" customWidth="true" hidden="false" outlineLevel="0" max="15531" min="15531" style="70" width="8"/>
    <col collapsed="false" customWidth="false" hidden="false" outlineLevel="0" max="15532" min="15532" style="70" width="42.57"/>
    <col collapsed="false" customWidth="true" hidden="false" outlineLevel="0" max="15533" min="15533" style="70" width="3.29"/>
    <col collapsed="false" customWidth="true" hidden="false" outlineLevel="0" max="15534" min="15534" style="70" width="8"/>
    <col collapsed="false" customWidth="false" hidden="false" outlineLevel="0" max="15535" min="15535" style="70" width="42.57"/>
    <col collapsed="false" customWidth="true" hidden="false" outlineLevel="0" max="15536" min="15536" style="70" width="3.29"/>
    <col collapsed="false" customWidth="true" hidden="false" outlineLevel="0" max="15537" min="15537" style="70" width="8"/>
    <col collapsed="false" customWidth="false" hidden="false" outlineLevel="0" max="15538" min="15538" style="70" width="42.57"/>
    <col collapsed="false" customWidth="true" hidden="false" outlineLevel="0" max="15539" min="15539" style="70" width="3.29"/>
    <col collapsed="false" customWidth="true" hidden="false" outlineLevel="0" max="15540" min="15540" style="70" width="8"/>
    <col collapsed="false" customWidth="false" hidden="false" outlineLevel="0" max="15541" min="15541" style="70" width="42.57"/>
    <col collapsed="false" customWidth="true" hidden="false" outlineLevel="0" max="15542" min="15542" style="70" width="3.29"/>
    <col collapsed="false" customWidth="true" hidden="false" outlineLevel="0" max="15543" min="15543" style="70" width="8"/>
    <col collapsed="false" customWidth="false" hidden="false" outlineLevel="0" max="15544" min="15544" style="70" width="42.57"/>
    <col collapsed="false" customWidth="true" hidden="false" outlineLevel="0" max="15545" min="15545" style="70" width="3.29"/>
    <col collapsed="false" customWidth="true" hidden="false" outlineLevel="0" max="15546" min="15546" style="70" width="8"/>
    <col collapsed="false" customWidth="false" hidden="false" outlineLevel="0" max="15547" min="15547" style="70" width="42.57"/>
    <col collapsed="false" customWidth="true" hidden="false" outlineLevel="0" max="15548" min="15548" style="70" width="3.29"/>
    <col collapsed="false" customWidth="true" hidden="false" outlineLevel="0" max="15549" min="15549" style="70" width="8"/>
    <col collapsed="false" customWidth="false" hidden="false" outlineLevel="0" max="15550" min="15550" style="70" width="42.57"/>
    <col collapsed="false" customWidth="true" hidden="false" outlineLevel="0" max="15551" min="15551" style="70" width="3.29"/>
    <col collapsed="false" customWidth="true" hidden="false" outlineLevel="0" max="15552" min="15552" style="70" width="8"/>
    <col collapsed="false" customWidth="false" hidden="false" outlineLevel="0" max="15553" min="15553" style="70" width="42.57"/>
    <col collapsed="false" customWidth="true" hidden="false" outlineLevel="0" max="15554" min="15554" style="70" width="3.29"/>
    <col collapsed="false" customWidth="true" hidden="false" outlineLevel="0" max="15555" min="15555" style="70" width="8"/>
    <col collapsed="false" customWidth="false" hidden="false" outlineLevel="0" max="15556" min="15556" style="70" width="42.57"/>
    <col collapsed="false" customWidth="true" hidden="false" outlineLevel="0" max="15557" min="15557" style="70" width="3.29"/>
    <col collapsed="false" customWidth="true" hidden="false" outlineLevel="0" max="15558" min="15558" style="70" width="8"/>
    <col collapsed="false" customWidth="false" hidden="false" outlineLevel="0" max="15559" min="15559" style="70" width="42.57"/>
    <col collapsed="false" customWidth="true" hidden="false" outlineLevel="0" max="15560" min="15560" style="70" width="3.29"/>
    <col collapsed="false" customWidth="true" hidden="false" outlineLevel="0" max="15561" min="15561" style="70" width="8"/>
    <col collapsed="false" customWidth="false" hidden="false" outlineLevel="0" max="15562" min="15562" style="70" width="42.57"/>
    <col collapsed="false" customWidth="true" hidden="false" outlineLevel="0" max="15563" min="15563" style="70" width="3.29"/>
    <col collapsed="false" customWidth="true" hidden="false" outlineLevel="0" max="15564" min="15564" style="70" width="8"/>
    <col collapsed="false" customWidth="false" hidden="false" outlineLevel="0" max="15565" min="15565" style="70" width="42.57"/>
    <col collapsed="false" customWidth="true" hidden="false" outlineLevel="0" max="15566" min="15566" style="70" width="3.29"/>
    <col collapsed="false" customWidth="true" hidden="false" outlineLevel="0" max="15567" min="15567" style="70" width="8"/>
    <col collapsed="false" customWidth="false" hidden="false" outlineLevel="0" max="15568" min="15568" style="70" width="42.57"/>
    <col collapsed="false" customWidth="true" hidden="false" outlineLevel="0" max="15569" min="15569" style="70" width="3.29"/>
    <col collapsed="false" customWidth="true" hidden="false" outlineLevel="0" max="15570" min="15570" style="70" width="8"/>
    <col collapsed="false" customWidth="false" hidden="false" outlineLevel="0" max="15571" min="15571" style="70" width="42.57"/>
    <col collapsed="false" customWidth="true" hidden="false" outlineLevel="0" max="15572" min="15572" style="70" width="3.29"/>
    <col collapsed="false" customWidth="true" hidden="false" outlineLevel="0" max="15573" min="15573" style="70" width="8"/>
    <col collapsed="false" customWidth="false" hidden="false" outlineLevel="0" max="15574" min="15574" style="70" width="42.57"/>
    <col collapsed="false" customWidth="true" hidden="false" outlineLevel="0" max="15575" min="15575" style="70" width="3.29"/>
    <col collapsed="false" customWidth="true" hidden="false" outlineLevel="0" max="15576" min="15576" style="70" width="8"/>
    <col collapsed="false" customWidth="false" hidden="false" outlineLevel="0" max="15577" min="15577" style="70" width="42.57"/>
    <col collapsed="false" customWidth="true" hidden="false" outlineLevel="0" max="15578" min="15578" style="70" width="3.29"/>
    <col collapsed="false" customWidth="true" hidden="false" outlineLevel="0" max="15579" min="15579" style="70" width="8"/>
    <col collapsed="false" customWidth="false" hidden="false" outlineLevel="0" max="15580" min="15580" style="70" width="42.57"/>
    <col collapsed="false" customWidth="true" hidden="false" outlineLevel="0" max="15581" min="15581" style="70" width="3.29"/>
    <col collapsed="false" customWidth="true" hidden="false" outlineLevel="0" max="15582" min="15582" style="70" width="8"/>
    <col collapsed="false" customWidth="false" hidden="false" outlineLevel="0" max="15583" min="15583" style="70" width="42.57"/>
    <col collapsed="false" customWidth="true" hidden="false" outlineLevel="0" max="15584" min="15584" style="70" width="3.29"/>
    <col collapsed="false" customWidth="true" hidden="false" outlineLevel="0" max="15585" min="15585" style="70" width="8"/>
    <col collapsed="false" customWidth="false" hidden="false" outlineLevel="0" max="15586" min="15586" style="70" width="42.57"/>
    <col collapsed="false" customWidth="true" hidden="false" outlineLevel="0" max="15587" min="15587" style="70" width="3.29"/>
    <col collapsed="false" customWidth="true" hidden="false" outlineLevel="0" max="15588" min="15588" style="70" width="8"/>
    <col collapsed="false" customWidth="false" hidden="false" outlineLevel="0" max="15589" min="15589" style="70" width="42.57"/>
    <col collapsed="false" customWidth="true" hidden="false" outlineLevel="0" max="15590" min="15590" style="70" width="3.29"/>
    <col collapsed="false" customWidth="true" hidden="false" outlineLevel="0" max="15591" min="15591" style="70" width="8"/>
    <col collapsed="false" customWidth="false" hidden="false" outlineLevel="0" max="15592" min="15592" style="70" width="42.57"/>
    <col collapsed="false" customWidth="true" hidden="false" outlineLevel="0" max="15593" min="15593" style="70" width="3.29"/>
    <col collapsed="false" customWidth="true" hidden="false" outlineLevel="0" max="15594" min="15594" style="70" width="8"/>
    <col collapsed="false" customWidth="false" hidden="false" outlineLevel="0" max="15595" min="15595" style="70" width="42.57"/>
    <col collapsed="false" customWidth="true" hidden="false" outlineLevel="0" max="15596" min="15596" style="70" width="3.29"/>
    <col collapsed="false" customWidth="true" hidden="false" outlineLevel="0" max="15597" min="15597" style="70" width="8"/>
    <col collapsed="false" customWidth="false" hidden="false" outlineLevel="0" max="15598" min="15598" style="70" width="42.57"/>
    <col collapsed="false" customWidth="true" hidden="false" outlineLevel="0" max="15599" min="15599" style="70" width="3.29"/>
    <col collapsed="false" customWidth="true" hidden="false" outlineLevel="0" max="15600" min="15600" style="70" width="8"/>
    <col collapsed="false" customWidth="false" hidden="false" outlineLevel="0" max="15601" min="15601" style="70" width="42.57"/>
    <col collapsed="false" customWidth="true" hidden="false" outlineLevel="0" max="15602" min="15602" style="70" width="3.29"/>
    <col collapsed="false" customWidth="true" hidden="false" outlineLevel="0" max="15603" min="15603" style="70" width="8"/>
    <col collapsed="false" customWidth="false" hidden="false" outlineLevel="0" max="15604" min="15604" style="70" width="42.57"/>
    <col collapsed="false" customWidth="true" hidden="false" outlineLevel="0" max="15605" min="15605" style="70" width="3.29"/>
    <col collapsed="false" customWidth="true" hidden="false" outlineLevel="0" max="15606" min="15606" style="70" width="8"/>
    <col collapsed="false" customWidth="false" hidden="false" outlineLevel="0" max="15607" min="15607" style="70" width="42.57"/>
    <col collapsed="false" customWidth="true" hidden="false" outlineLevel="0" max="15608" min="15608" style="70" width="3.29"/>
    <col collapsed="false" customWidth="true" hidden="false" outlineLevel="0" max="15609" min="15609" style="70" width="8"/>
    <col collapsed="false" customWidth="false" hidden="false" outlineLevel="0" max="15610" min="15610" style="70" width="42.57"/>
    <col collapsed="false" customWidth="true" hidden="false" outlineLevel="0" max="15611" min="15611" style="70" width="3.29"/>
    <col collapsed="false" customWidth="true" hidden="false" outlineLevel="0" max="15612" min="15612" style="70" width="8"/>
    <col collapsed="false" customWidth="false" hidden="false" outlineLevel="0" max="15613" min="15613" style="70" width="42.57"/>
    <col collapsed="false" customWidth="true" hidden="false" outlineLevel="0" max="15614" min="15614" style="70" width="3.29"/>
    <col collapsed="false" customWidth="true" hidden="false" outlineLevel="0" max="15615" min="15615" style="70" width="8"/>
    <col collapsed="false" customWidth="false" hidden="false" outlineLevel="0" max="15616" min="15616" style="70" width="42.57"/>
    <col collapsed="false" customWidth="true" hidden="false" outlineLevel="0" max="15617" min="15617" style="70" width="3.29"/>
    <col collapsed="false" customWidth="true" hidden="false" outlineLevel="0" max="15618" min="15618" style="70" width="8"/>
    <col collapsed="false" customWidth="false" hidden="false" outlineLevel="0" max="15619" min="15619" style="70" width="42.57"/>
    <col collapsed="false" customWidth="true" hidden="false" outlineLevel="0" max="15620" min="15620" style="70" width="3.29"/>
    <col collapsed="false" customWidth="true" hidden="false" outlineLevel="0" max="15621" min="15621" style="70" width="8"/>
    <col collapsed="false" customWidth="false" hidden="false" outlineLevel="0" max="15622" min="15622" style="70" width="42.57"/>
    <col collapsed="false" customWidth="true" hidden="false" outlineLevel="0" max="15623" min="15623" style="70" width="3.29"/>
    <col collapsed="false" customWidth="true" hidden="false" outlineLevel="0" max="15624" min="15624" style="70" width="8"/>
    <col collapsed="false" customWidth="false" hidden="false" outlineLevel="0" max="15625" min="15625" style="70" width="42.57"/>
    <col collapsed="false" customWidth="true" hidden="false" outlineLevel="0" max="15626" min="15626" style="70" width="3.29"/>
    <col collapsed="false" customWidth="true" hidden="false" outlineLevel="0" max="15627" min="15627" style="70" width="8"/>
    <col collapsed="false" customWidth="false" hidden="false" outlineLevel="0" max="15628" min="15628" style="70" width="42.57"/>
    <col collapsed="false" customWidth="true" hidden="false" outlineLevel="0" max="15629" min="15629" style="70" width="3.29"/>
    <col collapsed="false" customWidth="true" hidden="false" outlineLevel="0" max="15630" min="15630" style="70" width="8"/>
    <col collapsed="false" customWidth="false" hidden="false" outlineLevel="0" max="15631" min="15631" style="70" width="42.57"/>
    <col collapsed="false" customWidth="true" hidden="false" outlineLevel="0" max="15632" min="15632" style="70" width="3.29"/>
    <col collapsed="false" customWidth="true" hidden="false" outlineLevel="0" max="15633" min="15633" style="70" width="8"/>
    <col collapsed="false" customWidth="false" hidden="false" outlineLevel="0" max="15634" min="15634" style="70" width="42.57"/>
    <col collapsed="false" customWidth="true" hidden="false" outlineLevel="0" max="15635" min="15635" style="70" width="3.29"/>
    <col collapsed="false" customWidth="true" hidden="false" outlineLevel="0" max="15636" min="15636" style="70" width="8"/>
    <col collapsed="false" customWidth="false" hidden="false" outlineLevel="0" max="15637" min="15637" style="70" width="42.57"/>
    <col collapsed="false" customWidth="true" hidden="false" outlineLevel="0" max="15638" min="15638" style="70" width="3.29"/>
    <col collapsed="false" customWidth="true" hidden="false" outlineLevel="0" max="15639" min="15639" style="70" width="8"/>
    <col collapsed="false" customWidth="false" hidden="false" outlineLevel="0" max="15640" min="15640" style="70" width="42.57"/>
    <col collapsed="false" customWidth="true" hidden="false" outlineLevel="0" max="15641" min="15641" style="70" width="3.29"/>
    <col collapsed="false" customWidth="true" hidden="false" outlineLevel="0" max="15642" min="15642" style="70" width="8"/>
    <col collapsed="false" customWidth="false" hidden="false" outlineLevel="0" max="15643" min="15643" style="70" width="42.57"/>
    <col collapsed="false" customWidth="true" hidden="false" outlineLevel="0" max="15644" min="15644" style="70" width="3.29"/>
    <col collapsed="false" customWidth="true" hidden="false" outlineLevel="0" max="15645" min="15645" style="70" width="8"/>
    <col collapsed="false" customWidth="false" hidden="false" outlineLevel="0" max="15646" min="15646" style="70" width="42.57"/>
    <col collapsed="false" customWidth="true" hidden="false" outlineLevel="0" max="15647" min="15647" style="70" width="3.29"/>
    <col collapsed="false" customWidth="true" hidden="false" outlineLevel="0" max="15648" min="15648" style="70" width="8"/>
    <col collapsed="false" customWidth="false" hidden="false" outlineLevel="0" max="15649" min="15649" style="70" width="42.57"/>
    <col collapsed="false" customWidth="true" hidden="false" outlineLevel="0" max="15650" min="15650" style="70" width="3.29"/>
    <col collapsed="false" customWidth="true" hidden="false" outlineLevel="0" max="15651" min="15651" style="70" width="8"/>
    <col collapsed="false" customWidth="false" hidden="false" outlineLevel="0" max="15652" min="15652" style="70" width="42.57"/>
    <col collapsed="false" customWidth="true" hidden="false" outlineLevel="0" max="15653" min="15653" style="70" width="3.29"/>
    <col collapsed="false" customWidth="true" hidden="false" outlineLevel="0" max="15654" min="15654" style="70" width="8"/>
    <col collapsed="false" customWidth="false" hidden="false" outlineLevel="0" max="15655" min="15655" style="70" width="42.57"/>
    <col collapsed="false" customWidth="true" hidden="false" outlineLevel="0" max="15656" min="15656" style="70" width="3.29"/>
    <col collapsed="false" customWidth="true" hidden="false" outlineLevel="0" max="15657" min="15657" style="70" width="8"/>
    <col collapsed="false" customWidth="false" hidden="false" outlineLevel="0" max="15658" min="15658" style="70" width="42.57"/>
    <col collapsed="false" customWidth="true" hidden="false" outlineLevel="0" max="15659" min="15659" style="70" width="3.29"/>
    <col collapsed="false" customWidth="true" hidden="false" outlineLevel="0" max="15660" min="15660" style="70" width="8"/>
    <col collapsed="false" customWidth="false" hidden="false" outlineLevel="0" max="15661" min="15661" style="70" width="42.57"/>
    <col collapsed="false" customWidth="true" hidden="false" outlineLevel="0" max="15662" min="15662" style="70" width="3.29"/>
    <col collapsed="false" customWidth="true" hidden="false" outlineLevel="0" max="15663" min="15663" style="70" width="8"/>
    <col collapsed="false" customWidth="false" hidden="false" outlineLevel="0" max="15664" min="15664" style="70" width="42.57"/>
    <col collapsed="false" customWidth="true" hidden="false" outlineLevel="0" max="15665" min="15665" style="70" width="3.29"/>
    <col collapsed="false" customWidth="true" hidden="false" outlineLevel="0" max="15666" min="15666" style="70" width="8"/>
    <col collapsed="false" customWidth="false" hidden="false" outlineLevel="0" max="15667" min="15667" style="70" width="42.57"/>
    <col collapsed="false" customWidth="true" hidden="false" outlineLevel="0" max="15668" min="15668" style="70" width="3.29"/>
    <col collapsed="false" customWidth="true" hidden="false" outlineLevel="0" max="15669" min="15669" style="70" width="8"/>
    <col collapsed="false" customWidth="false" hidden="false" outlineLevel="0" max="15670" min="15670" style="70" width="42.57"/>
    <col collapsed="false" customWidth="true" hidden="false" outlineLevel="0" max="15671" min="15671" style="70" width="3.29"/>
    <col collapsed="false" customWidth="true" hidden="false" outlineLevel="0" max="15672" min="15672" style="70" width="8"/>
    <col collapsed="false" customWidth="false" hidden="false" outlineLevel="0" max="15673" min="15673" style="70" width="42.57"/>
    <col collapsed="false" customWidth="true" hidden="false" outlineLevel="0" max="15674" min="15674" style="70" width="3.29"/>
    <col collapsed="false" customWidth="true" hidden="false" outlineLevel="0" max="15675" min="15675" style="70" width="8"/>
    <col collapsed="false" customWidth="false" hidden="false" outlineLevel="0" max="15676" min="15676" style="70" width="42.57"/>
    <col collapsed="false" customWidth="true" hidden="false" outlineLevel="0" max="15677" min="15677" style="70" width="3.29"/>
    <col collapsed="false" customWidth="true" hidden="false" outlineLevel="0" max="15678" min="15678" style="70" width="8"/>
    <col collapsed="false" customWidth="false" hidden="false" outlineLevel="0" max="15679" min="15679" style="70" width="42.57"/>
    <col collapsed="false" customWidth="true" hidden="false" outlineLevel="0" max="15680" min="15680" style="70" width="3.29"/>
    <col collapsed="false" customWidth="true" hidden="false" outlineLevel="0" max="15681" min="15681" style="70" width="8"/>
    <col collapsed="false" customWidth="false" hidden="false" outlineLevel="0" max="15682" min="15682" style="70" width="42.57"/>
    <col collapsed="false" customWidth="true" hidden="false" outlineLevel="0" max="15683" min="15683" style="70" width="3.29"/>
    <col collapsed="false" customWidth="true" hidden="false" outlineLevel="0" max="15684" min="15684" style="70" width="8"/>
    <col collapsed="false" customWidth="false" hidden="false" outlineLevel="0" max="15685" min="15685" style="70" width="42.57"/>
    <col collapsed="false" customWidth="true" hidden="false" outlineLevel="0" max="15686" min="15686" style="70" width="3.29"/>
    <col collapsed="false" customWidth="true" hidden="false" outlineLevel="0" max="15687" min="15687" style="70" width="8"/>
    <col collapsed="false" customWidth="false" hidden="false" outlineLevel="0" max="15688" min="15688" style="70" width="42.57"/>
    <col collapsed="false" customWidth="true" hidden="false" outlineLevel="0" max="15689" min="15689" style="70" width="3.29"/>
    <col collapsed="false" customWidth="true" hidden="false" outlineLevel="0" max="15690" min="15690" style="70" width="8"/>
    <col collapsed="false" customWidth="false" hidden="false" outlineLevel="0" max="15691" min="15691" style="70" width="42.57"/>
    <col collapsed="false" customWidth="true" hidden="false" outlineLevel="0" max="15692" min="15692" style="70" width="3.29"/>
    <col collapsed="false" customWidth="true" hidden="false" outlineLevel="0" max="15693" min="15693" style="70" width="8"/>
    <col collapsed="false" customWidth="false" hidden="false" outlineLevel="0" max="15694" min="15694" style="70" width="42.57"/>
    <col collapsed="false" customWidth="true" hidden="false" outlineLevel="0" max="15695" min="15695" style="70" width="3.29"/>
    <col collapsed="false" customWidth="true" hidden="false" outlineLevel="0" max="15696" min="15696" style="70" width="8"/>
    <col collapsed="false" customWidth="false" hidden="false" outlineLevel="0" max="15697" min="15697" style="70" width="42.57"/>
    <col collapsed="false" customWidth="true" hidden="false" outlineLevel="0" max="15698" min="15698" style="70" width="3.29"/>
    <col collapsed="false" customWidth="true" hidden="false" outlineLevel="0" max="15699" min="15699" style="70" width="8"/>
    <col collapsed="false" customWidth="false" hidden="false" outlineLevel="0" max="15700" min="15700" style="70" width="42.57"/>
    <col collapsed="false" customWidth="true" hidden="false" outlineLevel="0" max="15701" min="15701" style="70" width="3.29"/>
    <col collapsed="false" customWidth="true" hidden="false" outlineLevel="0" max="15702" min="15702" style="70" width="8"/>
    <col collapsed="false" customWidth="false" hidden="false" outlineLevel="0" max="15703" min="15703" style="70" width="42.57"/>
    <col collapsed="false" customWidth="true" hidden="false" outlineLevel="0" max="15704" min="15704" style="70" width="3.29"/>
    <col collapsed="false" customWidth="true" hidden="false" outlineLevel="0" max="15705" min="15705" style="70" width="8"/>
    <col collapsed="false" customWidth="false" hidden="false" outlineLevel="0" max="15706" min="15706" style="70" width="42.57"/>
    <col collapsed="false" customWidth="true" hidden="false" outlineLevel="0" max="15707" min="15707" style="70" width="3.29"/>
    <col collapsed="false" customWidth="true" hidden="false" outlineLevel="0" max="15708" min="15708" style="70" width="8"/>
    <col collapsed="false" customWidth="false" hidden="false" outlineLevel="0" max="15709" min="15709" style="70" width="42.57"/>
    <col collapsed="false" customWidth="true" hidden="false" outlineLevel="0" max="15710" min="15710" style="70" width="3.29"/>
    <col collapsed="false" customWidth="true" hidden="false" outlineLevel="0" max="15711" min="15711" style="70" width="8"/>
    <col collapsed="false" customWidth="false" hidden="false" outlineLevel="0" max="15712" min="15712" style="70" width="42.57"/>
    <col collapsed="false" customWidth="true" hidden="false" outlineLevel="0" max="15713" min="15713" style="70" width="3.29"/>
    <col collapsed="false" customWidth="true" hidden="false" outlineLevel="0" max="15714" min="15714" style="70" width="8"/>
    <col collapsed="false" customWidth="false" hidden="false" outlineLevel="0" max="15715" min="15715" style="70" width="42.57"/>
    <col collapsed="false" customWidth="true" hidden="false" outlineLevel="0" max="15716" min="15716" style="70" width="3.29"/>
    <col collapsed="false" customWidth="true" hidden="false" outlineLevel="0" max="15717" min="15717" style="70" width="8"/>
    <col collapsed="false" customWidth="false" hidden="false" outlineLevel="0" max="15718" min="15718" style="70" width="42.57"/>
    <col collapsed="false" customWidth="true" hidden="false" outlineLevel="0" max="15719" min="15719" style="70" width="3.29"/>
    <col collapsed="false" customWidth="true" hidden="false" outlineLevel="0" max="15720" min="15720" style="70" width="8"/>
    <col collapsed="false" customWidth="false" hidden="false" outlineLevel="0" max="15721" min="15721" style="70" width="42.57"/>
    <col collapsed="false" customWidth="true" hidden="false" outlineLevel="0" max="15722" min="15722" style="70" width="3.29"/>
    <col collapsed="false" customWidth="true" hidden="false" outlineLevel="0" max="15723" min="15723" style="70" width="8"/>
    <col collapsed="false" customWidth="false" hidden="false" outlineLevel="0" max="15724" min="15724" style="70" width="42.57"/>
    <col collapsed="false" customWidth="true" hidden="false" outlineLevel="0" max="15725" min="15725" style="70" width="3.29"/>
    <col collapsed="false" customWidth="true" hidden="false" outlineLevel="0" max="15726" min="15726" style="70" width="8"/>
    <col collapsed="false" customWidth="false" hidden="false" outlineLevel="0" max="15727" min="15727" style="70" width="42.57"/>
    <col collapsed="false" customWidth="true" hidden="false" outlineLevel="0" max="15728" min="15728" style="70" width="3.29"/>
    <col collapsed="false" customWidth="true" hidden="false" outlineLevel="0" max="15729" min="15729" style="70" width="8"/>
    <col collapsed="false" customWidth="false" hidden="false" outlineLevel="0" max="15730" min="15730" style="70" width="42.57"/>
    <col collapsed="false" customWidth="true" hidden="false" outlineLevel="0" max="15731" min="15731" style="70" width="3.29"/>
    <col collapsed="false" customWidth="true" hidden="false" outlineLevel="0" max="15732" min="15732" style="70" width="8"/>
    <col collapsed="false" customWidth="false" hidden="false" outlineLevel="0" max="15733" min="15733" style="70" width="42.57"/>
    <col collapsed="false" customWidth="true" hidden="false" outlineLevel="0" max="15734" min="15734" style="70" width="3.29"/>
    <col collapsed="false" customWidth="true" hidden="false" outlineLevel="0" max="15735" min="15735" style="70" width="8"/>
    <col collapsed="false" customWidth="false" hidden="false" outlineLevel="0" max="15736" min="15736" style="70" width="42.57"/>
    <col collapsed="false" customWidth="true" hidden="false" outlineLevel="0" max="15737" min="15737" style="70" width="3.29"/>
    <col collapsed="false" customWidth="true" hidden="false" outlineLevel="0" max="15738" min="15738" style="70" width="8"/>
    <col collapsed="false" customWidth="false" hidden="false" outlineLevel="0" max="15739" min="15739" style="70" width="42.57"/>
    <col collapsed="false" customWidth="true" hidden="false" outlineLevel="0" max="15740" min="15740" style="70" width="3.29"/>
    <col collapsed="false" customWidth="true" hidden="false" outlineLevel="0" max="15741" min="15741" style="70" width="8"/>
    <col collapsed="false" customWidth="false" hidden="false" outlineLevel="0" max="15742" min="15742" style="70" width="42.57"/>
    <col collapsed="false" customWidth="true" hidden="false" outlineLevel="0" max="15743" min="15743" style="70" width="3.29"/>
    <col collapsed="false" customWidth="true" hidden="false" outlineLevel="0" max="15744" min="15744" style="70" width="8"/>
    <col collapsed="false" customWidth="false" hidden="false" outlineLevel="0" max="15745" min="15745" style="70" width="42.57"/>
    <col collapsed="false" customWidth="true" hidden="false" outlineLevel="0" max="15746" min="15746" style="70" width="3.29"/>
    <col collapsed="false" customWidth="true" hidden="false" outlineLevel="0" max="15747" min="15747" style="70" width="8"/>
    <col collapsed="false" customWidth="false" hidden="false" outlineLevel="0" max="15748" min="15748" style="70" width="42.57"/>
    <col collapsed="false" customWidth="true" hidden="false" outlineLevel="0" max="15749" min="15749" style="70" width="3.29"/>
    <col collapsed="false" customWidth="true" hidden="false" outlineLevel="0" max="15750" min="15750" style="70" width="8"/>
    <col collapsed="false" customWidth="false" hidden="false" outlineLevel="0" max="15751" min="15751" style="70" width="42.57"/>
    <col collapsed="false" customWidth="true" hidden="false" outlineLevel="0" max="15752" min="15752" style="70" width="3.29"/>
    <col collapsed="false" customWidth="true" hidden="false" outlineLevel="0" max="15753" min="15753" style="70" width="8"/>
    <col collapsed="false" customWidth="false" hidden="false" outlineLevel="0" max="15754" min="15754" style="70" width="42.57"/>
    <col collapsed="false" customWidth="true" hidden="false" outlineLevel="0" max="15755" min="15755" style="70" width="3.29"/>
    <col collapsed="false" customWidth="true" hidden="false" outlineLevel="0" max="15756" min="15756" style="70" width="8"/>
    <col collapsed="false" customWidth="false" hidden="false" outlineLevel="0" max="15757" min="15757" style="70" width="42.57"/>
    <col collapsed="false" customWidth="true" hidden="false" outlineLevel="0" max="15758" min="15758" style="70" width="3.29"/>
    <col collapsed="false" customWidth="true" hidden="false" outlineLevel="0" max="15759" min="15759" style="70" width="8"/>
    <col collapsed="false" customWidth="false" hidden="false" outlineLevel="0" max="15760" min="15760" style="70" width="42.57"/>
    <col collapsed="false" customWidth="true" hidden="false" outlineLevel="0" max="15761" min="15761" style="70" width="3.29"/>
    <col collapsed="false" customWidth="true" hidden="false" outlineLevel="0" max="15762" min="15762" style="70" width="8"/>
    <col collapsed="false" customWidth="false" hidden="false" outlineLevel="0" max="15763" min="15763" style="70" width="42.57"/>
    <col collapsed="false" customWidth="true" hidden="false" outlineLevel="0" max="15764" min="15764" style="70" width="3.29"/>
    <col collapsed="false" customWidth="true" hidden="false" outlineLevel="0" max="15765" min="15765" style="70" width="8"/>
    <col collapsed="false" customWidth="false" hidden="false" outlineLevel="0" max="15766" min="15766" style="70" width="42.57"/>
    <col collapsed="false" customWidth="true" hidden="false" outlineLevel="0" max="15767" min="15767" style="70" width="3.29"/>
    <col collapsed="false" customWidth="true" hidden="false" outlineLevel="0" max="15768" min="15768" style="70" width="8"/>
    <col collapsed="false" customWidth="false" hidden="false" outlineLevel="0" max="15769" min="15769" style="70" width="42.57"/>
    <col collapsed="false" customWidth="true" hidden="false" outlineLevel="0" max="15770" min="15770" style="70" width="3.29"/>
    <col collapsed="false" customWidth="true" hidden="false" outlineLevel="0" max="15771" min="15771" style="70" width="8"/>
    <col collapsed="false" customWidth="false" hidden="false" outlineLevel="0" max="15772" min="15772" style="70" width="42.57"/>
    <col collapsed="false" customWidth="true" hidden="false" outlineLevel="0" max="15773" min="15773" style="70" width="3.29"/>
    <col collapsed="false" customWidth="true" hidden="false" outlineLevel="0" max="15774" min="15774" style="70" width="8"/>
    <col collapsed="false" customWidth="false" hidden="false" outlineLevel="0" max="15775" min="15775" style="70" width="42.57"/>
    <col collapsed="false" customWidth="true" hidden="false" outlineLevel="0" max="15776" min="15776" style="70" width="3.29"/>
    <col collapsed="false" customWidth="true" hidden="false" outlineLevel="0" max="15777" min="15777" style="70" width="8"/>
    <col collapsed="false" customWidth="false" hidden="false" outlineLevel="0" max="15778" min="15778" style="70" width="42.57"/>
    <col collapsed="false" customWidth="true" hidden="false" outlineLevel="0" max="15779" min="15779" style="70" width="3.29"/>
    <col collapsed="false" customWidth="true" hidden="false" outlineLevel="0" max="15780" min="15780" style="70" width="8"/>
    <col collapsed="false" customWidth="false" hidden="false" outlineLevel="0" max="15781" min="15781" style="70" width="42.57"/>
    <col collapsed="false" customWidth="true" hidden="false" outlineLevel="0" max="15782" min="15782" style="70" width="3.29"/>
    <col collapsed="false" customWidth="true" hidden="false" outlineLevel="0" max="15783" min="15783" style="70" width="8"/>
    <col collapsed="false" customWidth="false" hidden="false" outlineLevel="0" max="15784" min="15784" style="70" width="42.57"/>
    <col collapsed="false" customWidth="true" hidden="false" outlineLevel="0" max="15785" min="15785" style="70" width="3.29"/>
    <col collapsed="false" customWidth="true" hidden="false" outlineLevel="0" max="15786" min="15786" style="70" width="8"/>
    <col collapsed="false" customWidth="false" hidden="false" outlineLevel="0" max="15787" min="15787" style="70" width="42.57"/>
    <col collapsed="false" customWidth="true" hidden="false" outlineLevel="0" max="15788" min="15788" style="70" width="3.29"/>
    <col collapsed="false" customWidth="true" hidden="false" outlineLevel="0" max="15789" min="15789" style="70" width="8"/>
    <col collapsed="false" customWidth="false" hidden="false" outlineLevel="0" max="15790" min="15790" style="70" width="42.57"/>
    <col collapsed="false" customWidth="true" hidden="false" outlineLevel="0" max="15791" min="15791" style="70" width="3.29"/>
    <col collapsed="false" customWidth="true" hidden="false" outlineLevel="0" max="15792" min="15792" style="70" width="8"/>
    <col collapsed="false" customWidth="false" hidden="false" outlineLevel="0" max="15793" min="15793" style="70" width="42.57"/>
    <col collapsed="false" customWidth="true" hidden="false" outlineLevel="0" max="15794" min="15794" style="70" width="3.29"/>
    <col collapsed="false" customWidth="true" hidden="false" outlineLevel="0" max="15795" min="15795" style="70" width="8"/>
    <col collapsed="false" customWidth="false" hidden="false" outlineLevel="0" max="15796" min="15796" style="70" width="42.57"/>
    <col collapsed="false" customWidth="true" hidden="false" outlineLevel="0" max="15797" min="15797" style="70" width="3.29"/>
    <col collapsed="false" customWidth="true" hidden="false" outlineLevel="0" max="15798" min="15798" style="70" width="8"/>
    <col collapsed="false" customWidth="false" hidden="false" outlineLevel="0" max="15799" min="15799" style="70" width="42.57"/>
    <col collapsed="false" customWidth="true" hidden="false" outlineLevel="0" max="15800" min="15800" style="70" width="3.29"/>
    <col collapsed="false" customWidth="true" hidden="false" outlineLevel="0" max="15801" min="15801" style="70" width="8"/>
    <col collapsed="false" customWidth="false" hidden="false" outlineLevel="0" max="15802" min="15802" style="70" width="42.57"/>
    <col collapsed="false" customWidth="true" hidden="false" outlineLevel="0" max="15803" min="15803" style="70" width="3.29"/>
    <col collapsed="false" customWidth="true" hidden="false" outlineLevel="0" max="15804" min="15804" style="70" width="8"/>
    <col collapsed="false" customWidth="false" hidden="false" outlineLevel="0" max="15805" min="15805" style="70" width="42.57"/>
    <col collapsed="false" customWidth="true" hidden="false" outlineLevel="0" max="15806" min="15806" style="70" width="3.29"/>
    <col collapsed="false" customWidth="true" hidden="false" outlineLevel="0" max="15807" min="15807" style="70" width="8"/>
    <col collapsed="false" customWidth="false" hidden="false" outlineLevel="0" max="15808" min="15808" style="70" width="42.57"/>
    <col collapsed="false" customWidth="true" hidden="false" outlineLevel="0" max="15809" min="15809" style="70" width="3.29"/>
    <col collapsed="false" customWidth="true" hidden="false" outlineLevel="0" max="15810" min="15810" style="70" width="8"/>
    <col collapsed="false" customWidth="false" hidden="false" outlineLevel="0" max="15811" min="15811" style="70" width="42.57"/>
    <col collapsed="false" customWidth="true" hidden="false" outlineLevel="0" max="15812" min="15812" style="70" width="3.29"/>
    <col collapsed="false" customWidth="true" hidden="false" outlineLevel="0" max="15813" min="15813" style="70" width="8"/>
    <col collapsed="false" customWidth="false" hidden="false" outlineLevel="0" max="15814" min="15814" style="70" width="42.57"/>
    <col collapsed="false" customWidth="true" hidden="false" outlineLevel="0" max="15815" min="15815" style="70" width="3.29"/>
    <col collapsed="false" customWidth="true" hidden="false" outlineLevel="0" max="15816" min="15816" style="70" width="8"/>
    <col collapsed="false" customWidth="false" hidden="false" outlineLevel="0" max="15817" min="15817" style="70" width="42.57"/>
    <col collapsed="false" customWidth="true" hidden="false" outlineLevel="0" max="15818" min="15818" style="70" width="3.29"/>
    <col collapsed="false" customWidth="true" hidden="false" outlineLevel="0" max="15819" min="15819" style="70" width="8"/>
    <col collapsed="false" customWidth="false" hidden="false" outlineLevel="0" max="15820" min="15820" style="70" width="42.57"/>
    <col collapsed="false" customWidth="true" hidden="false" outlineLevel="0" max="15821" min="15821" style="70" width="3.29"/>
    <col collapsed="false" customWidth="true" hidden="false" outlineLevel="0" max="15822" min="15822" style="70" width="8"/>
    <col collapsed="false" customWidth="false" hidden="false" outlineLevel="0" max="15823" min="15823" style="70" width="42.57"/>
    <col collapsed="false" customWidth="true" hidden="false" outlineLevel="0" max="15824" min="15824" style="70" width="3.29"/>
    <col collapsed="false" customWidth="true" hidden="false" outlineLevel="0" max="15825" min="15825" style="70" width="8"/>
    <col collapsed="false" customWidth="false" hidden="false" outlineLevel="0" max="15826" min="15826" style="70" width="42.57"/>
    <col collapsed="false" customWidth="true" hidden="false" outlineLevel="0" max="15827" min="15827" style="70" width="3.29"/>
    <col collapsed="false" customWidth="true" hidden="false" outlineLevel="0" max="15828" min="15828" style="70" width="8"/>
    <col collapsed="false" customWidth="false" hidden="false" outlineLevel="0" max="15829" min="15829" style="70" width="42.57"/>
    <col collapsed="false" customWidth="true" hidden="false" outlineLevel="0" max="15830" min="15830" style="70" width="3.29"/>
    <col collapsed="false" customWidth="true" hidden="false" outlineLevel="0" max="15831" min="15831" style="70" width="8"/>
    <col collapsed="false" customWidth="false" hidden="false" outlineLevel="0" max="15832" min="15832" style="70" width="42.57"/>
    <col collapsed="false" customWidth="true" hidden="false" outlineLevel="0" max="15833" min="15833" style="70" width="3.29"/>
    <col collapsed="false" customWidth="true" hidden="false" outlineLevel="0" max="15834" min="15834" style="70" width="8"/>
    <col collapsed="false" customWidth="false" hidden="false" outlineLevel="0" max="15835" min="15835" style="70" width="42.57"/>
    <col collapsed="false" customWidth="true" hidden="false" outlineLevel="0" max="15836" min="15836" style="70" width="3.29"/>
    <col collapsed="false" customWidth="true" hidden="false" outlineLevel="0" max="15837" min="15837" style="70" width="8"/>
    <col collapsed="false" customWidth="false" hidden="false" outlineLevel="0" max="15838" min="15838" style="70" width="42.57"/>
    <col collapsed="false" customWidth="true" hidden="false" outlineLevel="0" max="15839" min="15839" style="70" width="3.29"/>
    <col collapsed="false" customWidth="true" hidden="false" outlineLevel="0" max="15840" min="15840" style="70" width="8"/>
    <col collapsed="false" customWidth="false" hidden="false" outlineLevel="0" max="15841" min="15841" style="70" width="42.57"/>
    <col collapsed="false" customWidth="true" hidden="false" outlineLevel="0" max="15842" min="15842" style="70" width="3.29"/>
    <col collapsed="false" customWidth="true" hidden="false" outlineLevel="0" max="15843" min="15843" style="70" width="8"/>
    <col collapsed="false" customWidth="false" hidden="false" outlineLevel="0" max="15844" min="15844" style="70" width="42.57"/>
    <col collapsed="false" customWidth="true" hidden="false" outlineLevel="0" max="15845" min="15845" style="70" width="3.29"/>
    <col collapsed="false" customWidth="true" hidden="false" outlineLevel="0" max="15846" min="15846" style="70" width="8"/>
    <col collapsed="false" customWidth="false" hidden="false" outlineLevel="0" max="15847" min="15847" style="70" width="42.57"/>
    <col collapsed="false" customWidth="true" hidden="false" outlineLevel="0" max="15848" min="15848" style="70" width="3.29"/>
    <col collapsed="false" customWidth="true" hidden="false" outlineLevel="0" max="15849" min="15849" style="70" width="8"/>
    <col collapsed="false" customWidth="false" hidden="false" outlineLevel="0" max="15850" min="15850" style="70" width="42.57"/>
    <col collapsed="false" customWidth="true" hidden="false" outlineLevel="0" max="15851" min="15851" style="70" width="3.29"/>
    <col collapsed="false" customWidth="true" hidden="false" outlineLevel="0" max="15852" min="15852" style="70" width="8"/>
    <col collapsed="false" customWidth="false" hidden="false" outlineLevel="0" max="15853" min="15853" style="70" width="42.57"/>
    <col collapsed="false" customWidth="true" hidden="false" outlineLevel="0" max="15854" min="15854" style="70" width="3.29"/>
    <col collapsed="false" customWidth="true" hidden="false" outlineLevel="0" max="15855" min="15855" style="70" width="8"/>
    <col collapsed="false" customWidth="false" hidden="false" outlineLevel="0" max="15856" min="15856" style="70" width="42.57"/>
    <col collapsed="false" customWidth="true" hidden="false" outlineLevel="0" max="15857" min="15857" style="70" width="3.29"/>
    <col collapsed="false" customWidth="true" hidden="false" outlineLevel="0" max="15858" min="15858" style="70" width="8"/>
    <col collapsed="false" customWidth="false" hidden="false" outlineLevel="0" max="15859" min="15859" style="70" width="42.57"/>
    <col collapsed="false" customWidth="true" hidden="false" outlineLevel="0" max="15860" min="15860" style="70" width="3.29"/>
    <col collapsed="false" customWidth="true" hidden="false" outlineLevel="0" max="15861" min="15861" style="70" width="8"/>
    <col collapsed="false" customWidth="false" hidden="false" outlineLevel="0" max="15862" min="15862" style="70" width="42.57"/>
    <col collapsed="false" customWidth="true" hidden="false" outlineLevel="0" max="15863" min="15863" style="70" width="3.29"/>
    <col collapsed="false" customWidth="true" hidden="false" outlineLevel="0" max="15864" min="15864" style="70" width="8"/>
    <col collapsed="false" customWidth="false" hidden="false" outlineLevel="0" max="15865" min="15865" style="70" width="42.57"/>
    <col collapsed="false" customWidth="true" hidden="false" outlineLevel="0" max="15866" min="15866" style="70" width="3.29"/>
    <col collapsed="false" customWidth="true" hidden="false" outlineLevel="0" max="15867" min="15867" style="70" width="8"/>
    <col collapsed="false" customWidth="false" hidden="false" outlineLevel="0" max="15868" min="15868" style="70" width="42.57"/>
    <col collapsed="false" customWidth="true" hidden="false" outlineLevel="0" max="15869" min="15869" style="70" width="3.29"/>
    <col collapsed="false" customWidth="true" hidden="false" outlineLevel="0" max="15870" min="15870" style="70" width="8"/>
    <col collapsed="false" customWidth="false" hidden="false" outlineLevel="0" max="15871" min="15871" style="70" width="42.57"/>
    <col collapsed="false" customWidth="true" hidden="false" outlineLevel="0" max="15872" min="15872" style="70" width="3.29"/>
    <col collapsed="false" customWidth="true" hidden="false" outlineLevel="0" max="15873" min="15873" style="70" width="8"/>
    <col collapsed="false" customWidth="false" hidden="false" outlineLevel="0" max="15874" min="15874" style="70" width="42.57"/>
    <col collapsed="false" customWidth="true" hidden="false" outlineLevel="0" max="15875" min="15875" style="70" width="3.29"/>
    <col collapsed="false" customWidth="true" hidden="false" outlineLevel="0" max="15876" min="15876" style="70" width="8"/>
    <col collapsed="false" customWidth="false" hidden="false" outlineLevel="0" max="15877" min="15877" style="70" width="42.57"/>
    <col collapsed="false" customWidth="true" hidden="false" outlineLevel="0" max="15878" min="15878" style="70" width="3.29"/>
    <col collapsed="false" customWidth="true" hidden="false" outlineLevel="0" max="15879" min="15879" style="70" width="8"/>
    <col collapsed="false" customWidth="false" hidden="false" outlineLevel="0" max="15880" min="15880" style="70" width="42.57"/>
    <col collapsed="false" customWidth="true" hidden="false" outlineLevel="0" max="15881" min="15881" style="70" width="3.29"/>
    <col collapsed="false" customWidth="true" hidden="false" outlineLevel="0" max="15882" min="15882" style="70" width="8"/>
    <col collapsed="false" customWidth="false" hidden="false" outlineLevel="0" max="15883" min="15883" style="70" width="42.57"/>
    <col collapsed="false" customWidth="true" hidden="false" outlineLevel="0" max="15884" min="15884" style="70" width="3.29"/>
    <col collapsed="false" customWidth="true" hidden="false" outlineLevel="0" max="15885" min="15885" style="70" width="8"/>
    <col collapsed="false" customWidth="false" hidden="false" outlineLevel="0" max="15886" min="15886" style="70" width="42.57"/>
    <col collapsed="false" customWidth="true" hidden="false" outlineLevel="0" max="15887" min="15887" style="70" width="3.29"/>
    <col collapsed="false" customWidth="true" hidden="false" outlineLevel="0" max="15888" min="15888" style="70" width="8"/>
    <col collapsed="false" customWidth="false" hidden="false" outlineLevel="0" max="15889" min="15889" style="70" width="42.57"/>
    <col collapsed="false" customWidth="true" hidden="false" outlineLevel="0" max="15890" min="15890" style="70" width="3.29"/>
    <col collapsed="false" customWidth="true" hidden="false" outlineLevel="0" max="15891" min="15891" style="70" width="8"/>
    <col collapsed="false" customWidth="false" hidden="false" outlineLevel="0" max="15892" min="15892" style="70" width="42.57"/>
    <col collapsed="false" customWidth="true" hidden="false" outlineLevel="0" max="15893" min="15893" style="70" width="3.29"/>
    <col collapsed="false" customWidth="true" hidden="false" outlineLevel="0" max="15894" min="15894" style="70" width="8"/>
    <col collapsed="false" customWidth="false" hidden="false" outlineLevel="0" max="15895" min="15895" style="70" width="42.57"/>
    <col collapsed="false" customWidth="true" hidden="false" outlineLevel="0" max="15896" min="15896" style="70" width="3.29"/>
    <col collapsed="false" customWidth="true" hidden="false" outlineLevel="0" max="15897" min="15897" style="70" width="8"/>
    <col collapsed="false" customWidth="false" hidden="false" outlineLevel="0" max="15898" min="15898" style="70" width="42.57"/>
    <col collapsed="false" customWidth="true" hidden="false" outlineLevel="0" max="15899" min="15899" style="70" width="3.29"/>
    <col collapsed="false" customWidth="true" hidden="false" outlineLevel="0" max="15900" min="15900" style="70" width="8"/>
    <col collapsed="false" customWidth="false" hidden="false" outlineLevel="0" max="15901" min="15901" style="70" width="42.57"/>
    <col collapsed="false" customWidth="true" hidden="false" outlineLevel="0" max="15902" min="15902" style="70" width="3.29"/>
    <col collapsed="false" customWidth="true" hidden="false" outlineLevel="0" max="15903" min="15903" style="70" width="8"/>
    <col collapsed="false" customWidth="false" hidden="false" outlineLevel="0" max="15904" min="15904" style="70" width="42.57"/>
    <col collapsed="false" customWidth="true" hidden="false" outlineLevel="0" max="15905" min="15905" style="70" width="3.29"/>
    <col collapsed="false" customWidth="true" hidden="false" outlineLevel="0" max="15906" min="15906" style="70" width="8"/>
    <col collapsed="false" customWidth="false" hidden="false" outlineLevel="0" max="15907" min="15907" style="70" width="42.57"/>
    <col collapsed="false" customWidth="true" hidden="false" outlineLevel="0" max="15908" min="15908" style="70" width="3.29"/>
    <col collapsed="false" customWidth="true" hidden="false" outlineLevel="0" max="15909" min="15909" style="70" width="8"/>
    <col collapsed="false" customWidth="false" hidden="false" outlineLevel="0" max="15910" min="15910" style="70" width="42.57"/>
    <col collapsed="false" customWidth="true" hidden="false" outlineLevel="0" max="15911" min="15911" style="70" width="3.29"/>
    <col collapsed="false" customWidth="true" hidden="false" outlineLevel="0" max="15912" min="15912" style="70" width="8"/>
    <col collapsed="false" customWidth="false" hidden="false" outlineLevel="0" max="15913" min="15913" style="70" width="42.57"/>
    <col collapsed="false" customWidth="true" hidden="false" outlineLevel="0" max="15914" min="15914" style="70" width="3.29"/>
    <col collapsed="false" customWidth="true" hidden="false" outlineLevel="0" max="15915" min="15915" style="70" width="8"/>
    <col collapsed="false" customWidth="false" hidden="false" outlineLevel="0" max="15916" min="15916" style="70" width="42.57"/>
    <col collapsed="false" customWidth="true" hidden="false" outlineLevel="0" max="15917" min="15917" style="70" width="3.29"/>
    <col collapsed="false" customWidth="true" hidden="false" outlineLevel="0" max="15918" min="15918" style="70" width="8"/>
    <col collapsed="false" customWidth="false" hidden="false" outlineLevel="0" max="15919" min="15919" style="70" width="42.57"/>
    <col collapsed="false" customWidth="true" hidden="false" outlineLevel="0" max="15920" min="15920" style="70" width="3.29"/>
    <col collapsed="false" customWidth="true" hidden="false" outlineLevel="0" max="15921" min="15921" style="70" width="8"/>
    <col collapsed="false" customWidth="false" hidden="false" outlineLevel="0" max="15922" min="15922" style="70" width="42.57"/>
    <col collapsed="false" customWidth="true" hidden="false" outlineLevel="0" max="15923" min="15923" style="70" width="3.29"/>
    <col collapsed="false" customWidth="true" hidden="false" outlineLevel="0" max="15924" min="15924" style="70" width="8"/>
    <col collapsed="false" customWidth="false" hidden="false" outlineLevel="0" max="15925" min="15925" style="70" width="42.57"/>
    <col collapsed="false" customWidth="true" hidden="false" outlineLevel="0" max="15926" min="15926" style="70" width="3.29"/>
    <col collapsed="false" customWidth="true" hidden="false" outlineLevel="0" max="15927" min="15927" style="70" width="8"/>
    <col collapsed="false" customWidth="false" hidden="false" outlineLevel="0" max="15928" min="15928" style="70" width="42.57"/>
    <col collapsed="false" customWidth="true" hidden="false" outlineLevel="0" max="15929" min="15929" style="70" width="3.29"/>
    <col collapsed="false" customWidth="true" hidden="false" outlineLevel="0" max="15930" min="15930" style="70" width="8"/>
    <col collapsed="false" customWidth="false" hidden="false" outlineLevel="0" max="15931" min="15931" style="70" width="42.57"/>
    <col collapsed="false" customWidth="true" hidden="false" outlineLevel="0" max="15932" min="15932" style="70" width="3.29"/>
    <col collapsed="false" customWidth="true" hidden="false" outlineLevel="0" max="15933" min="15933" style="70" width="8"/>
    <col collapsed="false" customWidth="false" hidden="false" outlineLevel="0" max="15934" min="15934" style="70" width="42.57"/>
    <col collapsed="false" customWidth="true" hidden="false" outlineLevel="0" max="15935" min="15935" style="70" width="3.29"/>
    <col collapsed="false" customWidth="true" hidden="false" outlineLevel="0" max="15936" min="15936" style="70" width="8"/>
    <col collapsed="false" customWidth="false" hidden="false" outlineLevel="0" max="15937" min="15937" style="70" width="42.57"/>
    <col collapsed="false" customWidth="true" hidden="false" outlineLevel="0" max="15938" min="15938" style="70" width="3.29"/>
    <col collapsed="false" customWidth="true" hidden="false" outlineLevel="0" max="15939" min="15939" style="70" width="8"/>
    <col collapsed="false" customWidth="false" hidden="false" outlineLevel="0" max="15940" min="15940" style="70" width="42.57"/>
    <col collapsed="false" customWidth="true" hidden="false" outlineLevel="0" max="15941" min="15941" style="70" width="3.29"/>
    <col collapsed="false" customWidth="true" hidden="false" outlineLevel="0" max="15942" min="15942" style="70" width="8"/>
    <col collapsed="false" customWidth="false" hidden="false" outlineLevel="0" max="15943" min="15943" style="70" width="42.57"/>
    <col collapsed="false" customWidth="true" hidden="false" outlineLevel="0" max="15944" min="15944" style="70" width="3.29"/>
    <col collapsed="false" customWidth="true" hidden="false" outlineLevel="0" max="15945" min="15945" style="70" width="8"/>
    <col collapsed="false" customWidth="false" hidden="false" outlineLevel="0" max="15946" min="15946" style="70" width="42.57"/>
    <col collapsed="false" customWidth="true" hidden="false" outlineLevel="0" max="15947" min="15947" style="70" width="3.29"/>
    <col collapsed="false" customWidth="true" hidden="false" outlineLevel="0" max="15948" min="15948" style="70" width="8"/>
    <col collapsed="false" customWidth="false" hidden="false" outlineLevel="0" max="15949" min="15949" style="70" width="42.57"/>
    <col collapsed="false" customWidth="true" hidden="false" outlineLevel="0" max="15950" min="15950" style="70" width="3.29"/>
    <col collapsed="false" customWidth="true" hidden="false" outlineLevel="0" max="15951" min="15951" style="70" width="8"/>
    <col collapsed="false" customWidth="false" hidden="false" outlineLevel="0" max="15952" min="15952" style="70" width="42.57"/>
    <col collapsed="false" customWidth="true" hidden="false" outlineLevel="0" max="15953" min="15953" style="70" width="3.29"/>
    <col collapsed="false" customWidth="true" hidden="false" outlineLevel="0" max="15954" min="15954" style="70" width="8"/>
    <col collapsed="false" customWidth="false" hidden="false" outlineLevel="0" max="15955" min="15955" style="70" width="42.57"/>
    <col collapsed="false" customWidth="true" hidden="false" outlineLevel="0" max="15956" min="15956" style="70" width="3.29"/>
    <col collapsed="false" customWidth="true" hidden="false" outlineLevel="0" max="15957" min="15957" style="70" width="8"/>
    <col collapsed="false" customWidth="false" hidden="false" outlineLevel="0" max="15958" min="15958" style="70" width="42.57"/>
    <col collapsed="false" customWidth="true" hidden="false" outlineLevel="0" max="15959" min="15959" style="70" width="3.29"/>
    <col collapsed="false" customWidth="true" hidden="false" outlineLevel="0" max="15960" min="15960" style="70" width="8"/>
    <col collapsed="false" customWidth="false" hidden="false" outlineLevel="0" max="15961" min="15961" style="70" width="42.57"/>
    <col collapsed="false" customWidth="true" hidden="false" outlineLevel="0" max="15962" min="15962" style="70" width="3.29"/>
    <col collapsed="false" customWidth="true" hidden="false" outlineLevel="0" max="15963" min="15963" style="70" width="8"/>
    <col collapsed="false" customWidth="false" hidden="false" outlineLevel="0" max="15964" min="15964" style="70" width="42.57"/>
    <col collapsed="false" customWidth="true" hidden="false" outlineLevel="0" max="15965" min="15965" style="70" width="3.29"/>
    <col collapsed="false" customWidth="true" hidden="false" outlineLevel="0" max="15966" min="15966" style="70" width="8"/>
    <col collapsed="false" customWidth="false" hidden="false" outlineLevel="0" max="15967" min="15967" style="70" width="42.57"/>
    <col collapsed="false" customWidth="true" hidden="false" outlineLevel="0" max="15968" min="15968" style="70" width="3.29"/>
    <col collapsed="false" customWidth="true" hidden="false" outlineLevel="0" max="15969" min="15969" style="70" width="8"/>
    <col collapsed="false" customWidth="false" hidden="false" outlineLevel="0" max="15970" min="15970" style="70" width="42.57"/>
    <col collapsed="false" customWidth="true" hidden="false" outlineLevel="0" max="15971" min="15971" style="70" width="3.29"/>
    <col collapsed="false" customWidth="true" hidden="false" outlineLevel="0" max="15972" min="15972" style="70" width="8"/>
    <col collapsed="false" customWidth="false" hidden="false" outlineLevel="0" max="15973" min="15973" style="70" width="42.57"/>
    <col collapsed="false" customWidth="true" hidden="false" outlineLevel="0" max="15974" min="15974" style="70" width="3.29"/>
    <col collapsed="false" customWidth="true" hidden="false" outlineLevel="0" max="15975" min="15975" style="70" width="8"/>
    <col collapsed="false" customWidth="false" hidden="false" outlineLevel="0" max="15976" min="15976" style="70" width="42.57"/>
    <col collapsed="false" customWidth="true" hidden="false" outlineLevel="0" max="15977" min="15977" style="70" width="3.29"/>
    <col collapsed="false" customWidth="true" hidden="false" outlineLevel="0" max="15978" min="15978" style="70" width="8"/>
    <col collapsed="false" customWidth="false" hidden="false" outlineLevel="0" max="15979" min="15979" style="70" width="42.57"/>
    <col collapsed="false" customWidth="true" hidden="false" outlineLevel="0" max="15980" min="15980" style="70" width="3.29"/>
    <col collapsed="false" customWidth="true" hidden="false" outlineLevel="0" max="15981" min="15981" style="70" width="8"/>
    <col collapsed="false" customWidth="false" hidden="false" outlineLevel="0" max="15982" min="15982" style="70" width="42.57"/>
    <col collapsed="false" customWidth="true" hidden="false" outlineLevel="0" max="15983" min="15983" style="70" width="3.29"/>
    <col collapsed="false" customWidth="true" hidden="false" outlineLevel="0" max="15984" min="15984" style="70" width="8"/>
    <col collapsed="false" customWidth="false" hidden="false" outlineLevel="0" max="15985" min="15985" style="70" width="42.57"/>
    <col collapsed="false" customWidth="true" hidden="false" outlineLevel="0" max="15986" min="15986" style="70" width="3.29"/>
    <col collapsed="false" customWidth="true" hidden="false" outlineLevel="0" max="15987" min="15987" style="70" width="8"/>
    <col collapsed="false" customWidth="false" hidden="false" outlineLevel="0" max="15988" min="15988" style="70" width="42.57"/>
    <col collapsed="false" customWidth="true" hidden="false" outlineLevel="0" max="15989" min="15989" style="70" width="3.29"/>
    <col collapsed="false" customWidth="true" hidden="false" outlineLevel="0" max="15990" min="15990" style="70" width="8"/>
    <col collapsed="false" customWidth="false" hidden="false" outlineLevel="0" max="15991" min="15991" style="70" width="42.57"/>
    <col collapsed="false" customWidth="true" hidden="false" outlineLevel="0" max="15992" min="15992" style="70" width="3.29"/>
    <col collapsed="false" customWidth="true" hidden="false" outlineLevel="0" max="15993" min="15993" style="70" width="8"/>
    <col collapsed="false" customWidth="false" hidden="false" outlineLevel="0" max="15994" min="15994" style="70" width="42.57"/>
    <col collapsed="false" customWidth="true" hidden="false" outlineLevel="0" max="15995" min="15995" style="70" width="3.29"/>
    <col collapsed="false" customWidth="true" hidden="false" outlineLevel="0" max="15996" min="15996" style="70" width="8"/>
    <col collapsed="false" customWidth="false" hidden="false" outlineLevel="0" max="15997" min="15997" style="70" width="42.57"/>
    <col collapsed="false" customWidth="true" hidden="false" outlineLevel="0" max="15998" min="15998" style="70" width="3.29"/>
    <col collapsed="false" customWidth="true" hidden="false" outlineLevel="0" max="15999" min="15999" style="70" width="8"/>
    <col collapsed="false" customWidth="false" hidden="false" outlineLevel="0" max="16000" min="16000" style="70" width="42.57"/>
    <col collapsed="false" customWidth="true" hidden="false" outlineLevel="0" max="16001" min="16001" style="70" width="3.29"/>
    <col collapsed="false" customWidth="true" hidden="false" outlineLevel="0" max="16002" min="16002" style="70" width="8"/>
    <col collapsed="false" customWidth="false" hidden="false" outlineLevel="0" max="16003" min="16003" style="70" width="42.57"/>
    <col collapsed="false" customWidth="true" hidden="false" outlineLevel="0" max="16004" min="16004" style="70" width="3.29"/>
    <col collapsed="false" customWidth="true" hidden="false" outlineLevel="0" max="16005" min="16005" style="70" width="8"/>
    <col collapsed="false" customWidth="false" hidden="false" outlineLevel="0" max="16006" min="16006" style="70" width="42.57"/>
    <col collapsed="false" customWidth="true" hidden="false" outlineLevel="0" max="16007" min="16007" style="70" width="3.29"/>
    <col collapsed="false" customWidth="true" hidden="false" outlineLevel="0" max="16008" min="16008" style="70" width="8"/>
    <col collapsed="false" customWidth="false" hidden="false" outlineLevel="0" max="16009" min="16009" style="70" width="42.57"/>
    <col collapsed="false" customWidth="true" hidden="false" outlineLevel="0" max="16010" min="16010" style="70" width="3.29"/>
    <col collapsed="false" customWidth="true" hidden="false" outlineLevel="0" max="16011" min="16011" style="70" width="8"/>
    <col collapsed="false" customWidth="false" hidden="false" outlineLevel="0" max="16012" min="16012" style="70" width="42.57"/>
    <col collapsed="false" customWidth="true" hidden="false" outlineLevel="0" max="16013" min="16013" style="70" width="3.29"/>
    <col collapsed="false" customWidth="true" hidden="false" outlineLevel="0" max="16014" min="16014" style="70" width="8"/>
    <col collapsed="false" customWidth="false" hidden="false" outlineLevel="0" max="16015" min="16015" style="70" width="42.57"/>
    <col collapsed="false" customWidth="true" hidden="false" outlineLevel="0" max="16016" min="16016" style="70" width="3.29"/>
    <col collapsed="false" customWidth="true" hidden="false" outlineLevel="0" max="16017" min="16017" style="70" width="8"/>
    <col collapsed="false" customWidth="false" hidden="false" outlineLevel="0" max="16018" min="16018" style="70" width="42.57"/>
    <col collapsed="false" customWidth="true" hidden="false" outlineLevel="0" max="16019" min="16019" style="70" width="3.29"/>
    <col collapsed="false" customWidth="true" hidden="false" outlineLevel="0" max="16020" min="16020" style="70" width="8"/>
    <col collapsed="false" customWidth="false" hidden="false" outlineLevel="0" max="16021" min="16021" style="70" width="42.57"/>
    <col collapsed="false" customWidth="true" hidden="false" outlineLevel="0" max="16022" min="16022" style="70" width="3.29"/>
    <col collapsed="false" customWidth="true" hidden="false" outlineLevel="0" max="16023" min="16023" style="70" width="8"/>
    <col collapsed="false" customWidth="false" hidden="false" outlineLevel="0" max="16024" min="16024" style="70" width="42.57"/>
    <col collapsed="false" customWidth="true" hidden="false" outlineLevel="0" max="16025" min="16025" style="70" width="3.29"/>
    <col collapsed="false" customWidth="true" hidden="false" outlineLevel="0" max="16026" min="16026" style="70" width="8"/>
    <col collapsed="false" customWidth="false" hidden="false" outlineLevel="0" max="16027" min="16027" style="70" width="42.57"/>
    <col collapsed="false" customWidth="true" hidden="false" outlineLevel="0" max="16028" min="16028" style="70" width="3.29"/>
    <col collapsed="false" customWidth="true" hidden="false" outlineLevel="0" max="16029" min="16029" style="70" width="8"/>
    <col collapsed="false" customWidth="false" hidden="false" outlineLevel="0" max="16030" min="16030" style="70" width="42.57"/>
    <col collapsed="false" customWidth="true" hidden="false" outlineLevel="0" max="16031" min="16031" style="70" width="3.29"/>
    <col collapsed="false" customWidth="true" hidden="false" outlineLevel="0" max="16032" min="16032" style="70" width="8"/>
    <col collapsed="false" customWidth="false" hidden="false" outlineLevel="0" max="16033" min="16033" style="70" width="42.57"/>
    <col collapsed="false" customWidth="true" hidden="false" outlineLevel="0" max="16034" min="16034" style="70" width="3.29"/>
    <col collapsed="false" customWidth="true" hidden="false" outlineLevel="0" max="16035" min="16035" style="70" width="8"/>
    <col collapsed="false" customWidth="false" hidden="false" outlineLevel="0" max="16036" min="16036" style="70" width="42.57"/>
    <col collapsed="false" customWidth="true" hidden="false" outlineLevel="0" max="16037" min="16037" style="70" width="3.29"/>
    <col collapsed="false" customWidth="true" hidden="false" outlineLevel="0" max="16038" min="16038" style="70" width="8"/>
    <col collapsed="false" customWidth="false" hidden="false" outlineLevel="0" max="16039" min="16039" style="70" width="42.57"/>
    <col collapsed="false" customWidth="true" hidden="false" outlineLevel="0" max="16040" min="16040" style="70" width="3.29"/>
    <col collapsed="false" customWidth="true" hidden="false" outlineLevel="0" max="16041" min="16041" style="70" width="8"/>
    <col collapsed="false" customWidth="false" hidden="false" outlineLevel="0" max="16042" min="16042" style="70" width="42.57"/>
    <col collapsed="false" customWidth="true" hidden="false" outlineLevel="0" max="16043" min="16043" style="70" width="3.29"/>
    <col collapsed="false" customWidth="true" hidden="false" outlineLevel="0" max="16044" min="16044" style="70" width="8"/>
    <col collapsed="false" customWidth="false" hidden="false" outlineLevel="0" max="16045" min="16045" style="70" width="42.57"/>
    <col collapsed="false" customWidth="true" hidden="false" outlineLevel="0" max="16046" min="16046" style="70" width="3.29"/>
    <col collapsed="false" customWidth="true" hidden="false" outlineLevel="0" max="16047" min="16047" style="70" width="8"/>
    <col collapsed="false" customWidth="false" hidden="false" outlineLevel="0" max="16048" min="16048" style="70" width="42.57"/>
    <col collapsed="false" customWidth="true" hidden="false" outlineLevel="0" max="16049" min="16049" style="70" width="3.29"/>
    <col collapsed="false" customWidth="true" hidden="false" outlineLevel="0" max="16050" min="16050" style="70" width="8"/>
    <col collapsed="false" customWidth="false" hidden="false" outlineLevel="0" max="16051" min="16051" style="70" width="42.57"/>
    <col collapsed="false" customWidth="true" hidden="false" outlineLevel="0" max="16052" min="16052" style="70" width="3.29"/>
    <col collapsed="false" customWidth="true" hidden="false" outlineLevel="0" max="16053" min="16053" style="70" width="8"/>
    <col collapsed="false" customWidth="false" hidden="false" outlineLevel="0" max="16054" min="16054" style="70" width="42.57"/>
    <col collapsed="false" customWidth="true" hidden="false" outlineLevel="0" max="16055" min="16055" style="70" width="3.29"/>
    <col collapsed="false" customWidth="true" hidden="false" outlineLevel="0" max="16056" min="16056" style="70" width="8"/>
    <col collapsed="false" customWidth="false" hidden="false" outlineLevel="0" max="16057" min="16057" style="70" width="42.57"/>
    <col collapsed="false" customWidth="true" hidden="false" outlineLevel="0" max="16058" min="16058" style="70" width="3.29"/>
    <col collapsed="false" customWidth="true" hidden="false" outlineLevel="0" max="16059" min="16059" style="70" width="8"/>
    <col collapsed="false" customWidth="false" hidden="false" outlineLevel="0" max="16060" min="16060" style="70" width="42.57"/>
    <col collapsed="false" customWidth="true" hidden="false" outlineLevel="0" max="16061" min="16061" style="70" width="3.29"/>
    <col collapsed="false" customWidth="true" hidden="false" outlineLevel="0" max="16062" min="16062" style="70" width="8"/>
    <col collapsed="false" customWidth="false" hidden="false" outlineLevel="0" max="16063" min="16063" style="70" width="42.57"/>
    <col collapsed="false" customWidth="true" hidden="false" outlineLevel="0" max="16064" min="16064" style="70" width="3.29"/>
    <col collapsed="false" customWidth="true" hidden="false" outlineLevel="0" max="16065" min="16065" style="70" width="8"/>
    <col collapsed="false" customWidth="false" hidden="false" outlineLevel="0" max="16066" min="16066" style="70" width="42.57"/>
    <col collapsed="false" customWidth="true" hidden="false" outlineLevel="0" max="16067" min="16067" style="70" width="3.29"/>
    <col collapsed="false" customWidth="true" hidden="false" outlineLevel="0" max="16068" min="16068" style="70" width="8"/>
    <col collapsed="false" customWidth="false" hidden="false" outlineLevel="0" max="16069" min="16069" style="70" width="42.57"/>
    <col collapsed="false" customWidth="true" hidden="false" outlineLevel="0" max="16070" min="16070" style="70" width="3.29"/>
    <col collapsed="false" customWidth="true" hidden="false" outlineLevel="0" max="16071" min="16071" style="70" width="8"/>
    <col collapsed="false" customWidth="false" hidden="false" outlineLevel="0" max="16072" min="16072" style="70" width="42.57"/>
    <col collapsed="false" customWidth="true" hidden="false" outlineLevel="0" max="16073" min="16073" style="70" width="3.29"/>
    <col collapsed="false" customWidth="true" hidden="false" outlineLevel="0" max="16074" min="16074" style="70" width="8"/>
    <col collapsed="false" customWidth="false" hidden="false" outlineLevel="0" max="16075" min="16075" style="70" width="42.57"/>
    <col collapsed="false" customWidth="true" hidden="false" outlineLevel="0" max="16076" min="16076" style="70" width="3.29"/>
    <col collapsed="false" customWidth="true" hidden="false" outlineLevel="0" max="16077" min="16077" style="70" width="8"/>
    <col collapsed="false" customWidth="false" hidden="false" outlineLevel="0" max="16078" min="16078" style="70" width="42.57"/>
    <col collapsed="false" customWidth="true" hidden="false" outlineLevel="0" max="16079" min="16079" style="70" width="3.29"/>
    <col collapsed="false" customWidth="true" hidden="false" outlineLevel="0" max="16080" min="16080" style="70" width="8"/>
    <col collapsed="false" customWidth="false" hidden="false" outlineLevel="0" max="16081" min="16081" style="70" width="42.57"/>
    <col collapsed="false" customWidth="true" hidden="false" outlineLevel="0" max="16082" min="16082" style="70" width="3.29"/>
    <col collapsed="false" customWidth="true" hidden="false" outlineLevel="0" max="16083" min="16083" style="70" width="8"/>
    <col collapsed="false" customWidth="false" hidden="false" outlineLevel="0" max="16084" min="16084" style="70" width="42.57"/>
    <col collapsed="false" customWidth="true" hidden="false" outlineLevel="0" max="16085" min="16085" style="70" width="3.29"/>
    <col collapsed="false" customWidth="true" hidden="false" outlineLevel="0" max="16086" min="16086" style="70" width="8"/>
    <col collapsed="false" customWidth="false" hidden="false" outlineLevel="0" max="16087" min="16087" style="70" width="42.57"/>
    <col collapsed="false" customWidth="true" hidden="false" outlineLevel="0" max="16088" min="16088" style="70" width="3.29"/>
    <col collapsed="false" customWidth="true" hidden="false" outlineLevel="0" max="16089" min="16089" style="70" width="8"/>
    <col collapsed="false" customWidth="false" hidden="false" outlineLevel="0" max="16090" min="16090" style="70" width="42.57"/>
    <col collapsed="false" customWidth="true" hidden="false" outlineLevel="0" max="16091" min="16091" style="70" width="3.29"/>
    <col collapsed="false" customWidth="true" hidden="false" outlineLevel="0" max="16092" min="16092" style="70" width="8"/>
    <col collapsed="false" customWidth="false" hidden="false" outlineLevel="0" max="16093" min="16093" style="70" width="42.57"/>
    <col collapsed="false" customWidth="true" hidden="false" outlineLevel="0" max="16094" min="16094" style="70" width="3.29"/>
    <col collapsed="false" customWidth="true" hidden="false" outlineLevel="0" max="16095" min="16095" style="70" width="8"/>
    <col collapsed="false" customWidth="false" hidden="false" outlineLevel="0" max="16096" min="16096" style="70" width="42.57"/>
    <col collapsed="false" customWidth="true" hidden="false" outlineLevel="0" max="16097" min="16097" style="70" width="3.29"/>
    <col collapsed="false" customWidth="true" hidden="false" outlineLevel="0" max="16098" min="16098" style="70" width="8"/>
    <col collapsed="false" customWidth="false" hidden="false" outlineLevel="0" max="16099" min="16099" style="70" width="42.57"/>
    <col collapsed="false" customWidth="true" hidden="false" outlineLevel="0" max="16100" min="16100" style="70" width="3.29"/>
    <col collapsed="false" customWidth="true" hidden="false" outlineLevel="0" max="16101" min="16101" style="70" width="8"/>
    <col collapsed="false" customWidth="false" hidden="false" outlineLevel="0" max="16102" min="16102" style="70" width="42.57"/>
    <col collapsed="false" customWidth="true" hidden="false" outlineLevel="0" max="16103" min="16103" style="70" width="3.29"/>
    <col collapsed="false" customWidth="true" hidden="false" outlineLevel="0" max="16104" min="16104" style="70" width="8"/>
    <col collapsed="false" customWidth="false" hidden="false" outlineLevel="0" max="16105" min="16105" style="70" width="42.57"/>
    <col collapsed="false" customWidth="true" hidden="false" outlineLevel="0" max="16106" min="16106" style="70" width="3.29"/>
    <col collapsed="false" customWidth="true" hidden="false" outlineLevel="0" max="16107" min="16107" style="70" width="8"/>
    <col collapsed="false" customWidth="false" hidden="false" outlineLevel="0" max="16108" min="16108" style="70" width="42.57"/>
    <col collapsed="false" customWidth="true" hidden="false" outlineLevel="0" max="16109" min="16109" style="70" width="3.29"/>
    <col collapsed="false" customWidth="true" hidden="false" outlineLevel="0" max="16110" min="16110" style="70" width="8"/>
    <col collapsed="false" customWidth="false" hidden="false" outlineLevel="0" max="16111" min="16111" style="70" width="42.57"/>
    <col collapsed="false" customWidth="true" hidden="false" outlineLevel="0" max="16112" min="16112" style="70" width="3.29"/>
    <col collapsed="false" customWidth="true" hidden="false" outlineLevel="0" max="16113" min="16113" style="70" width="8"/>
    <col collapsed="false" customWidth="false" hidden="false" outlineLevel="0" max="16114" min="16114" style="70" width="42.57"/>
    <col collapsed="false" customWidth="true" hidden="false" outlineLevel="0" max="16115" min="16115" style="70" width="3.29"/>
    <col collapsed="false" customWidth="true" hidden="false" outlineLevel="0" max="16116" min="16116" style="70" width="8"/>
    <col collapsed="false" customWidth="false" hidden="false" outlineLevel="0" max="16117" min="16117" style="70" width="42.57"/>
    <col collapsed="false" customWidth="true" hidden="false" outlineLevel="0" max="16118" min="16118" style="70" width="3.29"/>
    <col collapsed="false" customWidth="true" hidden="false" outlineLevel="0" max="16119" min="16119" style="70" width="8"/>
    <col collapsed="false" customWidth="false" hidden="false" outlineLevel="0" max="16120" min="16120" style="70" width="42.57"/>
    <col collapsed="false" customWidth="true" hidden="false" outlineLevel="0" max="16121" min="16121" style="70" width="3.29"/>
    <col collapsed="false" customWidth="true" hidden="false" outlineLevel="0" max="16122" min="16122" style="70" width="8"/>
    <col collapsed="false" customWidth="false" hidden="false" outlineLevel="0" max="16123" min="16123" style="70" width="42.57"/>
    <col collapsed="false" customWidth="true" hidden="false" outlineLevel="0" max="16124" min="16124" style="70" width="3.29"/>
    <col collapsed="false" customWidth="true" hidden="false" outlineLevel="0" max="16125" min="16125" style="70" width="8"/>
    <col collapsed="false" customWidth="false" hidden="false" outlineLevel="0" max="16126" min="16126" style="70" width="42.57"/>
    <col collapsed="false" customWidth="true" hidden="false" outlineLevel="0" max="16127" min="16127" style="70" width="3.29"/>
    <col collapsed="false" customWidth="true" hidden="false" outlineLevel="0" max="16128" min="16128" style="70" width="8"/>
    <col collapsed="false" customWidth="false" hidden="false" outlineLevel="0" max="16129" min="16129" style="70" width="42.57"/>
    <col collapsed="false" customWidth="true" hidden="false" outlineLevel="0" max="16130" min="16130" style="70" width="3.29"/>
    <col collapsed="false" customWidth="true" hidden="false" outlineLevel="0" max="16131" min="16131" style="70" width="8"/>
    <col collapsed="false" customWidth="false" hidden="false" outlineLevel="0" max="16132" min="16132" style="70" width="42.57"/>
    <col collapsed="false" customWidth="true" hidden="false" outlineLevel="0" max="16133" min="16133" style="70" width="3.29"/>
    <col collapsed="false" customWidth="true" hidden="false" outlineLevel="0" max="16134" min="16134" style="70" width="8"/>
    <col collapsed="false" customWidth="false" hidden="false" outlineLevel="0" max="16135" min="16135" style="70" width="42.57"/>
    <col collapsed="false" customWidth="true" hidden="false" outlineLevel="0" max="16136" min="16136" style="70" width="3.29"/>
    <col collapsed="false" customWidth="true" hidden="false" outlineLevel="0" max="16137" min="16137" style="70" width="8"/>
    <col collapsed="false" customWidth="false" hidden="false" outlineLevel="0" max="16138" min="16138" style="70" width="42.57"/>
    <col collapsed="false" customWidth="true" hidden="false" outlineLevel="0" max="16139" min="16139" style="70" width="3.29"/>
    <col collapsed="false" customWidth="true" hidden="false" outlineLevel="0" max="16140" min="16140" style="70" width="8"/>
    <col collapsed="false" customWidth="false" hidden="false" outlineLevel="0" max="16141" min="16141" style="70" width="42.57"/>
    <col collapsed="false" customWidth="true" hidden="false" outlineLevel="0" max="16142" min="16142" style="70" width="3.29"/>
    <col collapsed="false" customWidth="true" hidden="false" outlineLevel="0" max="16143" min="16143" style="70" width="8"/>
    <col collapsed="false" customWidth="false" hidden="false" outlineLevel="0" max="16144" min="16144" style="70" width="42.57"/>
    <col collapsed="false" customWidth="true" hidden="false" outlineLevel="0" max="16145" min="16145" style="70" width="3.29"/>
    <col collapsed="false" customWidth="true" hidden="false" outlineLevel="0" max="16146" min="16146" style="70" width="8"/>
    <col collapsed="false" customWidth="false" hidden="false" outlineLevel="0" max="16147" min="16147" style="70" width="42.57"/>
    <col collapsed="false" customWidth="true" hidden="false" outlineLevel="0" max="16148" min="16148" style="70" width="3.29"/>
    <col collapsed="false" customWidth="true" hidden="false" outlineLevel="0" max="16149" min="16149" style="70" width="8"/>
    <col collapsed="false" customWidth="false" hidden="false" outlineLevel="0" max="16150" min="16150" style="70" width="42.57"/>
    <col collapsed="false" customWidth="true" hidden="false" outlineLevel="0" max="16151" min="16151" style="70" width="3.29"/>
    <col collapsed="false" customWidth="true" hidden="false" outlineLevel="0" max="16152" min="16152" style="70" width="8"/>
    <col collapsed="false" customWidth="false" hidden="false" outlineLevel="0" max="16153" min="16153" style="70" width="42.57"/>
    <col collapsed="false" customWidth="true" hidden="false" outlineLevel="0" max="16154" min="16154" style="70" width="3.29"/>
    <col collapsed="false" customWidth="true" hidden="false" outlineLevel="0" max="16155" min="16155" style="70" width="8"/>
    <col collapsed="false" customWidth="false" hidden="false" outlineLevel="0" max="16156" min="16156" style="70" width="42.57"/>
    <col collapsed="false" customWidth="true" hidden="false" outlineLevel="0" max="16157" min="16157" style="70" width="3.29"/>
    <col collapsed="false" customWidth="true" hidden="false" outlineLevel="0" max="16158" min="16158" style="70" width="8"/>
    <col collapsed="false" customWidth="false" hidden="false" outlineLevel="0" max="16159" min="16159" style="70" width="42.57"/>
    <col collapsed="false" customWidth="true" hidden="false" outlineLevel="0" max="16160" min="16160" style="70" width="3.29"/>
    <col collapsed="false" customWidth="true" hidden="false" outlineLevel="0" max="16161" min="16161" style="70" width="8"/>
    <col collapsed="false" customWidth="false" hidden="false" outlineLevel="0" max="16162" min="16162" style="70" width="42.57"/>
    <col collapsed="false" customWidth="true" hidden="false" outlineLevel="0" max="16163" min="16163" style="70" width="3.29"/>
    <col collapsed="false" customWidth="true" hidden="false" outlineLevel="0" max="16164" min="16164" style="70" width="8"/>
    <col collapsed="false" customWidth="false" hidden="false" outlineLevel="0" max="16165" min="16165" style="70" width="42.57"/>
    <col collapsed="false" customWidth="true" hidden="false" outlineLevel="0" max="16166" min="16166" style="70" width="3.29"/>
    <col collapsed="false" customWidth="true" hidden="false" outlineLevel="0" max="16167" min="16167" style="70" width="8"/>
    <col collapsed="false" customWidth="false" hidden="false" outlineLevel="0" max="16168" min="16168" style="70" width="42.57"/>
    <col collapsed="false" customWidth="true" hidden="false" outlineLevel="0" max="16169" min="16169" style="70" width="3.29"/>
    <col collapsed="false" customWidth="true" hidden="false" outlineLevel="0" max="16170" min="16170" style="70" width="8"/>
    <col collapsed="false" customWidth="false" hidden="false" outlineLevel="0" max="16171" min="16171" style="70" width="42.57"/>
    <col collapsed="false" customWidth="true" hidden="false" outlineLevel="0" max="16172" min="16172" style="70" width="3.29"/>
    <col collapsed="false" customWidth="true" hidden="false" outlineLevel="0" max="16173" min="16173" style="70" width="8"/>
    <col collapsed="false" customWidth="false" hidden="false" outlineLevel="0" max="16174" min="16174" style="70" width="42.57"/>
    <col collapsed="false" customWidth="true" hidden="false" outlineLevel="0" max="16175" min="16175" style="70" width="3.29"/>
    <col collapsed="false" customWidth="true" hidden="false" outlineLevel="0" max="16176" min="16176" style="70" width="8"/>
    <col collapsed="false" customWidth="false" hidden="false" outlineLevel="0" max="16177" min="16177" style="70" width="42.57"/>
    <col collapsed="false" customWidth="true" hidden="false" outlineLevel="0" max="16178" min="16178" style="70" width="3.29"/>
    <col collapsed="false" customWidth="true" hidden="false" outlineLevel="0" max="16179" min="16179" style="70" width="8"/>
    <col collapsed="false" customWidth="false" hidden="false" outlineLevel="0" max="16180" min="16180" style="70" width="42.57"/>
    <col collapsed="false" customWidth="true" hidden="false" outlineLevel="0" max="16181" min="16181" style="70" width="3.29"/>
    <col collapsed="false" customWidth="true" hidden="false" outlineLevel="0" max="16182" min="16182" style="70" width="8"/>
    <col collapsed="false" customWidth="false" hidden="false" outlineLevel="0" max="16183" min="16183" style="70" width="42.57"/>
    <col collapsed="false" customWidth="true" hidden="false" outlineLevel="0" max="16184" min="16184" style="70" width="3.29"/>
    <col collapsed="false" customWidth="true" hidden="false" outlineLevel="0" max="16185" min="16185" style="70" width="8"/>
    <col collapsed="false" customWidth="false" hidden="false" outlineLevel="0" max="16186" min="16186" style="70" width="42.57"/>
    <col collapsed="false" customWidth="true" hidden="false" outlineLevel="0" max="16187" min="16187" style="70" width="3.29"/>
    <col collapsed="false" customWidth="true" hidden="false" outlineLevel="0" max="16188" min="16188" style="70" width="8"/>
    <col collapsed="false" customWidth="false" hidden="false" outlineLevel="0" max="16189" min="16189" style="70" width="42.57"/>
    <col collapsed="false" customWidth="true" hidden="false" outlineLevel="0" max="16190" min="16190" style="70" width="3.29"/>
    <col collapsed="false" customWidth="true" hidden="false" outlineLevel="0" max="16191" min="16191" style="70" width="8"/>
    <col collapsed="false" customWidth="false" hidden="false" outlineLevel="0" max="16192" min="16192" style="70" width="42.57"/>
    <col collapsed="false" customWidth="true" hidden="false" outlineLevel="0" max="16193" min="16193" style="70" width="3.29"/>
    <col collapsed="false" customWidth="true" hidden="false" outlineLevel="0" max="16194" min="16194" style="70" width="8"/>
    <col collapsed="false" customWidth="false" hidden="false" outlineLevel="0" max="16195" min="16195" style="70" width="42.57"/>
    <col collapsed="false" customWidth="true" hidden="false" outlineLevel="0" max="16196" min="16196" style="70" width="3.29"/>
    <col collapsed="false" customWidth="true" hidden="false" outlineLevel="0" max="16197" min="16197" style="70" width="8"/>
    <col collapsed="false" customWidth="false" hidden="false" outlineLevel="0" max="16198" min="16198" style="70" width="42.57"/>
    <col collapsed="false" customWidth="true" hidden="false" outlineLevel="0" max="16199" min="16199" style="70" width="3.29"/>
    <col collapsed="false" customWidth="true" hidden="false" outlineLevel="0" max="16200" min="16200" style="70" width="8"/>
    <col collapsed="false" customWidth="false" hidden="false" outlineLevel="0" max="16201" min="16201" style="70" width="42.57"/>
    <col collapsed="false" customWidth="true" hidden="false" outlineLevel="0" max="16202" min="16202" style="70" width="3.29"/>
    <col collapsed="false" customWidth="true" hidden="false" outlineLevel="0" max="16203" min="16203" style="70" width="8"/>
    <col collapsed="false" customWidth="false" hidden="false" outlineLevel="0" max="16204" min="16204" style="70" width="42.57"/>
    <col collapsed="false" customWidth="true" hidden="false" outlineLevel="0" max="16205" min="16205" style="70" width="3.29"/>
    <col collapsed="false" customWidth="true" hidden="false" outlineLevel="0" max="16206" min="16206" style="70" width="8"/>
    <col collapsed="false" customWidth="false" hidden="false" outlineLevel="0" max="16207" min="16207" style="70" width="42.57"/>
    <col collapsed="false" customWidth="true" hidden="false" outlineLevel="0" max="16208" min="16208" style="70" width="3.29"/>
    <col collapsed="false" customWidth="true" hidden="false" outlineLevel="0" max="16209" min="16209" style="70" width="8"/>
    <col collapsed="false" customWidth="false" hidden="false" outlineLevel="0" max="16210" min="16210" style="70" width="42.57"/>
    <col collapsed="false" customWidth="true" hidden="false" outlineLevel="0" max="16211" min="16211" style="70" width="3.29"/>
    <col collapsed="false" customWidth="true" hidden="false" outlineLevel="0" max="16212" min="16212" style="70" width="8"/>
    <col collapsed="false" customWidth="false" hidden="false" outlineLevel="0" max="16213" min="16213" style="70" width="42.57"/>
    <col collapsed="false" customWidth="true" hidden="false" outlineLevel="0" max="16214" min="16214" style="70" width="3.29"/>
    <col collapsed="false" customWidth="true" hidden="false" outlineLevel="0" max="16215" min="16215" style="70" width="8"/>
    <col collapsed="false" customWidth="false" hidden="false" outlineLevel="0" max="16216" min="16216" style="70" width="42.57"/>
    <col collapsed="false" customWidth="true" hidden="false" outlineLevel="0" max="16217" min="16217" style="70" width="3.29"/>
    <col collapsed="false" customWidth="true" hidden="false" outlineLevel="0" max="16218" min="16218" style="70" width="8"/>
    <col collapsed="false" customWidth="false" hidden="false" outlineLevel="0" max="16219" min="16219" style="70" width="42.57"/>
    <col collapsed="false" customWidth="true" hidden="false" outlineLevel="0" max="16220" min="16220" style="70" width="3.29"/>
    <col collapsed="false" customWidth="true" hidden="false" outlineLevel="0" max="16221" min="16221" style="70" width="8"/>
    <col collapsed="false" customWidth="false" hidden="false" outlineLevel="0" max="16222" min="16222" style="70" width="42.57"/>
    <col collapsed="false" customWidth="true" hidden="false" outlineLevel="0" max="16223" min="16223" style="70" width="3.29"/>
    <col collapsed="false" customWidth="true" hidden="false" outlineLevel="0" max="16224" min="16224" style="70" width="8"/>
    <col collapsed="false" customWidth="false" hidden="false" outlineLevel="0" max="16225" min="16225" style="70" width="42.57"/>
    <col collapsed="false" customWidth="true" hidden="false" outlineLevel="0" max="16226" min="16226" style="70" width="3.29"/>
    <col collapsed="false" customWidth="true" hidden="false" outlineLevel="0" max="16227" min="16227" style="70" width="8"/>
    <col collapsed="false" customWidth="false" hidden="false" outlineLevel="0" max="16228" min="16228" style="70" width="42.57"/>
    <col collapsed="false" customWidth="true" hidden="false" outlineLevel="0" max="16229" min="16229" style="70" width="3.29"/>
    <col collapsed="false" customWidth="true" hidden="false" outlineLevel="0" max="16230" min="16230" style="70" width="8"/>
    <col collapsed="false" customWidth="false" hidden="false" outlineLevel="0" max="16231" min="16231" style="70" width="42.57"/>
    <col collapsed="false" customWidth="true" hidden="false" outlineLevel="0" max="16232" min="16232" style="70" width="3.29"/>
    <col collapsed="false" customWidth="true" hidden="false" outlineLevel="0" max="16233" min="16233" style="70" width="8"/>
    <col collapsed="false" customWidth="false" hidden="false" outlineLevel="0" max="16234" min="16234" style="70" width="42.57"/>
    <col collapsed="false" customWidth="true" hidden="false" outlineLevel="0" max="16235" min="16235" style="70" width="3.29"/>
    <col collapsed="false" customWidth="true" hidden="false" outlineLevel="0" max="16236" min="16236" style="70" width="8"/>
    <col collapsed="false" customWidth="false" hidden="false" outlineLevel="0" max="16237" min="16237" style="70" width="42.57"/>
    <col collapsed="false" customWidth="true" hidden="false" outlineLevel="0" max="16238" min="16238" style="70" width="3.29"/>
    <col collapsed="false" customWidth="true" hidden="false" outlineLevel="0" max="16239" min="16239" style="70" width="8"/>
    <col collapsed="false" customWidth="false" hidden="false" outlineLevel="0" max="16240" min="16240" style="70" width="42.57"/>
    <col collapsed="false" customWidth="true" hidden="false" outlineLevel="0" max="16241" min="16241" style="70" width="3.29"/>
    <col collapsed="false" customWidth="true" hidden="false" outlineLevel="0" max="16242" min="16242" style="70" width="8"/>
    <col collapsed="false" customWidth="false" hidden="false" outlineLevel="0" max="16243" min="16243" style="70" width="42.57"/>
    <col collapsed="false" customWidth="true" hidden="false" outlineLevel="0" max="16244" min="16244" style="70" width="3.29"/>
    <col collapsed="false" customWidth="true" hidden="false" outlineLevel="0" max="16245" min="16245" style="70" width="8"/>
    <col collapsed="false" customWidth="false" hidden="false" outlineLevel="0" max="16246" min="16246" style="70" width="42.57"/>
    <col collapsed="false" customWidth="true" hidden="false" outlineLevel="0" max="16247" min="16247" style="70" width="3.29"/>
    <col collapsed="false" customWidth="true" hidden="false" outlineLevel="0" max="16248" min="16248" style="70" width="8"/>
    <col collapsed="false" customWidth="false" hidden="false" outlineLevel="0" max="16249" min="16249" style="70" width="42.57"/>
    <col collapsed="false" customWidth="true" hidden="false" outlineLevel="0" max="16250" min="16250" style="70" width="3.29"/>
    <col collapsed="false" customWidth="true" hidden="false" outlineLevel="0" max="16251" min="16251" style="70" width="8"/>
    <col collapsed="false" customWidth="false" hidden="false" outlineLevel="0" max="16252" min="16252" style="70" width="42.57"/>
    <col collapsed="false" customWidth="true" hidden="false" outlineLevel="0" max="16253" min="16253" style="70" width="3.29"/>
    <col collapsed="false" customWidth="true" hidden="false" outlineLevel="0" max="16254" min="16254" style="70" width="8"/>
    <col collapsed="false" customWidth="false" hidden="false" outlineLevel="0" max="16255" min="16255" style="70" width="42.57"/>
    <col collapsed="false" customWidth="true" hidden="false" outlineLevel="0" max="16256" min="16256" style="70" width="3.29"/>
    <col collapsed="false" customWidth="true" hidden="false" outlineLevel="0" max="16257" min="16257" style="70" width="8"/>
    <col collapsed="false" customWidth="false" hidden="false" outlineLevel="0" max="16258" min="16258" style="70" width="42.57"/>
    <col collapsed="false" customWidth="true" hidden="false" outlineLevel="0" max="16259" min="16259" style="70" width="3.29"/>
    <col collapsed="false" customWidth="true" hidden="false" outlineLevel="0" max="16260" min="16260" style="70" width="8"/>
    <col collapsed="false" customWidth="false" hidden="false" outlineLevel="0" max="16261" min="16261" style="70" width="42.57"/>
    <col collapsed="false" customWidth="true" hidden="false" outlineLevel="0" max="16262" min="16262" style="70" width="3.29"/>
    <col collapsed="false" customWidth="true" hidden="false" outlineLevel="0" max="16263" min="16263" style="70" width="8"/>
    <col collapsed="false" customWidth="false" hidden="false" outlineLevel="0" max="16264" min="16264" style="70" width="42.57"/>
    <col collapsed="false" customWidth="true" hidden="false" outlineLevel="0" max="16265" min="16265" style="70" width="3.29"/>
    <col collapsed="false" customWidth="true" hidden="false" outlineLevel="0" max="16266" min="16266" style="70" width="8"/>
    <col collapsed="false" customWidth="false" hidden="false" outlineLevel="0" max="16267" min="16267" style="70" width="42.57"/>
    <col collapsed="false" customWidth="true" hidden="false" outlineLevel="0" max="16268" min="16268" style="70" width="3.29"/>
    <col collapsed="false" customWidth="true" hidden="false" outlineLevel="0" max="16269" min="16269" style="70" width="8"/>
    <col collapsed="false" customWidth="false" hidden="false" outlineLevel="0" max="16270" min="16270" style="70" width="42.57"/>
    <col collapsed="false" customWidth="true" hidden="false" outlineLevel="0" max="16271" min="16271" style="70" width="3.29"/>
    <col collapsed="false" customWidth="true" hidden="false" outlineLevel="0" max="16272" min="16272" style="70" width="8"/>
    <col collapsed="false" customWidth="false" hidden="false" outlineLevel="0" max="16273" min="16273" style="70" width="42.57"/>
    <col collapsed="false" customWidth="true" hidden="false" outlineLevel="0" max="16274" min="16274" style="70" width="3.29"/>
    <col collapsed="false" customWidth="true" hidden="false" outlineLevel="0" max="16275" min="16275" style="70" width="8"/>
    <col collapsed="false" customWidth="false" hidden="false" outlineLevel="0" max="16276" min="16276" style="70" width="42.57"/>
    <col collapsed="false" customWidth="true" hidden="false" outlineLevel="0" max="16277" min="16277" style="70" width="3.29"/>
    <col collapsed="false" customWidth="true" hidden="false" outlineLevel="0" max="16278" min="16278" style="70" width="8"/>
    <col collapsed="false" customWidth="false" hidden="false" outlineLevel="0" max="16279" min="16279" style="70" width="42.57"/>
    <col collapsed="false" customWidth="true" hidden="false" outlineLevel="0" max="16280" min="16280" style="70" width="3.29"/>
    <col collapsed="false" customWidth="true" hidden="false" outlineLevel="0" max="16281" min="16281" style="70" width="8"/>
    <col collapsed="false" customWidth="false" hidden="false" outlineLevel="0" max="16282" min="16282" style="70" width="42.57"/>
    <col collapsed="false" customWidth="true" hidden="false" outlineLevel="0" max="16283" min="16283" style="70" width="3.29"/>
    <col collapsed="false" customWidth="true" hidden="false" outlineLevel="0" max="16284" min="16284" style="70" width="8"/>
    <col collapsed="false" customWidth="false" hidden="false" outlineLevel="0" max="16285" min="16285" style="70" width="42.57"/>
    <col collapsed="false" customWidth="true" hidden="false" outlineLevel="0" max="16286" min="16286" style="70" width="3.29"/>
    <col collapsed="false" customWidth="true" hidden="false" outlineLevel="0" max="16287" min="16287" style="70" width="8"/>
    <col collapsed="false" customWidth="false" hidden="false" outlineLevel="0" max="16288" min="16288" style="70" width="42.57"/>
    <col collapsed="false" customWidth="true" hidden="false" outlineLevel="0" max="16289" min="16289" style="70" width="3.29"/>
    <col collapsed="false" customWidth="true" hidden="false" outlineLevel="0" max="16290" min="16290" style="70" width="8"/>
    <col collapsed="false" customWidth="false" hidden="false" outlineLevel="0" max="16291" min="16291" style="70" width="42.57"/>
    <col collapsed="false" customWidth="true" hidden="false" outlineLevel="0" max="16292" min="16292" style="70" width="3.29"/>
    <col collapsed="false" customWidth="true" hidden="false" outlineLevel="0" max="16293" min="16293" style="70" width="8"/>
    <col collapsed="false" customWidth="false" hidden="false" outlineLevel="0" max="16294" min="16294" style="70" width="42.57"/>
    <col collapsed="false" customWidth="true" hidden="false" outlineLevel="0" max="16295" min="16295" style="70" width="3.29"/>
    <col collapsed="false" customWidth="true" hidden="false" outlineLevel="0" max="16296" min="16296" style="70" width="8"/>
    <col collapsed="false" customWidth="false" hidden="false" outlineLevel="0" max="16297" min="16297" style="70" width="42.57"/>
    <col collapsed="false" customWidth="true" hidden="false" outlineLevel="0" max="16298" min="16298" style="70" width="3.29"/>
    <col collapsed="false" customWidth="true" hidden="false" outlineLevel="0" max="16299" min="16299" style="70" width="8"/>
    <col collapsed="false" customWidth="false" hidden="false" outlineLevel="0" max="16300" min="16300" style="70" width="42.57"/>
    <col collapsed="false" customWidth="true" hidden="false" outlineLevel="0" max="16301" min="16301" style="70" width="3.29"/>
    <col collapsed="false" customWidth="true" hidden="false" outlineLevel="0" max="16302" min="16302" style="70" width="8"/>
    <col collapsed="false" customWidth="false" hidden="false" outlineLevel="0" max="16303" min="16303" style="70" width="42.57"/>
    <col collapsed="false" customWidth="true" hidden="false" outlineLevel="0" max="16304" min="16304" style="70" width="3.29"/>
    <col collapsed="false" customWidth="true" hidden="false" outlineLevel="0" max="16305" min="16305" style="70" width="8"/>
    <col collapsed="false" customWidth="false" hidden="false" outlineLevel="0" max="16306" min="16306" style="70" width="42.57"/>
    <col collapsed="false" customWidth="true" hidden="false" outlineLevel="0" max="16307" min="16307" style="70" width="3.29"/>
    <col collapsed="false" customWidth="true" hidden="false" outlineLevel="0" max="16308" min="16308" style="70" width="8"/>
    <col collapsed="false" customWidth="false" hidden="false" outlineLevel="0" max="16309" min="16309" style="70" width="42.57"/>
    <col collapsed="false" customWidth="true" hidden="false" outlineLevel="0" max="16310" min="16310" style="70" width="3.29"/>
    <col collapsed="false" customWidth="true" hidden="false" outlineLevel="0" max="16311" min="16311" style="70" width="8"/>
    <col collapsed="false" customWidth="false" hidden="false" outlineLevel="0" max="16312" min="16312" style="70" width="42.57"/>
    <col collapsed="false" customWidth="true" hidden="false" outlineLevel="0" max="16313" min="16313" style="70" width="3.29"/>
    <col collapsed="false" customWidth="true" hidden="false" outlineLevel="0" max="16314" min="16314" style="70" width="8"/>
    <col collapsed="false" customWidth="false" hidden="false" outlineLevel="0" max="16315" min="16315" style="70" width="42.57"/>
    <col collapsed="false" customWidth="true" hidden="false" outlineLevel="0" max="16316" min="16316" style="70" width="3.29"/>
    <col collapsed="false" customWidth="true" hidden="false" outlineLevel="0" max="16317" min="16317" style="70" width="8"/>
    <col collapsed="false" customWidth="false" hidden="false" outlineLevel="0" max="16318" min="16318" style="70" width="42.57"/>
    <col collapsed="false" customWidth="true" hidden="false" outlineLevel="0" max="16319" min="16319" style="70" width="3.29"/>
    <col collapsed="false" customWidth="true" hidden="false" outlineLevel="0" max="16320" min="16320" style="70" width="8"/>
    <col collapsed="false" customWidth="false" hidden="false" outlineLevel="0" max="16321" min="16321" style="70" width="42.57"/>
    <col collapsed="false" customWidth="true" hidden="false" outlineLevel="0" max="16322" min="16322" style="70" width="3.29"/>
    <col collapsed="false" customWidth="true" hidden="false" outlineLevel="0" max="16323" min="16323" style="70" width="8"/>
    <col collapsed="false" customWidth="false" hidden="false" outlineLevel="0" max="16324" min="16324" style="70" width="42.57"/>
    <col collapsed="false" customWidth="true" hidden="false" outlineLevel="0" max="16325" min="16325" style="70" width="3.29"/>
    <col collapsed="false" customWidth="true" hidden="false" outlineLevel="0" max="16326" min="16326" style="70" width="8"/>
    <col collapsed="false" customWidth="false" hidden="false" outlineLevel="0" max="16327" min="16327" style="70" width="42.57"/>
    <col collapsed="false" customWidth="true" hidden="false" outlineLevel="0" max="16328" min="16328" style="70" width="3.29"/>
    <col collapsed="false" customWidth="true" hidden="false" outlineLevel="0" max="16329" min="16329" style="70" width="8"/>
    <col collapsed="false" customWidth="false" hidden="false" outlineLevel="0" max="16330" min="16330" style="70" width="42.57"/>
    <col collapsed="false" customWidth="true" hidden="false" outlineLevel="0" max="16331" min="16331" style="70" width="3.29"/>
    <col collapsed="false" customWidth="true" hidden="false" outlineLevel="0" max="16332" min="16332" style="70" width="8"/>
    <col collapsed="false" customWidth="false" hidden="false" outlineLevel="0" max="16333" min="16333" style="70" width="42.57"/>
    <col collapsed="false" customWidth="true" hidden="false" outlineLevel="0" max="16334" min="16334" style="70" width="3.29"/>
    <col collapsed="false" customWidth="true" hidden="false" outlineLevel="0" max="16335" min="16335" style="70" width="8"/>
    <col collapsed="false" customWidth="false" hidden="false" outlineLevel="0" max="16336" min="16336" style="70" width="42.57"/>
    <col collapsed="false" customWidth="true" hidden="false" outlineLevel="0" max="16337" min="16337" style="70" width="3.29"/>
    <col collapsed="false" customWidth="true" hidden="false" outlineLevel="0" max="16338" min="16338" style="70" width="8"/>
    <col collapsed="false" customWidth="false" hidden="false" outlineLevel="0" max="16339" min="16339" style="70" width="42.57"/>
    <col collapsed="false" customWidth="true" hidden="false" outlineLevel="0" max="16340" min="16340" style="70" width="3.29"/>
    <col collapsed="false" customWidth="true" hidden="false" outlineLevel="0" max="16341" min="16341" style="70" width="8"/>
    <col collapsed="false" customWidth="false" hidden="false" outlineLevel="0" max="16342" min="16342" style="70" width="42.57"/>
    <col collapsed="false" customWidth="true" hidden="false" outlineLevel="0" max="16343" min="16343" style="70" width="3.29"/>
    <col collapsed="false" customWidth="true" hidden="false" outlineLevel="0" max="16344" min="16344" style="70" width="8"/>
    <col collapsed="false" customWidth="false" hidden="false" outlineLevel="0" max="16345" min="16345" style="70" width="42.57"/>
    <col collapsed="false" customWidth="true" hidden="false" outlineLevel="0" max="16346" min="16346" style="70" width="3.29"/>
    <col collapsed="false" customWidth="true" hidden="false" outlineLevel="0" max="16347" min="16347" style="70" width="8"/>
    <col collapsed="false" customWidth="false" hidden="false" outlineLevel="0" max="16348" min="16348" style="70" width="42.57"/>
    <col collapsed="false" customWidth="true" hidden="false" outlineLevel="0" max="16349" min="16349" style="70" width="3.29"/>
    <col collapsed="false" customWidth="true" hidden="false" outlineLevel="0" max="16350" min="16350" style="70" width="8"/>
    <col collapsed="false" customWidth="false" hidden="false" outlineLevel="0" max="16351" min="16351" style="70" width="42.57"/>
    <col collapsed="false" customWidth="true" hidden="false" outlineLevel="0" max="16352" min="16352" style="70" width="3.29"/>
    <col collapsed="false" customWidth="true" hidden="false" outlineLevel="0" max="16353" min="16353" style="70" width="8"/>
    <col collapsed="false" customWidth="false" hidden="false" outlineLevel="0" max="16354" min="16354" style="70" width="42.57"/>
    <col collapsed="false" customWidth="true" hidden="false" outlineLevel="0" max="16355" min="16355" style="70" width="3.29"/>
    <col collapsed="false" customWidth="true" hidden="false" outlineLevel="0" max="16356" min="16356" style="70" width="8"/>
    <col collapsed="false" customWidth="false" hidden="false" outlineLevel="0" max="16357" min="16357" style="70" width="42.57"/>
    <col collapsed="false" customWidth="true" hidden="false" outlineLevel="0" max="16358" min="16358" style="70" width="3.29"/>
    <col collapsed="false" customWidth="true" hidden="false" outlineLevel="0" max="16359" min="16359" style="70" width="8"/>
    <col collapsed="false" customWidth="false" hidden="false" outlineLevel="0" max="16360" min="16360" style="70" width="42.57"/>
    <col collapsed="false" customWidth="true" hidden="false" outlineLevel="0" max="16361" min="16361" style="70" width="3.29"/>
    <col collapsed="false" customWidth="true" hidden="false" outlineLevel="0" max="16362" min="16362" style="70" width="8"/>
    <col collapsed="false" customWidth="false" hidden="false" outlineLevel="0" max="16363" min="16363" style="70" width="42.57"/>
    <col collapsed="false" customWidth="true" hidden="false" outlineLevel="0" max="16364" min="16364" style="70" width="3.29"/>
    <col collapsed="false" customWidth="true" hidden="false" outlineLevel="0" max="16365" min="16365" style="70" width="8"/>
    <col collapsed="false" customWidth="false" hidden="false" outlineLevel="0" max="16366" min="16366" style="70" width="42.57"/>
    <col collapsed="false" customWidth="true" hidden="false" outlineLevel="0" max="16367" min="16367" style="70" width="3.29"/>
    <col collapsed="false" customWidth="true" hidden="false" outlineLevel="0" max="16368" min="16368" style="70" width="8"/>
    <col collapsed="false" customWidth="false" hidden="false" outlineLevel="0" max="16369" min="16369" style="70" width="42.57"/>
    <col collapsed="false" customWidth="true" hidden="false" outlineLevel="0" max="16370" min="16370" style="70" width="3.29"/>
    <col collapsed="false" customWidth="true" hidden="false" outlineLevel="0" max="16371" min="16371" style="70" width="8"/>
    <col collapsed="false" customWidth="false" hidden="false" outlineLevel="0" max="16372" min="16372" style="70" width="42.57"/>
    <col collapsed="false" customWidth="true" hidden="false" outlineLevel="0" max="16373" min="16373" style="70" width="3.29"/>
    <col collapsed="false" customWidth="true" hidden="false" outlineLevel="0" max="16374" min="16374" style="70" width="8"/>
    <col collapsed="false" customWidth="false" hidden="false" outlineLevel="0" max="16375" min="16375" style="70" width="42.57"/>
    <col collapsed="false" customWidth="true" hidden="false" outlineLevel="0" max="16376" min="16376" style="70" width="3.29"/>
    <col collapsed="false" customWidth="true" hidden="false" outlineLevel="0" max="16377" min="16377" style="70" width="8"/>
    <col collapsed="false" customWidth="false" hidden="false" outlineLevel="0" max="16378" min="16378" style="70" width="42.57"/>
    <col collapsed="false" customWidth="true" hidden="false" outlineLevel="0" max="16379" min="16379" style="70" width="3.29"/>
    <col collapsed="false" customWidth="true" hidden="false" outlineLevel="0" max="16380" min="16380" style="70" width="8"/>
    <col collapsed="false" customWidth="false" hidden="false" outlineLevel="0" max="16381" min="16381" style="70" width="42.57"/>
    <col collapsed="false" customWidth="true" hidden="false" outlineLevel="0" max="16382" min="16382" style="70" width="3.29"/>
    <col collapsed="false" customWidth="true" hidden="false" outlineLevel="0" max="16383" min="16383" style="70" width="8"/>
    <col collapsed="false" customWidth="false" hidden="false" outlineLevel="0" max="16384" min="16384" style="70" width="42.57"/>
  </cols>
  <sheetData>
    <row r="1" customFormat="false" ht="45.75" hidden="false" customHeight="true" outlineLevel="0" collapsed="false"/>
    <row r="4" customFormat="false" ht="51" hidden="false" customHeight="true" outlineLevel="0" collapsed="false"/>
    <row r="5" s="72" customFormat="true" ht="40.5" hidden="false" customHeight="true" outlineLevel="0" collapsed="false">
      <c r="C5" s="73"/>
      <c r="D5" s="74" t="s">
        <v>80</v>
      </c>
      <c r="F5" s="73"/>
      <c r="G5" s="74" t="s">
        <v>81</v>
      </c>
      <c r="I5" s="73"/>
      <c r="J5" s="74" t="s">
        <v>82</v>
      </c>
      <c r="L5" s="73"/>
      <c r="M5" s="74" t="s">
        <v>83</v>
      </c>
    </row>
    <row r="6" s="70" customFormat="true" ht="15" hidden="false" customHeight="false" outlineLevel="0" collapsed="false">
      <c r="C6" s="75" t="s">
        <v>18</v>
      </c>
      <c r="D6" s="75" t="s">
        <v>84</v>
      </c>
      <c r="E6" s="71"/>
      <c r="F6" s="75" t="s">
        <v>18</v>
      </c>
      <c r="G6" s="75" t="s">
        <v>84</v>
      </c>
      <c r="H6" s="71"/>
      <c r="I6" s="75" t="s">
        <v>18</v>
      </c>
      <c r="J6" s="75" t="s">
        <v>84</v>
      </c>
      <c r="K6" s="71"/>
      <c r="L6" s="75" t="s">
        <v>18</v>
      </c>
      <c r="M6" s="75" t="s">
        <v>84</v>
      </c>
    </row>
    <row r="7" s="70" customFormat="true" ht="15" hidden="false" customHeight="false" outlineLevel="0" collapsed="false">
      <c r="C7" s="76" t="n">
        <v>0</v>
      </c>
      <c r="D7" s="77" t="s">
        <v>42</v>
      </c>
      <c r="E7" s="71"/>
      <c r="F7" s="76" t="n">
        <v>0</v>
      </c>
      <c r="G7" s="77" t="s">
        <v>42</v>
      </c>
      <c r="H7" s="71"/>
      <c r="I7" s="76" t="n">
        <v>0</v>
      </c>
      <c r="J7" s="77" t="s">
        <v>42</v>
      </c>
      <c r="K7" s="71"/>
      <c r="L7" s="76" t="n">
        <v>0</v>
      </c>
      <c r="M7" s="77" t="s">
        <v>42</v>
      </c>
    </row>
    <row r="8" s="70" customFormat="true" ht="15" hidden="false" customHeight="false" outlineLevel="0" collapsed="false">
      <c r="C8" s="76" t="n">
        <v>1</v>
      </c>
      <c r="D8" s="77" t="s">
        <v>85</v>
      </c>
      <c r="E8" s="71"/>
      <c r="F8" s="76" t="n">
        <v>1</v>
      </c>
      <c r="G8" s="77" t="s">
        <v>86</v>
      </c>
      <c r="H8" s="71"/>
      <c r="I8" s="76" t="n">
        <v>1</v>
      </c>
      <c r="J8" s="77" t="s">
        <v>87</v>
      </c>
      <c r="K8" s="71"/>
      <c r="L8" s="76" t="n">
        <v>1</v>
      </c>
      <c r="M8" s="77" t="s">
        <v>43</v>
      </c>
    </row>
    <row r="9" s="70" customFormat="true" ht="15" hidden="false" customHeight="false" outlineLevel="0" collapsed="false">
      <c r="C9" s="76" t="n">
        <v>2</v>
      </c>
      <c r="D9" s="77" t="s">
        <v>88</v>
      </c>
      <c r="E9" s="71"/>
      <c r="F9" s="76" t="n">
        <v>2</v>
      </c>
      <c r="G9" s="77" t="s">
        <v>51</v>
      </c>
      <c r="H9" s="71"/>
      <c r="I9" s="76" t="n">
        <v>2</v>
      </c>
      <c r="J9" s="77" t="s">
        <v>52</v>
      </c>
      <c r="K9" s="71"/>
      <c r="L9" s="76" t="n">
        <v>2</v>
      </c>
      <c r="M9" s="77" t="s">
        <v>89</v>
      </c>
    </row>
    <row r="10" s="70" customFormat="true" ht="15" hidden="false" customHeight="false" outlineLevel="0" collapsed="false">
      <c r="C10" s="76" t="n">
        <v>3</v>
      </c>
      <c r="D10" s="77" t="s">
        <v>30</v>
      </c>
      <c r="E10" s="71"/>
      <c r="F10" s="76" t="n">
        <v>3</v>
      </c>
      <c r="G10" s="77" t="s">
        <v>61</v>
      </c>
      <c r="H10" s="71"/>
      <c r="I10" s="76" t="n">
        <v>3</v>
      </c>
      <c r="J10" s="77" t="s">
        <v>90</v>
      </c>
      <c r="K10" s="71"/>
      <c r="L10" s="76" t="n">
        <v>3</v>
      </c>
      <c r="M10" s="77" t="s">
        <v>33</v>
      </c>
    </row>
    <row r="11" s="70" customFormat="true" ht="15" hidden="false" customHeight="false" outlineLevel="0" collapsed="false">
      <c r="C11" s="76" t="n">
        <v>4</v>
      </c>
      <c r="D11" s="77" t="s">
        <v>50</v>
      </c>
      <c r="E11" s="71"/>
      <c r="F11" s="76" t="n">
        <v>4</v>
      </c>
      <c r="G11" s="77" t="s">
        <v>31</v>
      </c>
      <c r="H11" s="71"/>
      <c r="I11" s="76" t="n">
        <v>4</v>
      </c>
      <c r="J11" s="77" t="s">
        <v>32</v>
      </c>
      <c r="K11" s="71"/>
      <c r="L11" s="76" t="n">
        <v>4</v>
      </c>
      <c r="M11" s="77" t="s">
        <v>53</v>
      </c>
    </row>
    <row r="12" s="70" customFormat="true" ht="15" hidden="false" customHeight="false" outlineLevel="0" collapsed="false">
      <c r="C12" s="78"/>
      <c r="D12" s="79"/>
      <c r="E12" s="80"/>
      <c r="F12" s="80"/>
      <c r="G12" s="81"/>
      <c r="H12" s="80"/>
      <c r="I12" s="80"/>
      <c r="J12" s="81"/>
      <c r="K12" s="80"/>
      <c r="L12" s="80"/>
      <c r="M12" s="81"/>
    </row>
    <row r="13" s="70" customFormat="true" ht="15" hidden="false" customHeight="false" outlineLevel="0" collapsed="false">
      <c r="C13" s="76"/>
      <c r="D13" s="77"/>
      <c r="E13" s="71"/>
      <c r="F13" s="71"/>
      <c r="H13" s="71"/>
      <c r="I13" s="71"/>
      <c r="K13" s="71"/>
      <c r="L13" s="71"/>
    </row>
    <row r="14" s="70" customFormat="true" ht="15" hidden="false" customHeight="false" outlineLevel="0" collapsed="false">
      <c r="C14" s="76"/>
      <c r="D14" s="77"/>
      <c r="E14" s="71"/>
      <c r="F14" s="71"/>
      <c r="H14" s="71"/>
      <c r="I14" s="71"/>
      <c r="K14" s="71"/>
      <c r="L14" s="71"/>
    </row>
    <row r="17" customFormat="false" ht="15" hidden="false" customHeight="false" outlineLevel="0" collapsed="false">
      <c r="C17" s="82" t="s">
        <v>8</v>
      </c>
      <c r="D17" s="83" t="s">
        <v>91</v>
      </c>
      <c r="E17" s="84"/>
      <c r="F17" s="85"/>
      <c r="G17" s="83" t="s">
        <v>92</v>
      </c>
      <c r="I17" s="86" t="s">
        <v>93</v>
      </c>
      <c r="J17" s="86" t="s">
        <v>94</v>
      </c>
      <c r="K17" s="87"/>
      <c r="L17" s="88"/>
      <c r="M17" s="88" t="s">
        <v>95</v>
      </c>
    </row>
    <row r="18" customFormat="false" ht="15" hidden="false" customHeight="false" outlineLevel="0" collapsed="false">
      <c r="C18" s="89" t="s">
        <v>54</v>
      </c>
      <c r="D18" s="90" t="s">
        <v>96</v>
      </c>
      <c r="E18" s="91"/>
      <c r="F18" s="92"/>
      <c r="G18" s="92" t="s">
        <v>97</v>
      </c>
      <c r="I18" s="93" t="s">
        <v>98</v>
      </c>
      <c r="J18" s="94" t="s">
        <v>72</v>
      </c>
      <c r="L18" s="95"/>
      <c r="M18" s="95" t="n">
        <v>1</v>
      </c>
    </row>
    <row r="19" customFormat="false" ht="15" hidden="false" customHeight="false" outlineLevel="0" collapsed="false">
      <c r="C19" s="89" t="s">
        <v>44</v>
      </c>
      <c r="D19" s="90" t="s">
        <v>99</v>
      </c>
      <c r="E19" s="91"/>
      <c r="F19" s="92"/>
      <c r="G19" s="92" t="s">
        <v>100</v>
      </c>
      <c r="I19" s="93" t="s">
        <v>101</v>
      </c>
      <c r="J19" s="94" t="s">
        <v>73</v>
      </c>
      <c r="L19" s="95"/>
      <c r="M19" s="95" t="n">
        <v>2</v>
      </c>
    </row>
    <row r="20" customFormat="false" ht="15" hidden="false" customHeight="false" outlineLevel="0" collapsed="false">
      <c r="C20" s="89" t="s">
        <v>102</v>
      </c>
      <c r="D20" s="90" t="s">
        <v>103</v>
      </c>
      <c r="E20" s="91"/>
      <c r="F20" s="92"/>
      <c r="G20" s="92" t="s">
        <v>104</v>
      </c>
      <c r="I20" s="93" t="s">
        <v>105</v>
      </c>
      <c r="J20" s="94" t="s">
        <v>75</v>
      </c>
      <c r="L20" s="95"/>
      <c r="M20" s="95" t="n">
        <v>3</v>
      </c>
    </row>
    <row r="21" customFormat="false" ht="15" hidden="false" customHeight="false" outlineLevel="0" collapsed="false">
      <c r="C21" s="89" t="s">
        <v>34</v>
      </c>
      <c r="D21" s="90" t="s">
        <v>106</v>
      </c>
      <c r="E21" s="91"/>
      <c r="F21" s="92"/>
      <c r="G21" s="92" t="s">
        <v>107</v>
      </c>
      <c r="I21" s="93" t="s">
        <v>108</v>
      </c>
      <c r="J21" s="94" t="s">
        <v>75</v>
      </c>
      <c r="L21" s="95"/>
      <c r="M21" s="95" t="n">
        <v>3</v>
      </c>
    </row>
    <row r="22" customFormat="false" ht="15" hidden="false" customHeight="false" outlineLevel="0" collapsed="false">
      <c r="C22" s="96"/>
      <c r="D22" s="97"/>
      <c r="E22" s="91"/>
      <c r="F22" s="92"/>
      <c r="G22" s="92"/>
      <c r="I22" s="93" t="s">
        <v>109</v>
      </c>
      <c r="J22" s="94" t="s">
        <v>73</v>
      </c>
      <c r="L22" s="95"/>
      <c r="M22" s="95" t="n">
        <v>2</v>
      </c>
    </row>
    <row r="23" customFormat="false" ht="15" hidden="false" customHeight="false" outlineLevel="0" collapsed="false">
      <c r="C23" s="89"/>
      <c r="D23" s="90"/>
      <c r="E23" s="91"/>
      <c r="F23" s="92"/>
      <c r="G23" s="92"/>
      <c r="I23" s="93" t="s">
        <v>110</v>
      </c>
      <c r="J23" s="94" t="s">
        <v>75</v>
      </c>
      <c r="L23" s="95"/>
      <c r="M23" s="95" t="n">
        <v>3</v>
      </c>
    </row>
    <row r="24" customFormat="false" ht="15" hidden="false" customHeight="false" outlineLevel="0" collapsed="false">
      <c r="C24" s="89"/>
      <c r="D24" s="90"/>
      <c r="E24" s="91"/>
      <c r="F24" s="92"/>
      <c r="G24" s="92"/>
      <c r="I24" s="93" t="s">
        <v>111</v>
      </c>
      <c r="J24" s="94" t="s">
        <v>75</v>
      </c>
      <c r="L24" s="95"/>
      <c r="M24" s="95" t="n">
        <v>3</v>
      </c>
    </row>
    <row r="25" customFormat="false" ht="15" hidden="false" customHeight="false" outlineLevel="0" collapsed="false">
      <c r="C25" s="89"/>
      <c r="D25" s="90"/>
      <c r="E25" s="91"/>
      <c r="F25" s="92"/>
      <c r="G25" s="92"/>
      <c r="I25" s="93" t="s">
        <v>112</v>
      </c>
      <c r="J25" s="94" t="s">
        <v>77</v>
      </c>
      <c r="L25" s="95"/>
      <c r="M25" s="95" t="n">
        <v>4</v>
      </c>
    </row>
    <row r="26" customFormat="false" ht="15" hidden="false" customHeight="false" outlineLevel="0" collapsed="false">
      <c r="C26" s="89"/>
      <c r="D26" s="90"/>
      <c r="E26" s="91"/>
      <c r="F26" s="92"/>
      <c r="G26" s="92"/>
      <c r="I26" s="93" t="s">
        <v>113</v>
      </c>
      <c r="J26" s="94" t="s">
        <v>75</v>
      </c>
      <c r="L26" s="95"/>
      <c r="M26" s="95" t="n">
        <v>3</v>
      </c>
    </row>
    <row r="27" customFormat="false" ht="15" hidden="false" customHeight="false" outlineLevel="0" collapsed="false">
      <c r="C27" s="89"/>
      <c r="D27" s="90"/>
      <c r="E27" s="91"/>
      <c r="F27" s="92"/>
      <c r="G27" s="92"/>
      <c r="I27" s="93" t="s">
        <v>114</v>
      </c>
      <c r="J27" s="94" t="s">
        <v>75</v>
      </c>
      <c r="L27" s="95"/>
      <c r="M27" s="95" t="n">
        <v>3</v>
      </c>
    </row>
    <row r="28" customFormat="false" ht="15" hidden="false" customHeight="false" outlineLevel="0" collapsed="false">
      <c r="I28" s="93" t="s">
        <v>115</v>
      </c>
      <c r="J28" s="94" t="s">
        <v>77</v>
      </c>
      <c r="L28" s="95"/>
      <c r="M28" s="95" t="n">
        <v>4</v>
      </c>
    </row>
    <row r="29" customFormat="false" ht="15" hidden="false" customHeight="false" outlineLevel="0" collapsed="false">
      <c r="C29" s="82" t="s">
        <v>116</v>
      </c>
      <c r="D29" s="83" t="s">
        <v>117</v>
      </c>
      <c r="E29" s="84"/>
      <c r="F29" s="85"/>
      <c r="G29" s="83" t="s">
        <v>118</v>
      </c>
      <c r="I29" s="93" t="s">
        <v>119</v>
      </c>
      <c r="J29" s="94" t="s">
        <v>77</v>
      </c>
      <c r="L29" s="95"/>
      <c r="M29" s="95" t="n">
        <v>4</v>
      </c>
    </row>
    <row r="30" customFormat="false" ht="15" hidden="false" customHeight="false" outlineLevel="0" collapsed="false">
      <c r="C30" s="98" t="n">
        <v>1</v>
      </c>
      <c r="D30" s="90" t="s">
        <v>120</v>
      </c>
      <c r="F30" s="92"/>
      <c r="G30" s="92" t="s">
        <v>96</v>
      </c>
      <c r="I30" s="93" t="s">
        <v>121</v>
      </c>
      <c r="J30" s="94" t="s">
        <v>75</v>
      </c>
      <c r="L30" s="95"/>
      <c r="M30" s="95" t="n">
        <v>3</v>
      </c>
    </row>
    <row r="31" customFormat="false" ht="15" hidden="false" customHeight="false" outlineLevel="0" collapsed="false">
      <c r="C31" s="98" t="n">
        <v>2</v>
      </c>
      <c r="D31" s="90" t="s">
        <v>122</v>
      </c>
      <c r="F31" s="92"/>
      <c r="G31" s="92" t="s">
        <v>99</v>
      </c>
      <c r="I31" s="93" t="s">
        <v>123</v>
      </c>
      <c r="J31" s="94" t="s">
        <v>77</v>
      </c>
      <c r="L31" s="95"/>
      <c r="M31" s="95" t="n">
        <v>4</v>
      </c>
    </row>
    <row r="32" customFormat="false" ht="15" hidden="false" customHeight="false" outlineLevel="0" collapsed="false">
      <c r="C32" s="98" t="n">
        <v>3</v>
      </c>
      <c r="D32" s="90" t="s">
        <v>124</v>
      </c>
      <c r="F32" s="92"/>
      <c r="G32" s="92" t="s">
        <v>103</v>
      </c>
      <c r="I32" s="93" t="s">
        <v>125</v>
      </c>
      <c r="J32" s="94" t="s">
        <v>77</v>
      </c>
      <c r="L32" s="95"/>
      <c r="M32" s="95" t="n">
        <v>4</v>
      </c>
    </row>
    <row r="33" customFormat="false" ht="15" hidden="false" customHeight="false" outlineLevel="0" collapsed="false">
      <c r="C33" s="98" t="n">
        <v>4</v>
      </c>
      <c r="D33" s="90" t="s">
        <v>126</v>
      </c>
      <c r="F33" s="92"/>
      <c r="G33" s="92" t="s">
        <v>106</v>
      </c>
      <c r="I33" s="93" t="s">
        <v>127</v>
      </c>
      <c r="J33" s="94" t="s">
        <v>77</v>
      </c>
      <c r="L33" s="95"/>
      <c r="M33" s="95" t="n">
        <v>4</v>
      </c>
    </row>
    <row r="34" customFormat="false" ht="15" hidden="false" customHeight="false" outlineLevel="0" collapsed="false">
      <c r="C34" s="98"/>
      <c r="D34" s="97"/>
      <c r="E34" s="80"/>
      <c r="F34" s="99"/>
      <c r="G34" s="99"/>
      <c r="I34" s="93"/>
      <c r="J34" s="90"/>
      <c r="K34" s="95"/>
      <c r="L34" s="95"/>
      <c r="M34" s="95"/>
    </row>
    <row r="35" customFormat="false" ht="15" hidden="false" customHeight="false" outlineLevel="0" collapsed="false">
      <c r="C35" s="98"/>
      <c r="D35" s="90"/>
      <c r="F35" s="92"/>
      <c r="G35" s="92"/>
      <c r="I35" s="93"/>
      <c r="J35" s="90"/>
      <c r="K35" s="95"/>
      <c r="L35" s="95"/>
      <c r="M35" s="95"/>
    </row>
    <row r="36" customFormat="false" ht="15" hidden="false" customHeight="false" outlineLevel="0" collapsed="false">
      <c r="C36" s="98"/>
      <c r="D36" s="90"/>
      <c r="F36" s="92"/>
      <c r="G36" s="92"/>
      <c r="I36" s="93"/>
      <c r="J36" s="90"/>
      <c r="K36" s="95"/>
      <c r="L36" s="95"/>
      <c r="M36" s="95"/>
    </row>
    <row r="37" customFormat="false" ht="15" hidden="false" customHeight="false" outlineLevel="0" collapsed="false">
      <c r="C37" s="98"/>
      <c r="D37" s="90"/>
      <c r="F37" s="92"/>
      <c r="G37" s="92"/>
      <c r="I37" s="93"/>
      <c r="J37" s="90"/>
      <c r="K37" s="95"/>
      <c r="L37" s="95"/>
      <c r="M37" s="95"/>
    </row>
    <row r="38" customFormat="false" ht="15" hidden="false" customHeight="false" outlineLevel="0" collapsed="false">
      <c r="C38" s="98"/>
      <c r="D38" s="90"/>
      <c r="F38" s="92"/>
      <c r="G38" s="92"/>
      <c r="I38" s="93"/>
      <c r="J38" s="90"/>
      <c r="K38" s="95"/>
      <c r="L38" s="95"/>
      <c r="M38" s="95"/>
    </row>
    <row r="39" customFormat="false" ht="15" hidden="false" customHeight="false" outlineLevel="0" collapsed="false">
      <c r="C39" s="98"/>
      <c r="D39" s="90"/>
      <c r="F39" s="92"/>
      <c r="G39" s="92"/>
      <c r="I39" s="93"/>
      <c r="J39" s="90"/>
      <c r="K39" s="95"/>
      <c r="L39" s="95"/>
      <c r="M39" s="95"/>
    </row>
    <row r="40" customFormat="false" ht="15" hidden="false" customHeight="false" outlineLevel="0" collapsed="false">
      <c r="I40" s="93"/>
      <c r="J40" s="90"/>
      <c r="K40" s="95"/>
      <c r="L40" s="95"/>
      <c r="M40" s="95"/>
    </row>
    <row r="41" customFormat="false" ht="15" hidden="false" customHeight="false" outlineLevel="0" collapsed="false">
      <c r="C41" s="70"/>
      <c r="D41" s="100" t="s">
        <v>36</v>
      </c>
      <c r="I41" s="93"/>
      <c r="J41" s="90"/>
      <c r="K41" s="95"/>
      <c r="L41" s="95"/>
      <c r="M41" s="95"/>
    </row>
    <row r="42" customFormat="false" ht="15" hidden="false" customHeight="false" outlineLevel="0" collapsed="false">
      <c r="C42" s="70"/>
      <c r="D42" s="100" t="s">
        <v>74</v>
      </c>
      <c r="I42" s="93"/>
      <c r="J42" s="97"/>
      <c r="K42" s="99"/>
      <c r="L42" s="99"/>
      <c r="M42" s="99"/>
    </row>
    <row r="43" customFormat="false" ht="15" hidden="false" customHeight="false" outlineLevel="0" collapsed="false">
      <c r="C43" s="70"/>
      <c r="D43" s="100" t="s">
        <v>76</v>
      </c>
      <c r="I43" s="93"/>
      <c r="J43" s="90"/>
      <c r="K43" s="95"/>
      <c r="L43" s="95"/>
      <c r="M43" s="95"/>
    </row>
    <row r="44" customFormat="false" ht="15" hidden="false" customHeight="false" outlineLevel="0" collapsed="false">
      <c r="C44" s="70"/>
      <c r="D44" s="100" t="s">
        <v>62</v>
      </c>
      <c r="I44" s="93"/>
      <c r="J44" s="90"/>
      <c r="K44" s="95"/>
      <c r="L44" s="95"/>
      <c r="M44" s="95"/>
    </row>
    <row r="45" customFormat="false" ht="15" hidden="false" customHeight="false" outlineLevel="0" collapsed="false">
      <c r="C45" s="70"/>
      <c r="D45" s="100"/>
      <c r="I45" s="93"/>
      <c r="J45" s="90"/>
      <c r="K45" s="95"/>
      <c r="L45" s="95"/>
      <c r="M45" s="95"/>
    </row>
    <row r="46" customFormat="false" ht="15" hidden="false" customHeight="false" outlineLevel="0" collapsed="false">
      <c r="C46" s="70"/>
      <c r="D46" s="100"/>
      <c r="I46" s="93"/>
      <c r="J46" s="90"/>
      <c r="K46" s="95"/>
      <c r="L46" s="95"/>
      <c r="M46" s="95"/>
    </row>
    <row r="47" customFormat="false" ht="15" hidden="false" customHeight="false" outlineLevel="0" collapsed="false">
      <c r="C47" s="70"/>
      <c r="D47" s="100"/>
      <c r="I47" s="93"/>
      <c r="J47" s="90"/>
      <c r="K47" s="95"/>
      <c r="L47" s="95"/>
      <c r="M47" s="95"/>
    </row>
    <row r="48" customFormat="false" ht="15" hidden="false" customHeight="false" outlineLevel="0" collapsed="false">
      <c r="C48" s="70"/>
      <c r="D48" s="100"/>
      <c r="I48" s="93"/>
      <c r="J48" s="90"/>
      <c r="K48" s="95"/>
      <c r="L48" s="95"/>
      <c r="M48" s="95"/>
    </row>
    <row r="49" customFormat="false" ht="15" hidden="false" customHeight="false" outlineLevel="0" collapsed="false">
      <c r="C49" s="70"/>
      <c r="D49" s="100"/>
      <c r="I49" s="93"/>
      <c r="J49" s="90"/>
      <c r="K49" s="95"/>
      <c r="L49" s="95"/>
      <c r="M49" s="95"/>
    </row>
    <row r="50" customFormat="false" ht="15" hidden="false" customHeight="false" outlineLevel="0" collapsed="false">
      <c r="C50" s="70"/>
      <c r="D50" s="100"/>
      <c r="I50" s="93"/>
      <c r="J50" s="90"/>
      <c r="K50" s="95"/>
      <c r="L50" s="95"/>
      <c r="M50" s="95"/>
    </row>
    <row r="51" customFormat="false" ht="15" hidden="false" customHeight="false" outlineLevel="0" collapsed="false">
      <c r="C51" s="70"/>
      <c r="D51" s="71"/>
      <c r="I51" s="93"/>
      <c r="J51" s="90"/>
      <c r="K51" s="95"/>
      <c r="L51" s="95"/>
      <c r="M51" s="95"/>
    </row>
    <row r="52" customFormat="false" ht="15" hidden="false" customHeight="false" outlineLevel="0" collapsed="false">
      <c r="C52" s="70"/>
      <c r="I52" s="93"/>
      <c r="J52" s="90"/>
      <c r="K52" s="95"/>
      <c r="L52" s="95"/>
      <c r="M52" s="95"/>
    </row>
    <row r="53" customFormat="false" ht="15" hidden="false" customHeight="false" outlineLevel="0" collapsed="false">
      <c r="C53" s="70"/>
      <c r="I53" s="93"/>
      <c r="J53" s="90"/>
      <c r="K53" s="95"/>
      <c r="L53" s="95"/>
      <c r="M53" s="95"/>
    </row>
    <row r="54" customFormat="false" ht="15" hidden="false" customHeight="false" outlineLevel="0" collapsed="false">
      <c r="C54" s="70"/>
      <c r="D54" s="101" t="s">
        <v>39</v>
      </c>
      <c r="I54" s="93"/>
      <c r="J54" s="90"/>
      <c r="K54" s="95"/>
      <c r="L54" s="95"/>
      <c r="M54" s="95"/>
    </row>
    <row r="55" customFormat="false" ht="15" hidden="false" customHeight="false" outlineLevel="0" collapsed="false">
      <c r="C55" s="70"/>
      <c r="D55" s="101" t="s">
        <v>47</v>
      </c>
      <c r="I55" s="93"/>
      <c r="J55" s="90"/>
      <c r="K55" s="95"/>
      <c r="L55" s="95"/>
      <c r="M55" s="95"/>
    </row>
    <row r="56" customFormat="false" ht="15" hidden="false" customHeight="false" outlineLevel="0" collapsed="false">
      <c r="C56" s="70"/>
      <c r="D56" s="101" t="s">
        <v>58</v>
      </c>
      <c r="I56" s="93"/>
      <c r="J56" s="90"/>
      <c r="K56" s="95"/>
      <c r="L56" s="95"/>
      <c r="M56" s="95"/>
    </row>
    <row r="57" customFormat="false" ht="15" hidden="false" customHeight="false" outlineLevel="0" collapsed="false">
      <c r="C57" s="70"/>
      <c r="D57" s="101"/>
      <c r="I57" s="93"/>
      <c r="J57" s="90"/>
      <c r="K57" s="95"/>
      <c r="L57" s="95"/>
      <c r="M57" s="95"/>
    </row>
    <row r="58" customFormat="false" ht="15" hidden="false" customHeight="false" outlineLevel="0" collapsed="false">
      <c r="C58" s="70"/>
      <c r="D58" s="71"/>
      <c r="I58" s="93"/>
      <c r="J58" s="90"/>
      <c r="K58" s="95"/>
      <c r="L58" s="95"/>
      <c r="M58" s="95"/>
    </row>
    <row r="59" customFormat="false" ht="15" hidden="false" customHeight="false" outlineLevel="0" collapsed="false">
      <c r="C59" s="70"/>
      <c r="D59" s="71"/>
      <c r="I59" s="93"/>
      <c r="J59" s="90"/>
      <c r="K59" s="95"/>
      <c r="L59" s="95"/>
      <c r="M59" s="95"/>
    </row>
    <row r="60" customFormat="false" ht="15" hidden="false" customHeight="false" outlineLevel="0" collapsed="false">
      <c r="C60" s="70"/>
      <c r="D60" s="71"/>
      <c r="I60" s="93"/>
      <c r="J60" s="90"/>
      <c r="K60" s="95"/>
      <c r="L60" s="95"/>
      <c r="M60" s="95"/>
    </row>
    <row r="61" customFormat="false" ht="15" hidden="false" customHeight="false" outlineLevel="0" collapsed="false">
      <c r="C61" s="70"/>
      <c r="D61" s="71"/>
      <c r="I61" s="93"/>
      <c r="J61" s="90"/>
      <c r="K61" s="95"/>
      <c r="L61" s="95"/>
      <c r="M61" s="95"/>
    </row>
    <row r="62" customFormat="false" ht="15" hidden="false" customHeight="false" outlineLevel="0" collapsed="false">
      <c r="C62" s="70"/>
      <c r="D62" s="71"/>
      <c r="I62" s="93"/>
      <c r="J62" s="90"/>
      <c r="K62" s="95"/>
      <c r="L62" s="95"/>
      <c r="M62" s="95"/>
    </row>
    <row r="63" customFormat="false" ht="15" hidden="false" customHeight="false" outlineLevel="0" collapsed="false">
      <c r="C63" s="70"/>
      <c r="D63" s="71"/>
      <c r="I63" s="93"/>
      <c r="J63" s="90"/>
      <c r="K63" s="95"/>
      <c r="L63" s="95"/>
      <c r="M63" s="95"/>
    </row>
    <row r="64" customFormat="false" ht="15" hidden="false" customHeight="false" outlineLevel="0" collapsed="false">
      <c r="C64" s="70"/>
      <c r="D64" s="71"/>
      <c r="I64" s="93"/>
      <c r="J64" s="90"/>
      <c r="K64" s="95"/>
      <c r="L64" s="95"/>
      <c r="M64" s="95"/>
    </row>
    <row r="65" customFormat="false" ht="15" hidden="false" customHeight="false" outlineLevel="0" collapsed="false">
      <c r="I65" s="93"/>
      <c r="J65" s="90"/>
      <c r="K65" s="95"/>
      <c r="L65" s="95"/>
      <c r="M65" s="95"/>
    </row>
    <row r="66" customFormat="false" ht="15" hidden="false" customHeight="false" outlineLevel="0" collapsed="false">
      <c r="I66" s="93"/>
      <c r="J66" s="90"/>
      <c r="K66" s="95"/>
      <c r="L66" s="95"/>
      <c r="M66" s="95"/>
    </row>
    <row r="67" customFormat="false" ht="15" hidden="false" customHeight="false" outlineLevel="0" collapsed="false">
      <c r="I67" s="93"/>
      <c r="J67" s="90"/>
      <c r="K67" s="95"/>
      <c r="L67" s="95"/>
      <c r="M67" s="95"/>
    </row>
    <row r="68" customFormat="false" ht="15" hidden="false" customHeight="false" outlineLevel="0" collapsed="false">
      <c r="I68" s="93"/>
      <c r="J68" s="90"/>
      <c r="K68" s="95"/>
      <c r="L68" s="95"/>
      <c r="M68" s="95"/>
    </row>
    <row r="69" customFormat="false" ht="15" hidden="false" customHeight="false" outlineLevel="0" collapsed="false">
      <c r="I69" s="93"/>
      <c r="J69" s="90"/>
      <c r="K69" s="95"/>
      <c r="L69" s="95"/>
      <c r="M69" s="95"/>
    </row>
    <row r="70" customFormat="false" ht="15" hidden="false" customHeight="false" outlineLevel="0" collapsed="false">
      <c r="I70" s="93"/>
      <c r="J70" s="90"/>
      <c r="K70" s="95"/>
      <c r="L70" s="95"/>
      <c r="M70" s="95"/>
    </row>
    <row r="71" customFormat="false" ht="15" hidden="false" customHeight="false" outlineLevel="0" collapsed="false">
      <c r="I71" s="93"/>
      <c r="J71" s="90"/>
      <c r="K71" s="95"/>
      <c r="L71" s="95"/>
      <c r="M71" s="95"/>
    </row>
    <row r="72" customFormat="false" ht="15" hidden="false" customHeight="false" outlineLevel="0" collapsed="false">
      <c r="I72" s="93"/>
      <c r="J72" s="90"/>
      <c r="K72" s="95"/>
      <c r="L72" s="95"/>
      <c r="M72" s="95"/>
    </row>
    <row r="73" customFormat="false" ht="15" hidden="false" customHeight="false" outlineLevel="0" collapsed="false">
      <c r="I73" s="93"/>
      <c r="J73" s="90"/>
      <c r="K73" s="95"/>
      <c r="L73" s="95"/>
      <c r="M73" s="95"/>
    </row>
    <row r="74" customFormat="false" ht="15" hidden="false" customHeight="false" outlineLevel="0" collapsed="false">
      <c r="I74" s="93"/>
      <c r="J74" s="90"/>
      <c r="K74" s="95"/>
      <c r="L74" s="95"/>
      <c r="M74" s="95"/>
    </row>
    <row r="75" customFormat="false" ht="15" hidden="false" customHeight="false" outlineLevel="0" collapsed="false">
      <c r="I75" s="93"/>
      <c r="J75" s="90"/>
      <c r="K75" s="95"/>
      <c r="L75" s="95"/>
      <c r="M75" s="95"/>
    </row>
    <row r="76" customFormat="false" ht="15" hidden="false" customHeight="false" outlineLevel="0" collapsed="false">
      <c r="I76" s="93"/>
      <c r="J76" s="90"/>
      <c r="K76" s="95"/>
      <c r="L76" s="95"/>
      <c r="M76" s="95"/>
    </row>
    <row r="77" customFormat="false" ht="15" hidden="false" customHeight="false" outlineLevel="0" collapsed="false">
      <c r="I77" s="93"/>
      <c r="J77" s="90"/>
      <c r="K77" s="95"/>
      <c r="L77" s="95"/>
      <c r="M77" s="95"/>
    </row>
    <row r="78" customFormat="false" ht="15" hidden="false" customHeight="false" outlineLevel="0" collapsed="false">
      <c r="I78" s="93"/>
      <c r="J78" s="90"/>
      <c r="K78" s="95"/>
      <c r="L78" s="95"/>
      <c r="M78" s="95"/>
    </row>
    <row r="79" customFormat="false" ht="15" hidden="false" customHeight="false" outlineLevel="0" collapsed="false">
      <c r="I79" s="93"/>
      <c r="J79" s="90"/>
      <c r="K79" s="95"/>
      <c r="L79" s="95"/>
      <c r="M79" s="95"/>
    </row>
    <row r="80" customFormat="false" ht="15" hidden="false" customHeight="false" outlineLevel="0" collapsed="false">
      <c r="I80" s="93"/>
      <c r="J80" s="90"/>
      <c r="K80" s="95"/>
      <c r="L80" s="95"/>
      <c r="M80" s="95"/>
    </row>
    <row r="81" customFormat="false" ht="15" hidden="false" customHeight="false" outlineLevel="0" collapsed="false">
      <c r="I81" s="93"/>
      <c r="J81" s="90"/>
      <c r="K81" s="95"/>
      <c r="L81" s="95"/>
      <c r="M81" s="95"/>
    </row>
    <row r="82" customFormat="false" ht="15" hidden="false" customHeight="false" outlineLevel="0" collapsed="false">
      <c r="I82" s="93"/>
      <c r="J82" s="90"/>
      <c r="K82" s="95"/>
      <c r="L82" s="95"/>
      <c r="M82" s="95"/>
    </row>
    <row r="83" customFormat="false" ht="15" hidden="false" customHeight="false" outlineLevel="0" collapsed="false">
      <c r="I83" s="93"/>
      <c r="J83" s="90"/>
      <c r="K83" s="95"/>
      <c r="L83" s="95"/>
      <c r="M83" s="95"/>
    </row>
    <row r="84" customFormat="false" ht="15" hidden="false" customHeight="false" outlineLevel="0" collapsed="false">
      <c r="I84" s="93"/>
      <c r="J84" s="90"/>
      <c r="K84" s="95"/>
      <c r="L84" s="95"/>
      <c r="M84" s="95"/>
    </row>
    <row r="85" customFormat="false" ht="15" hidden="false" customHeight="false" outlineLevel="0" collapsed="false">
      <c r="I85" s="93"/>
      <c r="J85" s="90"/>
      <c r="K85" s="95"/>
      <c r="L85" s="95"/>
      <c r="M85" s="95"/>
    </row>
    <row r="86" customFormat="false" ht="15" hidden="false" customHeight="false" outlineLevel="0" collapsed="false">
      <c r="I86" s="93"/>
      <c r="J86" s="90"/>
      <c r="K86" s="95"/>
      <c r="L86" s="95"/>
      <c r="M86" s="95"/>
    </row>
    <row r="87" customFormat="false" ht="15" hidden="false" customHeight="false" outlineLevel="0" collapsed="false">
      <c r="I87" s="93"/>
      <c r="J87" s="90"/>
      <c r="K87" s="95"/>
      <c r="L87" s="95"/>
      <c r="M87" s="95"/>
    </row>
    <row r="88" customFormat="false" ht="15" hidden="false" customHeight="false" outlineLevel="0" collapsed="false">
      <c r="I88" s="93"/>
      <c r="J88" s="90"/>
      <c r="K88" s="95"/>
      <c r="L88" s="95"/>
      <c r="M88" s="95"/>
    </row>
    <row r="89" customFormat="false" ht="15" hidden="false" customHeight="false" outlineLevel="0" collapsed="false">
      <c r="I89" s="93"/>
      <c r="J89" s="90"/>
      <c r="K89" s="95"/>
      <c r="L89" s="95"/>
      <c r="M89" s="95"/>
    </row>
    <row r="90" customFormat="false" ht="15" hidden="false" customHeight="false" outlineLevel="0" collapsed="false">
      <c r="I90" s="93"/>
      <c r="J90" s="90"/>
      <c r="K90" s="95"/>
      <c r="L90" s="95"/>
      <c r="M90" s="95"/>
    </row>
    <row r="91" customFormat="false" ht="15" hidden="false" customHeight="false" outlineLevel="0" collapsed="false">
      <c r="I91" s="93"/>
      <c r="J91" s="90"/>
      <c r="K91" s="95"/>
      <c r="L91" s="95"/>
      <c r="M91" s="95"/>
    </row>
    <row r="92" customFormat="false" ht="15" hidden="false" customHeight="false" outlineLevel="0" collapsed="false">
      <c r="I92" s="93"/>
      <c r="J92" s="90"/>
      <c r="K92" s="95"/>
      <c r="L92" s="95"/>
      <c r="M92" s="95"/>
    </row>
    <row r="93" customFormat="false" ht="15" hidden="false" customHeight="false" outlineLevel="0" collapsed="false">
      <c r="I93" s="93"/>
      <c r="J93" s="90"/>
      <c r="K93" s="95"/>
      <c r="L93" s="95"/>
      <c r="M93" s="95"/>
    </row>
    <row r="94" customFormat="false" ht="15" hidden="false" customHeight="false" outlineLevel="0" collapsed="false">
      <c r="I94" s="93"/>
      <c r="J94" s="90"/>
      <c r="K94" s="95"/>
      <c r="L94" s="95"/>
      <c r="M94" s="95"/>
    </row>
    <row r="95" customFormat="false" ht="15" hidden="false" customHeight="false" outlineLevel="0" collapsed="false">
      <c r="I95" s="93"/>
      <c r="J95" s="90"/>
      <c r="K95" s="95"/>
      <c r="L95" s="95"/>
      <c r="M95" s="95"/>
    </row>
    <row r="96" customFormat="false" ht="15" hidden="false" customHeight="false" outlineLevel="0" collapsed="false">
      <c r="I96" s="93"/>
      <c r="J96" s="90"/>
      <c r="K96" s="95"/>
      <c r="L96" s="95"/>
      <c r="M96" s="95"/>
    </row>
    <row r="97" customFormat="false" ht="15" hidden="false" customHeight="false" outlineLevel="0" collapsed="false">
      <c r="I97" s="93"/>
      <c r="J97" s="90"/>
      <c r="K97" s="95"/>
      <c r="L97" s="95"/>
      <c r="M97" s="95"/>
    </row>
    <row r="98" customFormat="false" ht="15" hidden="false" customHeight="false" outlineLevel="0" collapsed="false">
      <c r="I98" s="93"/>
      <c r="J98" s="90"/>
      <c r="K98" s="95"/>
      <c r="L98" s="95"/>
      <c r="M98" s="95"/>
    </row>
    <row r="99" customFormat="false" ht="15" hidden="false" customHeight="false" outlineLevel="0" collapsed="false">
      <c r="I99" s="93"/>
      <c r="J99" s="90"/>
      <c r="K99" s="95"/>
      <c r="L99" s="95"/>
      <c r="M99" s="95"/>
    </row>
    <row r="100" customFormat="false" ht="15" hidden="false" customHeight="false" outlineLevel="0" collapsed="false">
      <c r="I100" s="93"/>
      <c r="J100" s="90"/>
      <c r="K100" s="95"/>
      <c r="L100" s="95"/>
      <c r="M100" s="95"/>
    </row>
    <row r="101" customFormat="false" ht="15" hidden="false" customHeight="false" outlineLevel="0" collapsed="false">
      <c r="I101" s="93"/>
      <c r="J101" s="90"/>
      <c r="K101" s="95"/>
      <c r="L101" s="95"/>
      <c r="M101" s="95"/>
    </row>
    <row r="102" customFormat="false" ht="15" hidden="false" customHeight="false" outlineLevel="0" collapsed="false">
      <c r="I102" s="93"/>
      <c r="J102" s="90"/>
      <c r="K102" s="95"/>
      <c r="L102" s="95"/>
      <c r="M102" s="95"/>
    </row>
    <row r="103" customFormat="false" ht="15" hidden="false" customHeight="false" outlineLevel="0" collapsed="false">
      <c r="I103" s="93"/>
      <c r="J103" s="90"/>
      <c r="K103" s="95"/>
      <c r="L103" s="95"/>
      <c r="M103" s="95"/>
    </row>
    <row r="104" customFormat="false" ht="15" hidden="false" customHeight="false" outlineLevel="0" collapsed="false">
      <c r="I104" s="93"/>
      <c r="J104" s="90"/>
      <c r="K104" s="95"/>
      <c r="L104" s="95"/>
      <c r="M104" s="95"/>
    </row>
    <row r="105" customFormat="false" ht="15" hidden="false" customHeight="false" outlineLevel="0" collapsed="false">
      <c r="I105" s="93"/>
      <c r="J105" s="90"/>
      <c r="K105" s="95"/>
      <c r="L105" s="95"/>
      <c r="M105" s="95"/>
    </row>
    <row r="106" customFormat="false" ht="15" hidden="false" customHeight="false" outlineLevel="0" collapsed="false">
      <c r="I106" s="93"/>
      <c r="J106" s="90"/>
      <c r="K106" s="95"/>
      <c r="L106" s="95"/>
      <c r="M106" s="95"/>
    </row>
    <row r="107" customFormat="false" ht="15" hidden="false" customHeight="false" outlineLevel="0" collapsed="false">
      <c r="I107" s="93"/>
      <c r="J107" s="90"/>
      <c r="K107" s="95"/>
      <c r="L107" s="95"/>
      <c r="M107" s="95"/>
    </row>
    <row r="108" customFormat="false" ht="15" hidden="false" customHeight="false" outlineLevel="0" collapsed="false">
      <c r="I108" s="93"/>
      <c r="J108" s="90"/>
      <c r="K108" s="95"/>
      <c r="L108" s="95"/>
      <c r="M108" s="95"/>
    </row>
    <row r="109" customFormat="false" ht="15" hidden="false" customHeight="false" outlineLevel="0" collapsed="false">
      <c r="I109" s="93"/>
      <c r="J109" s="90"/>
      <c r="K109" s="95"/>
      <c r="L109" s="95"/>
      <c r="M109" s="95"/>
    </row>
    <row r="110" customFormat="false" ht="15" hidden="false" customHeight="false" outlineLevel="0" collapsed="false">
      <c r="I110" s="93"/>
      <c r="J110" s="90"/>
      <c r="K110" s="95"/>
      <c r="L110" s="95"/>
      <c r="M110" s="95"/>
    </row>
    <row r="111" customFormat="false" ht="15" hidden="false" customHeight="false" outlineLevel="0" collapsed="false">
      <c r="I111" s="93"/>
      <c r="J111" s="90"/>
      <c r="K111" s="95"/>
      <c r="L111" s="95"/>
      <c r="M111" s="95"/>
    </row>
    <row r="112" customFormat="false" ht="15" hidden="false" customHeight="false" outlineLevel="0" collapsed="false">
      <c r="I112" s="93"/>
      <c r="J112" s="90"/>
      <c r="K112" s="95"/>
      <c r="L112" s="95"/>
      <c r="M112" s="95"/>
    </row>
    <row r="113" customFormat="false" ht="15" hidden="false" customHeight="false" outlineLevel="0" collapsed="false">
      <c r="I113" s="93"/>
      <c r="J113" s="90"/>
      <c r="K113" s="95"/>
      <c r="L113" s="95"/>
      <c r="M113" s="95"/>
    </row>
    <row r="114" customFormat="false" ht="15" hidden="false" customHeight="false" outlineLevel="0" collapsed="false">
      <c r="I114" s="93"/>
      <c r="J114" s="90"/>
      <c r="K114" s="95"/>
      <c r="L114" s="95"/>
      <c r="M114" s="95"/>
    </row>
    <row r="115" customFormat="false" ht="15" hidden="false" customHeight="false" outlineLevel="0" collapsed="false">
      <c r="I115" s="93"/>
      <c r="J115" s="90"/>
      <c r="K115" s="95"/>
      <c r="L115" s="95"/>
      <c r="M115" s="95"/>
    </row>
    <row r="116" customFormat="false" ht="15" hidden="false" customHeight="false" outlineLevel="0" collapsed="false">
      <c r="I116" s="93"/>
      <c r="J116" s="90"/>
      <c r="K116" s="95"/>
      <c r="L116" s="95"/>
      <c r="M116" s="95"/>
    </row>
    <row r="117" customFormat="false" ht="15" hidden="false" customHeight="false" outlineLevel="0" collapsed="false">
      <c r="I117" s="93"/>
      <c r="J117" s="90"/>
      <c r="K117" s="95"/>
      <c r="L117" s="95"/>
      <c r="M117" s="95"/>
    </row>
    <row r="118" customFormat="false" ht="15" hidden="false" customHeight="false" outlineLevel="0" collapsed="false">
      <c r="I118" s="71"/>
      <c r="J118" s="71"/>
      <c r="M118" s="71"/>
    </row>
    <row r="119" customFormat="false" ht="15" hidden="false" customHeight="false" outlineLevel="0" collapsed="false">
      <c r="I119" s="71"/>
      <c r="J119" s="71"/>
      <c r="M119" s="71"/>
    </row>
    <row r="120" customFormat="false" ht="15" hidden="false" customHeight="false" outlineLevel="0" collapsed="false">
      <c r="I120" s="71"/>
      <c r="J120" s="71"/>
      <c r="M120" s="71"/>
    </row>
    <row r="121" customFormat="false" ht="15" hidden="false" customHeight="false" outlineLevel="0" collapsed="false">
      <c r="I121" s="71"/>
      <c r="J121" s="71"/>
      <c r="M121" s="71"/>
    </row>
    <row r="122" customFormat="false" ht="15" hidden="false" customHeight="false" outlineLevel="0" collapsed="false">
      <c r="I122" s="71"/>
      <c r="J122" s="71"/>
      <c r="M122" s="71"/>
    </row>
    <row r="123" customFormat="false" ht="15" hidden="false" customHeight="false" outlineLevel="0" collapsed="false">
      <c r="I123" s="71"/>
      <c r="J123" s="71"/>
      <c r="M123" s="71"/>
    </row>
    <row r="124" customFormat="false" ht="15" hidden="false" customHeight="false" outlineLevel="0" collapsed="false">
      <c r="I124" s="71"/>
      <c r="J124" s="71"/>
      <c r="M124" s="71"/>
    </row>
    <row r="125" customFormat="false" ht="15" hidden="false" customHeight="false" outlineLevel="0" collapsed="false">
      <c r="I125" s="71"/>
      <c r="J125" s="71"/>
      <c r="M125" s="71"/>
    </row>
    <row r="126" customFormat="false" ht="15" hidden="false" customHeight="false" outlineLevel="0" collapsed="false">
      <c r="I126" s="71"/>
      <c r="J126" s="71"/>
      <c r="M126" s="71"/>
    </row>
    <row r="127" customFormat="false" ht="15" hidden="false" customHeight="false" outlineLevel="0" collapsed="false">
      <c r="I127" s="71"/>
      <c r="J127" s="71"/>
      <c r="M127" s="71"/>
    </row>
    <row r="128" customFormat="false" ht="15" hidden="false" customHeight="false" outlineLevel="0" collapsed="false">
      <c r="I128" s="71"/>
      <c r="J128" s="71"/>
      <c r="M128" s="71"/>
    </row>
    <row r="129" customFormat="false" ht="15" hidden="false" customHeight="false" outlineLevel="0" collapsed="false">
      <c r="I129" s="71"/>
      <c r="J129" s="71"/>
      <c r="M129" s="71"/>
    </row>
    <row r="130" customFormat="false" ht="15" hidden="false" customHeight="false" outlineLevel="0" collapsed="false">
      <c r="I130" s="71"/>
      <c r="J130" s="71"/>
      <c r="M130" s="71"/>
    </row>
    <row r="131" customFormat="false" ht="15" hidden="false" customHeight="false" outlineLevel="0" collapsed="false">
      <c r="I131" s="71"/>
      <c r="J131" s="71"/>
      <c r="M131" s="71"/>
    </row>
    <row r="132" customFormat="false" ht="15" hidden="false" customHeight="false" outlineLevel="0" collapsed="false">
      <c r="I132" s="71"/>
      <c r="J132" s="71"/>
      <c r="M132" s="71"/>
    </row>
    <row r="133" customFormat="false" ht="15" hidden="false" customHeight="false" outlineLevel="0" collapsed="false">
      <c r="I133" s="71"/>
      <c r="J133" s="71"/>
      <c r="M133" s="71"/>
    </row>
    <row r="134" customFormat="false" ht="15" hidden="false" customHeight="false" outlineLevel="0" collapsed="false">
      <c r="J134" s="70" t="n">
        <v>3</v>
      </c>
    </row>
  </sheetData>
  <conditionalFormatting sqref="M18:M33">
    <cfRule type="expression" priority="2" aboveAverage="0" equalAverage="0" bottom="0" percent="0" rank="0" text="" dxfId="31">
      <formula>COUNTA($I18:$M18)&gt;0</formula>
    </cfRule>
  </conditionalFormatting>
  <conditionalFormatting sqref="J18:J33">
    <cfRule type="expression" priority="3" aboveAverage="0" equalAverage="0" bottom="0" percent="0" rank="0" text="" dxfId="32">
      <formula>COUNTA($I18:$M18)&gt;0</formula>
    </cfRule>
  </conditionalFormatting>
  <conditionalFormatting sqref="I18:I117">
    <cfRule type="expression" priority="4" aboveAverage="0" equalAverage="0" bottom="0" percent="0" rank="0" text="" dxfId="33">
      <formula>LEN(I18)&gt;0</formula>
    </cfRule>
  </conditionalFormatting>
  <conditionalFormatting sqref="I34:M117 I18:I33 K18:L33">
    <cfRule type="expression" priority="5" aboveAverage="0" equalAverage="0" bottom="0" percent="0" rank="0" text="" dxfId="34">
      <formula>COUNTA($I18:$M18)&gt;0</formula>
    </cfRule>
  </conditionalFormatting>
  <conditionalFormatting sqref="C20:E21">
    <cfRule type="expression" priority="6" aboveAverage="0" equalAverage="0" bottom="0" percent="0" rank="0" text="" dxfId="35">
      <formula>COUNTA($C20:$E20)&gt;0</formula>
    </cfRule>
  </conditionalFormatting>
  <conditionalFormatting sqref="C19:E19">
    <cfRule type="expression" priority="7" aboveAverage="0" equalAverage="0" bottom="0" percent="0" rank="0" text="" dxfId="36">
      <formula>COUNTA($C19:$E19)&gt;0</formula>
    </cfRule>
  </conditionalFormatting>
  <conditionalFormatting sqref="C18:E18">
    <cfRule type="expression" priority="8" aboveAverage="0" equalAverage="0" bottom="0" percent="0" rank="0" text="" dxfId="37">
      <formula>COUNTA($C18:$E18)&gt;0</formula>
    </cfRule>
  </conditionalFormatting>
  <conditionalFormatting sqref="F19:F21">
    <cfRule type="expression" priority="9" aboveAverage="0" equalAverage="0" bottom="0" percent="0" rank="0" text="" dxfId="38">
      <formula>COUNTA($C19:$E19)&gt;0</formula>
    </cfRule>
  </conditionalFormatting>
  <conditionalFormatting sqref="F18">
    <cfRule type="expression" priority="10" aboveAverage="0" equalAverage="0" bottom="0" percent="0" rank="0" text="" dxfId="39">
      <formula>COUNTA($C18:$E18)&gt;0</formula>
    </cfRule>
  </conditionalFormatting>
  <conditionalFormatting sqref="C18:G27">
    <cfRule type="expression" priority="11" aboveAverage="0" equalAverage="0" bottom="0" percent="0" rank="0" text="" dxfId="40">
      <formula>COUNTA($C18:$E18)&gt;0</formula>
    </cfRule>
  </conditionalFormatting>
  <conditionalFormatting sqref="D54:D64">
    <cfRule type="expression" priority="12" aboveAverage="0" equalAverage="0" bottom="0" percent="0" rank="0" text="" dxfId="41">
      <formula>$D54&lt;&gt;""</formula>
    </cfRule>
  </conditionalFormatting>
  <conditionalFormatting sqref="D41:D50">
    <cfRule type="expression" priority="13" aboveAverage="0" equalAverage="0" bottom="0" percent="0" rank="0" text="" dxfId="42">
      <formula>$D41&lt;&gt;""</formula>
    </cfRule>
  </conditionalFormatting>
  <conditionalFormatting sqref="A5:XFD14">
    <cfRule type="expression" priority="14" aboveAverage="0" equalAverage="0" bottom="0" percent="0" rank="0" text="" dxfId="43">
      <formula>LEN(A5)&gt;0</formula>
    </cfRule>
  </conditionalFormatting>
  <conditionalFormatting sqref="C30:G39">
    <cfRule type="expression" priority="15" aboveAverage="0" equalAverage="0" bottom="0" percent="0" rank="0" text="" dxfId="44">
      <formula>COUNTA($C30:$G30)&gt;0</formula>
    </cfRule>
  </conditionalFormatting>
  <printOptions headings="false" gridLines="false" gridLinesSet="true" horizontalCentered="false" verticalCentered="false"/>
  <pageMargins left="0.0395833333333333" right="0.0395833333333333" top="0.551388888888889" bottom="0.551388888888889" header="0.511811023622047" footer="0.511811023622047"/>
  <pageSetup paperSize="9" scale="6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3" activeCellId="0" sqref="B13"/>
    </sheetView>
  </sheetViews>
  <sheetFormatPr defaultColWidth="9.1484375" defaultRowHeight="15" zeroHeight="false" outlineLevelRow="0" outlineLevelCol="0"/>
  <cols>
    <col collapsed="false" customWidth="true" hidden="false" outlineLevel="0" max="1" min="1" style="0" width="8"/>
    <col collapsed="false" customWidth="true" hidden="false" outlineLevel="0" max="2" min="2" style="0" width="42.57"/>
  </cols>
  <sheetData>
    <row r="1" customFormat="false" ht="15" hidden="false" customHeight="false" outlineLevel="0" collapsed="false">
      <c r="A1" s="102"/>
      <c r="B1" s="103" t="s">
        <v>83</v>
      </c>
    </row>
    <row r="2" customFormat="false" ht="15" hidden="false" customHeight="false" outlineLevel="0" collapsed="false">
      <c r="A2" s="75" t="s">
        <v>18</v>
      </c>
      <c r="B2" s="75" t="s">
        <v>84</v>
      </c>
    </row>
    <row r="3" customFormat="false" ht="15" hidden="false" customHeight="false" outlineLevel="0" collapsed="false">
      <c r="A3" s="76" t="n">
        <v>0</v>
      </c>
      <c r="B3" s="77" t="s">
        <v>42</v>
      </c>
    </row>
    <row r="4" customFormat="false" ht="15" hidden="false" customHeight="false" outlineLevel="0" collapsed="false">
      <c r="A4" s="76" t="n">
        <v>1</v>
      </c>
      <c r="B4" s="77" t="s">
        <v>128</v>
      </c>
    </row>
    <row r="5" customFormat="false" ht="15" hidden="false" customHeight="false" outlineLevel="0" collapsed="false">
      <c r="A5" s="76" t="n">
        <v>2</v>
      </c>
      <c r="B5" s="77" t="s">
        <v>129</v>
      </c>
    </row>
    <row r="6" customFormat="false" ht="15" hidden="false" customHeight="false" outlineLevel="0" collapsed="false">
      <c r="A6" s="76" t="n">
        <v>3</v>
      </c>
      <c r="B6" s="77" t="s">
        <v>130</v>
      </c>
    </row>
    <row r="7" customFormat="false" ht="15" hidden="false" customHeight="false" outlineLevel="0" collapsed="false">
      <c r="A7" s="76" t="n">
        <v>4</v>
      </c>
      <c r="B7" s="77" t="s">
        <v>131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Company>Blog Gestion de projet;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2017-03-02T12:23:29Z</dcterms:created>
  <dc:creator>Blog Gestion de projet</dc:creator>
  <dc:description/>
  <dc:language>fr-FR</dc:language>
  <cp:lastModifiedBy/>
  <cp:lastPrinted>2022-09-19T22:14:17Z</cp:lastPrinted>
  <dcterms:modified xsi:type="dcterms:W3CDTF">2025-03-17T18:26:04Z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