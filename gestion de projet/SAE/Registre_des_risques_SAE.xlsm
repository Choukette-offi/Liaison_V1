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08" codeName="{499AFE36-ED4D-9D94-70EF-1DFAAA4259C6}"/>
  <workbookPr codeName="ThisWorkbook" hidePivotFieldList="1" autoCompressPictures="0"/>
  <mc:AlternateContent xmlns:mc="http://schemas.openxmlformats.org/markup-compatibility/2006">
    <mc:Choice Requires="x15">
      <x15ac:absPath xmlns:x15ac="http://schemas.microsoft.com/office/spreadsheetml/2010/11/ac" url="J:\Cours IUT\R2.10 Gestion de projet orga\TP\TP 4 - La gestion des risques\"/>
    </mc:Choice>
  </mc:AlternateContent>
  <xr:revisionPtr revIDLastSave="0" documentId="13_ncr:1_{E08F60A3-B63D-4DD6-B9A0-D1EC87D7788D}" xr6:coauthVersionLast="47" xr6:coauthVersionMax="47" xr10:uidLastSave="{00000000-0000-0000-0000-000000000000}"/>
  <bookViews>
    <workbookView xWindow="-120" yWindow="-120" windowWidth="29040" windowHeight="15720" tabRatio="645" activeTab="1" xr2:uid="{00000000-000D-0000-FFFF-FFFF00000000}"/>
  </bookViews>
  <sheets>
    <sheet name="Bienvenue" sheetId="29" r:id="rId1"/>
    <sheet name="Registre des risques" sheetId="12" r:id="rId2"/>
    <sheet name="Dashboard" sheetId="25" r:id="rId3"/>
    <sheet name="Paramètres" sheetId="28" r:id="rId4"/>
    <sheet name="hiddenData" sheetId="30" state="hidden" r:id="rId5"/>
  </sheets>
  <functionGroups builtInGroupCount="19"/>
  <definedNames>
    <definedName name="codeEval">Paramètres!$I$17</definedName>
    <definedName name="codeProb">OFFSET(elementsFreq,0,1)</definedName>
    <definedName name="criticiteDonnees">OFFSET(Dashboard!$D$4,0,0,COUNTA(Dashboard!$B$4:$B$13),1)</definedName>
    <definedName name="criticiteLibelles">OFFSET(Dashboard!$B$4,0,0,COUNTA(Dashboard!$B$4:$B$13),1)</definedName>
    <definedName name="debRep">Paramètres!$D$40</definedName>
    <definedName name="departEffet">Paramètres!$D$54:$D$64</definedName>
    <definedName name="departReponse">Paramètres!$D$41:$D$51</definedName>
    <definedName name="depEtat">Paramètres!$D$53</definedName>
    <definedName name="donnesLibeleEffet">OFFSET(Dashboard!$G$14,0,1,1,COUNTA(Dashboard!$H$3:$Q$3))</definedName>
    <definedName name="E_8">'Registre des risques'!$E$8</definedName>
    <definedName name="elementsFreq">OFFSET(Paramètres!$C$17,1,0,COUNTA(Paramètres!$C$18:$C$27),1)</definedName>
    <definedName name="evalRisque">Paramètres!$I$18:$L$133</definedName>
    <definedName name="freq">Paramètres!$C$17</definedName>
    <definedName name="libelEffets">OFFSET(Dashboard!$G$3,0,1,1,COUNTA(Dashboard!$H$3:$Q$3))</definedName>
    <definedName name="listEtat">OFFSET(Dashboard!$H$3,0,0,1,COUNTA(Dashboard!$H$3:$Q$3))</definedName>
    <definedName name="listReponses">OFFSET(Dashboard!$F$4,0,0,COUNTA(Dashboard!$F$4:$F$13),1)</definedName>
    <definedName name="moyIMPACTS">'Registre des risques'!$M$8</definedName>
    <definedName name="plageDynamique1">OFFSET(Paramètres!$A$1,6,3+(1-1)*3,COUNTA(OFFSET(Paramètres!$A$1,6,3+(1-1)*3,8,1)),1)</definedName>
    <definedName name="plageDynamique10">OFFSET(Paramètres!$A$1,6,3+(10 -1)*3,COUNTA(OFFSET(Paramètres!$A$1,6,3+(10 -1)*3,8,1)),1)</definedName>
    <definedName name="plageDynamique2">OFFSET(Paramètres!$A$1,6,3+(2 -1)*3,COUNTA(OFFSET(Paramètres!$A$1,6,3+(2 -1)*3,8,1)),1)</definedName>
    <definedName name="plageDynamique3">OFFSET(Paramètres!$A$1,6,3+(3 -1)*3,COUNTA(OFFSET(Paramètres!$A$1,6,3+(3 -1)*3,8,1)),1)</definedName>
    <definedName name="plageDynamique4">OFFSET(Paramètres!$A$1,6,3+(4 -1)*3,COUNTA(OFFSET(Paramètres!$A$1,6,3+(4 -1)*3,8,1)),1)</definedName>
    <definedName name="plageDynamique5">OFFSET(Paramètres!$A$1,6,3+(5 -1)*3,COUNTA(OFFSET(Paramètres!$A$1,6,3+(5 -1)*3,8,1)),1)</definedName>
    <definedName name="plageDynamique6">OFFSET(Paramètres!$A$1,6,3+(6 -1)*3,COUNTA(OFFSET(Paramètres!$A$1,6,3+(6 -1)*3,8,1)),1)</definedName>
    <definedName name="plageDynamique7">OFFSET(Paramètres!$A$1,6,3+(7 -1)*3,COUNTA(OFFSET(Paramètres!$A$1,6,3+(7 -1)*3,8,1)),1)</definedName>
    <definedName name="plageDynamique8">OFFSET(Paramètres!$A$1,6,3+(8 -1)*3,COUNTA(OFFSET(Paramètres!$A$1,6,3+(8 -1)*3,8,1)),1)</definedName>
    <definedName name="plageDynamique9">OFFSET(Paramètres!$A$1,6,3+(9 -1)*3,COUNTA(OFFSET(Paramètres!$A$1,6,3+(9 -1)*3,8,1)),1)</definedName>
    <definedName name="plageFait">OFFSET(Dashboard!$F$4,0,0,COUNTA(Dashboard!$F$4:$F$13),COUNTA(Dashboard!$F$3:$Q$3))</definedName>
    <definedName name="plageReponse">Dashboard!$F$4:$F$13</definedName>
    <definedName name="poids">Paramètres!$C$29</definedName>
    <definedName name="repRisquesDonnees">OFFSET(Dashboard!$G$4,0,0,COUNTA(Dashboard!$F$4:$F$13),1)</definedName>
    <definedName name="repRisquesLibelles">OFFSET(Dashboard!$F$4,0,0,COUNTA(Dashboard!$F$4:$F$13),1)</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F13" i="12" l="1"/>
  <c r="M13" i="12" s="1"/>
  <c r="N13" i="12" s="1"/>
  <c r="H13" i="12"/>
  <c r="J13" i="12"/>
  <c r="L13" i="12"/>
  <c r="P13" i="12" a="1"/>
  <c r="P13" i="12" s="1"/>
  <c r="F14" i="12"/>
  <c r="H14" i="12"/>
  <c r="J14" i="12"/>
  <c r="L14" i="12"/>
  <c r="M14" i="12"/>
  <c r="N14" i="12" s="1"/>
  <c r="P14" i="12" a="1"/>
  <c r="P14" i="12" s="1"/>
  <c r="F15" i="12"/>
  <c r="H15" i="12"/>
  <c r="J15" i="12"/>
  <c r="L15" i="12"/>
  <c r="M15" i="12" s="1"/>
  <c r="N15" i="12" s="1"/>
  <c r="P15" i="12" a="1"/>
  <c r="P15" i="12" s="1"/>
  <c r="P12" i="12" a="1"/>
  <c r="P12" i="12" s="1"/>
  <c r="L12" i="12"/>
  <c r="J12" i="12"/>
  <c r="H12" i="12"/>
  <c r="F12" i="12"/>
  <c r="F11" i="12"/>
  <c r="Q15" i="12" l="1"/>
  <c r="R15" i="12" s="1"/>
  <c r="Q13" i="12"/>
  <c r="R13" i="12" s="1"/>
  <c r="Q14" i="12"/>
  <c r="R14" i="12" s="1"/>
  <c r="M12" i="12"/>
  <c r="N12" i="12" s="1"/>
  <c r="Q12" i="12" s="1"/>
  <c r="R12" i="12" s="1"/>
  <c r="L11" i="12"/>
  <c r="K10" i="12"/>
  <c r="I10" i="12"/>
  <c r="G10" i="12"/>
  <c r="E10" i="12"/>
  <c r="H4" i="25" l="1"/>
  <c r="I4" i="25"/>
  <c r="J4" i="25"/>
  <c r="K4" i="25"/>
  <c r="L4" i="25"/>
  <c r="M4" i="25"/>
  <c r="N4" i="25"/>
  <c r="O4" i="25"/>
  <c r="P4" i="25"/>
  <c r="Q4" i="25"/>
  <c r="H5" i="25"/>
  <c r="I5" i="25"/>
  <c r="J5" i="25"/>
  <c r="K5" i="25"/>
  <c r="L5" i="25"/>
  <c r="M5" i="25"/>
  <c r="N5" i="25"/>
  <c r="O5" i="25"/>
  <c r="P5" i="25"/>
  <c r="Q5" i="25"/>
  <c r="H6" i="25"/>
  <c r="I6" i="25"/>
  <c r="J6" i="25"/>
  <c r="K6" i="25"/>
  <c r="L6" i="25"/>
  <c r="M6" i="25"/>
  <c r="N6" i="25"/>
  <c r="O6" i="25"/>
  <c r="P6" i="25"/>
  <c r="Q6" i="25"/>
  <c r="H7" i="25"/>
  <c r="I7" i="25"/>
  <c r="J7" i="25"/>
  <c r="K7" i="25"/>
  <c r="L7" i="25"/>
  <c r="M7" i="25"/>
  <c r="N7" i="25"/>
  <c r="O7" i="25"/>
  <c r="P7" i="25"/>
  <c r="Q7" i="25"/>
  <c r="H8" i="25"/>
  <c r="I8" i="25"/>
  <c r="J8" i="25"/>
  <c r="K8" i="25"/>
  <c r="L8" i="25"/>
  <c r="M8" i="25"/>
  <c r="N8" i="25"/>
  <c r="O8" i="25"/>
  <c r="P8" i="25"/>
  <c r="Q8" i="25"/>
  <c r="H12" i="25"/>
  <c r="I12" i="25"/>
  <c r="J12" i="25"/>
  <c r="K12" i="25"/>
  <c r="L12" i="25"/>
  <c r="M12" i="25"/>
  <c r="N12" i="25"/>
  <c r="O12" i="25"/>
  <c r="P12" i="25"/>
  <c r="Q12" i="25"/>
  <c r="H13" i="25"/>
  <c r="I13" i="25"/>
  <c r="J13" i="25"/>
  <c r="K13" i="25"/>
  <c r="L13" i="25"/>
  <c r="M13" i="25"/>
  <c r="N13" i="25"/>
  <c r="O13" i="25"/>
  <c r="P13" i="25"/>
  <c r="Q13" i="25"/>
  <c r="G4" i="25"/>
  <c r="G5" i="25"/>
  <c r="G6" i="25"/>
  <c r="G7" i="25"/>
  <c r="G8" i="25"/>
  <c r="G12" i="25"/>
  <c r="G13" i="25"/>
  <c r="J11" i="12" l="1"/>
  <c r="H11" i="12"/>
  <c r="M11" i="12" l="1"/>
  <c r="N11" i="12" s="1"/>
  <c r="P11" i="12" a="1"/>
  <c r="P11" i="12" s="1"/>
  <c r="T11" i="12" l="1"/>
  <c r="U11" i="12" s="1"/>
  <c r="Q11" i="12" l="1"/>
  <c r="D8" i="25" s="1"/>
  <c r="D10" i="25" l="1"/>
  <c r="D13" i="25"/>
  <c r="D12" i="25"/>
  <c r="D4" i="25"/>
  <c r="D5" i="25"/>
  <c r="D6" i="25"/>
  <c r="D7" i="25"/>
  <c r="D9" i="25"/>
  <c r="D11" i="25"/>
  <c r="J9" i="25"/>
  <c r="K9" i="25"/>
  <c r="H9" i="25"/>
  <c r="L9" i="25"/>
  <c r="P9" i="25"/>
  <c r="I9" i="25"/>
  <c r="M9" i="25"/>
  <c r="Q9" i="25"/>
  <c r="N9" i="25"/>
  <c r="O9" i="25"/>
  <c r="G9" i="25"/>
  <c r="R11" i="12"/>
  <c r="H11" i="25" l="1"/>
  <c r="L11" i="25"/>
  <c r="P11" i="25"/>
  <c r="G11" i="25"/>
  <c r="O11" i="25"/>
  <c r="I11" i="25"/>
  <c r="M11" i="25"/>
  <c r="Q11" i="25"/>
  <c r="J11" i="25"/>
  <c r="N11" i="25"/>
  <c r="K11" i="25"/>
  <c r="J10" i="25"/>
  <c r="N10" i="25"/>
  <c r="I10" i="25"/>
  <c r="K10" i="25"/>
  <c r="O10" i="25"/>
  <c r="Q10" i="25"/>
  <c r="G10" i="25"/>
  <c r="H10" i="25"/>
  <c r="L10" i="25"/>
  <c r="P10" i="25"/>
  <c r="M10" i="25"/>
  <c r="D14" i="25"/>
  <c r="V11" i="12"/>
  <c r="W11" i="12" s="1"/>
  <c r="X11" i="12"/>
  <c r="Y11" i="12" s="1"/>
  <c r="I14" i="25" l="1"/>
  <c r="G14" i="25"/>
  <c r="H14" i="25"/>
  <c r="P14" i="25"/>
  <c r="M14" i="25"/>
  <c r="O14" i="25"/>
  <c r="L14" i="25"/>
  <c r="N14" i="25"/>
  <c r="K14" i="25"/>
  <c r="Q14" i="25"/>
  <c r="J14" i="25"/>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<sst xmlns="http://schemas.openxmlformats.org/spreadsheetml/2006/main" count="221" uniqueCount="132">
  <si>
    <t>Qui</t>
  </si>
  <si>
    <t>Quand</t>
  </si>
  <si>
    <t>Criticité</t>
  </si>
  <si>
    <t>Quoi</t>
  </si>
  <si>
    <t>PLAN D'ACTION</t>
  </si>
  <si>
    <t>Risques associés</t>
  </si>
  <si>
    <t>Fréquence</t>
  </si>
  <si>
    <t>Moyenne</t>
  </si>
  <si>
    <t>Code Impact</t>
  </si>
  <si>
    <t xml:space="preserve">EVALUATION DES RISQUES </t>
  </si>
  <si>
    <t>Risque Net</t>
  </si>
  <si>
    <t>A</t>
  </si>
  <si>
    <t>C</t>
  </si>
  <si>
    <t>Description</t>
  </si>
  <si>
    <t>Faible</t>
  </si>
  <si>
    <t>B</t>
  </si>
  <si>
    <t>1 fois par an</t>
  </si>
  <si>
    <t>Frèquente</t>
  </si>
  <si>
    <t>1 fois par mois</t>
  </si>
  <si>
    <t>Très frèquente</t>
  </si>
  <si>
    <t>D</t>
  </si>
  <si>
    <t>1 par semaine</t>
  </si>
  <si>
    <t>Note</t>
  </si>
  <si>
    <t>Critère d’appréciation</t>
  </si>
  <si>
    <t xml:space="preserve"> &lt; à 5% du Résultat courant</t>
  </si>
  <si>
    <t>Compris entre 5% et 10% du Résultat courant</t>
  </si>
  <si>
    <t>Compris entre 10% et 30% du Résultat courant</t>
  </si>
  <si>
    <t>&gt; 30% du Résultat courant</t>
  </si>
  <si>
    <t>Sanction administrative</t>
  </si>
  <si>
    <t>Pas d'impact</t>
  </si>
  <si>
    <t>Condamnation civile</t>
  </si>
  <si>
    <t>Condamnation pénale</t>
  </si>
  <si>
    <t>Catégorie impact</t>
  </si>
  <si>
    <t>Code impact</t>
  </si>
  <si>
    <t>Faible ou Insignifiant</t>
  </si>
  <si>
    <t xml:space="preserve"> Significatif ou relativement grave </t>
  </si>
  <si>
    <t>Critique ou vraiment grave</t>
  </si>
  <si>
    <t>Stratégique ou inadmissible</t>
  </si>
  <si>
    <t>Non significatif</t>
  </si>
  <si>
    <t>Modéré</t>
  </si>
  <si>
    <t>Critique</t>
  </si>
  <si>
    <t>Efficace</t>
  </si>
  <si>
    <t>Risque net</t>
  </si>
  <si>
    <t>Elevé</t>
  </si>
  <si>
    <t>Degré de maîtrise</t>
  </si>
  <si>
    <t>Traitement de risque</t>
  </si>
  <si>
    <t>Nombre</t>
  </si>
  <si>
    <t xml:space="preserve">retrait de l'autorisation </t>
  </si>
  <si>
    <t>1 fois tous les 5-10ans</t>
  </si>
  <si>
    <t>Des Dispositifs existent
Les contrôles sont réalisés et formalisés</t>
  </si>
  <si>
    <t>Immédiat</t>
  </si>
  <si>
    <t>Catographie des risques</t>
  </si>
  <si>
    <t>ETAT</t>
  </si>
  <si>
    <t>Pas efficace</t>
  </si>
  <si>
    <t>OBSERVATIONS</t>
  </si>
  <si>
    <t>EFFICACITÉ</t>
  </si>
  <si>
    <t>Code Fréquence</t>
  </si>
  <si>
    <t>Criticité des risques</t>
  </si>
  <si>
    <t>DG</t>
  </si>
  <si>
    <t>Méthode de surveillance</t>
  </si>
  <si>
    <t xml:space="preserve">Date de mise à jour : </t>
  </si>
  <si>
    <t>Objectifs mal définis</t>
  </si>
  <si>
    <t>Manque de surveillance des processus</t>
  </si>
  <si>
    <t xml:space="preserve">Résultats non atteints		</t>
  </si>
  <si>
    <t xml:space="preserve">	
Capitaux insuffisants 					
</t>
  </si>
  <si>
    <t>Revue de direction</t>
  </si>
  <si>
    <t>Suivi du tableau de cohérence des objectifs aux axes stratégiques</t>
  </si>
  <si>
    <t xml:space="preserve">Suivre de façon régulière les processus à travers les revues de processus, les remontées de NC et les relevés d'indicateurs de performance </t>
  </si>
  <si>
    <t>DG/RQSE</t>
  </si>
  <si>
    <t>Mensuel</t>
  </si>
  <si>
    <t>Mise en place et suivi des indicateurs de performance via un tableau de bord mensuel afin de détecter de façon proactive les pertes de maîtrise et de les corriger très tôt</t>
  </si>
  <si>
    <t>revue de processus &amp; audit interne</t>
  </si>
  <si>
    <t>Suivi des indicateurs performance</t>
  </si>
  <si>
    <t>Mise en œuvre des actions issues de l'analyse des enjeux et surveillance des enjeux internes et externes</t>
  </si>
  <si>
    <t>DG/DFC</t>
  </si>
  <si>
    <t xml:space="preserve">Nouveaux partenariats signés
Disponibilité de capitaux </t>
  </si>
  <si>
    <t>établir de nouveaux partenariats bancaires et/ou consolider les existants</t>
  </si>
  <si>
    <t>Manque de compréhension de l’environnement externe et interne de BATISEN</t>
  </si>
  <si>
    <t>S'assurer que les objectifs sont définis de façon cohérente avec la stratégie de BATISEN</t>
  </si>
  <si>
    <t>Niveau d'impact</t>
  </si>
  <si>
    <t xml:space="preserve">Moy des nvx d'impact </t>
  </si>
  <si>
    <t>Niveau de criticité</t>
  </si>
  <si>
    <t>Réponse au risque</t>
  </si>
  <si>
    <t>Accepter</t>
  </si>
  <si>
    <t>A atténuer</t>
  </si>
  <si>
    <t>A transférer</t>
  </si>
  <si>
    <t>A éliminer</t>
  </si>
  <si>
    <t>Fait</t>
  </si>
  <si>
    <t>Non fait</t>
  </si>
  <si>
    <t>Etat</t>
  </si>
  <si>
    <t xml:space="preserve"> </t>
  </si>
  <si>
    <t>Critères et leur niveaux d'impact</t>
  </si>
  <si>
    <t>Impact niveau 2</t>
  </si>
  <si>
    <t>Impact niveau 1</t>
  </si>
  <si>
    <t>Impact niveau 3</t>
  </si>
  <si>
    <t>Impact niveau 4</t>
  </si>
  <si>
    <t xml:space="preserve">Salaries </t>
  </si>
  <si>
    <t xml:space="preserve">Actionnaires </t>
  </si>
  <si>
    <t xml:space="preserve">Clients </t>
  </si>
  <si>
    <t xml:space="preserve">Salaries, Clients et Actionnaires </t>
  </si>
  <si>
    <t>Code</t>
  </si>
  <si>
    <t>Faible impact sur l’image</t>
  </si>
  <si>
    <t xml:space="preserve">Impact sur l’image à court terme </t>
  </si>
  <si>
    <t xml:space="preserve">Impact sur l’image à moyen terme </t>
  </si>
  <si>
    <t xml:space="preserve">Impact sur l’image à long terme </t>
  </si>
  <si>
    <t>Code de la fréquence</t>
  </si>
  <si>
    <t>Tiers</t>
  </si>
  <si>
    <t>AA</t>
  </si>
  <si>
    <t>AB</t>
  </si>
  <si>
    <t>AC</t>
  </si>
  <si>
    <t>AD</t>
  </si>
  <si>
    <t>BA</t>
  </si>
  <si>
    <t>BB</t>
  </si>
  <si>
    <t>BC</t>
  </si>
  <si>
    <t>BD</t>
  </si>
  <si>
    <t>CA</t>
  </si>
  <si>
    <t>CB</t>
  </si>
  <si>
    <t>CC</t>
  </si>
  <si>
    <t>CD</t>
  </si>
  <si>
    <t>DA</t>
  </si>
  <si>
    <t>DB</t>
  </si>
  <si>
    <t>DC</t>
  </si>
  <si>
    <t>DD</t>
  </si>
  <si>
    <t>Total</t>
  </si>
  <si>
    <t>Criticité  (Impact*Fréquence)</t>
  </si>
  <si>
    <t xml:space="preserve">Date de création </t>
  </si>
  <si>
    <t>Poids &gt;</t>
  </si>
  <si>
    <t>En cours</t>
  </si>
  <si>
    <t>Image de marque</t>
  </si>
  <si>
    <t>Aspect financier</t>
  </si>
  <si>
    <t>Aspect réglementaire</t>
  </si>
  <si>
    <t>Projet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</si>
</sst>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0"/>
      <name val="Arial"/>
      <family val="2"/>
    </font>
    <font>
      <b/>
      <sz val="11"/>
      <name val="Calibri"/>
      <family val="2"/>
      <scheme val="minor"/>
    </font>
    <font>
      <b/>
      <sz val="11"/>
      <color theme="0"/>
      <name val="Calibri"/>
      <family val="2"/>
      <scheme val="minor"/>
    </font>
    <font>
      <b/>
      <sz val="11"/>
      <color rgb="FF00B0F0"/>
      <name val="Calibri"/>
      <family val="2"/>
      <scheme val="minor"/>
    </font>
    <font>
      <u/>
      <sz val="11"/>
      <color theme="10"/>
      <name val="Calibri"/>
      <family val="2"/>
      <scheme val="minor"/>
    </font>
    <font>
      <u/>
      <sz val="11"/>
      <color theme="11"/>
      <name val="Calibri"/>
      <family val="2"/>
      <scheme val="minor"/>
    </font>
    <font>
      <sz val="8"/>
      <name val="Calibri"/>
      <family val="2"/>
      <scheme val="minor"/>
    </font>
    <font>
      <sz val="11"/>
      <color theme="1"/>
      <name val="Candara"/>
      <family val="2"/>
    </font>
    <font>
      <b/>
      <sz val="12"/>
      <color theme="1"/>
      <name val="Candara"/>
      <family val="2"/>
    </font>
    <font>
      <b/>
      <i/>
      <sz val="11"/>
      <color theme="1"/>
      <name val="Candara"/>
      <family val="2"/>
    </font>
    <font>
      <b/>
      <sz val="11"/>
      <color theme="1"/>
      <name val="Candara"/>
      <family val="2"/>
    </font>
    <font>
      <b/>
      <sz val="11"/>
      <name val="Candara"/>
      <family val="2"/>
    </font>
    <font>
      <sz val="11"/>
      <name val="Candara"/>
      <family val="2"/>
    </font>
    <font>
      <sz val="11"/>
      <color rgb="FF000000"/>
      <name val="Candara"/>
      <family val="2"/>
    </font>
    <font>
      <sz val="11"/>
      <color theme="0"/>
      <name val="Candara"/>
      <family val="2"/>
    </font>
    <font>
      <b/>
      <sz val="11"/>
      <color theme="0"/>
      <name val="Candara"/>
      <family val="2"/>
    </font>
    <font>
      <sz val="11"/>
      <color rgb="FFFF0000"/>
      <name val="Candara"/>
      <family val="2"/>
    </font>
    <font>
      <sz val="11"/>
      <name val="Calibri"/>
      <family val="2"/>
      <scheme val="minor"/>
    </font>
    <font>
      <b/>
      <i/>
      <sz val="12"/>
      <color theme="1"/>
      <name val="Candara"/>
      <family val="2"/>
    </font>
    <font>
      <b/>
      <sz val="11"/>
      <color rgb="FFFF0000"/>
      <name val="Candara"/>
      <family val="2"/>
    </font>
    <font>
      <b/>
      <sz val="12"/>
      <color rgb="FF00B0F0"/>
      <name val="Calibri"/>
      <family val="2"/>
      <scheme val="minor"/>
    </font>
    <font>
      <sz val="12"/>
      <color theme="1"/>
      <name val="Calibri"/>
      <family val="2"/>
      <scheme val="minor"/>
    </font>
    <font>
      <sz val="11"/>
      <color rgb="FFFF0000"/>
      <name val="Calibri"/>
      <family val="2"/>
      <scheme val="minor"/>
    </font>
    <font>
      <sz val="18"/>
      <color rgb="FF000000"/>
      <name val="Wingdings 2"/>
      <family val="1"/>
      <charset val="2"/>
    </font>
    <font>
      <sz val="18"/>
      <color theme="1"/>
      <name val="Candara"/>
      <family val="2"/>
    </font>
    <font>
      <b/>
      <sz val="11"/>
      <color rgb="FFFF0000"/>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rgb="FF002060"/>
        <bgColor indexed="64"/>
      </patternFill>
    </fill>
    <fill>
      <patternFill patternType="solid">
        <fgColor rgb="FF62BD8A"/>
        <bgColor indexed="64"/>
      </patternFill>
    </fill>
    <fill>
      <patternFill patternType="solid">
        <fgColor rgb="FFF37B9D"/>
        <bgColor indexed="64"/>
      </patternFill>
    </fill>
    <fill>
      <patternFill patternType="gray0625">
        <fgColor theme="0" tint="-0.24994659260841701"/>
        <bgColor theme="0"/>
      </patternFill>
    </fill>
    <fill>
      <patternFill patternType="solid">
        <fgColor theme="0"/>
        <bgColor theme="0" tint="-0.24994659260841701"/>
      </patternFill>
    </fill>
    <fill>
      <patternFill patternType="solid">
        <fgColor rgb="FFFFFFFF"/>
        <bgColor indexed="64"/>
      </patternFill>
    </fill>
    <fill>
      <patternFill patternType="solid">
        <fgColor rgb="FFC5C5C5"/>
        <bgColor indexed="64"/>
      </patternFill>
    </fill>
  </fills>
  <borders count="21">
    <border>
      <left/>
      <right/>
      <top/>
      <bottom/>
      <diagonal/>
    </border>
    <border>
      <left style="double">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auto="1"/>
      </left>
      <right/>
      <top style="thin">
        <color auto="1"/>
      </top>
      <bottom style="thin">
        <color auto="1"/>
      </bottom>
      <diagonal/>
    </border>
    <border>
      <left style="thin">
        <color auto="1"/>
      </left>
      <right style="double">
        <color auto="1"/>
      </right>
      <top style="thin">
        <color auto="1"/>
      </top>
      <bottom style="thin">
        <color auto="1"/>
      </bottom>
      <diagonal/>
    </border>
    <border>
      <left/>
      <right/>
      <top style="thin">
        <color auto="1"/>
      </top>
      <bottom style="thin">
        <color auto="1"/>
      </bottom>
      <diagonal/>
    </border>
    <border>
      <left style="hair">
        <color auto="1"/>
      </left>
      <right/>
      <top style="hair">
        <color auto="1"/>
      </top>
      <bottom style="hair">
        <color auto="1"/>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top style="double">
        <color auto="1"/>
      </top>
      <bottom style="thin">
        <color auto="1"/>
      </bottom>
      <diagonal/>
    </border>
    <border>
      <left/>
      <right/>
      <top style="double">
        <color auto="1"/>
      </top>
      <bottom style="thin">
        <color auto="1"/>
      </bottom>
      <diagonal/>
    </border>
    <border>
      <left style="hair">
        <color auto="1"/>
      </left>
      <right/>
      <top/>
      <bottom/>
      <diagonal/>
    </border>
    <border>
      <left style="hair">
        <color auto="1"/>
      </left>
      <right/>
      <top style="hair">
        <color auto="1"/>
      </top>
      <bottom/>
      <diagonal/>
    </border>
    <border>
      <left/>
      <right style="hair">
        <color auto="1"/>
      </right>
      <top style="hair">
        <color auto="1"/>
      </top>
      <bottom/>
      <diagonal/>
    </border>
    <border>
      <left/>
      <right/>
      <top style="hair">
        <color auto="1"/>
      </top>
      <bottom/>
      <diagonal/>
    </border>
    <border>
      <left style="hair">
        <color auto="1"/>
      </left>
      <right style="hair">
        <color auto="1"/>
      </right>
      <top style="hair">
        <color auto="1"/>
      </top>
      <bottom/>
      <diagonal/>
    </border>
    <border>
      <left/>
      <right style="thin">
        <color auto="1"/>
      </right>
      <top style="thin">
        <color auto="1"/>
      </top>
      <bottom style="thin">
        <color auto="1"/>
      </bottom>
      <diagonal/>
    </border>
  </borders>
  <cellStyleXfs count="129">
    <xf numFmtId="0" fontId="0" fillId="0" borderId="0"/>
    <xf numFmtId="0" fontId="1"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cellStyleXfs>
  <cellXfs count="117">
    <xf numFmtId="0" fontId="0" fillId="0" borderId="0" xfId="0"/>
    <xf numFmtId="0" fontId="8" fillId="2" borderId="0" xfId="0" applyFont="1" applyFill="1" applyProtection="1">
      <protection locked="0"/>
    </xf>
    <xf numFmtId="0" fontId="8" fillId="0" borderId="0" xfId="0" applyFont="1" applyProtection="1">
      <protection locked="0"/>
    </xf>
    <xf numFmtId="0" fontId="17" fillId="2" borderId="0" xfId="0" applyFont="1" applyFill="1" applyProtection="1">
      <protection locked="0"/>
    </xf>
    <xf numFmtId="0" fontId="0" fillId="2" borderId="0" xfId="0" applyFill="1" applyProtection="1">
      <protection locked="0"/>
    </xf>
    <xf numFmtId="0" fontId="4" fillId="2" borderId="4" xfId="0" applyFont="1" applyFill="1" applyBorder="1" applyAlignment="1" applyProtection="1">
      <alignment horizontal="center" vertical="center"/>
      <protection locked="0"/>
    </xf>
    <xf numFmtId="0" fontId="8" fillId="2" borderId="1" xfId="0" applyFont="1" applyFill="1" applyBorder="1" applyProtection="1">
      <protection locked="0"/>
    </xf>
    <xf numFmtId="0" fontId="8" fillId="2" borderId="0" xfId="0" applyFont="1" applyFill="1" applyAlignment="1" applyProtection="1">
      <alignment wrapText="1"/>
      <protection locked="0"/>
    </xf>
    <xf numFmtId="0" fontId="11" fillId="2" borderId="1" xfId="0" applyFont="1" applyFill="1" applyBorder="1" applyProtection="1">
      <protection locked="0"/>
    </xf>
    <xf numFmtId="0" fontId="11" fillId="2" borderId="0" xfId="0" applyFont="1" applyFill="1" applyProtection="1">
      <protection locked="0"/>
    </xf>
    <xf numFmtId="0" fontId="11" fillId="6" borderId="2" xfId="0" applyFont="1" applyFill="1" applyBorder="1" applyAlignment="1" applyProtection="1">
      <alignment horizontal="center" vertical="center" wrapText="1"/>
      <protection locked="0"/>
    </xf>
    <xf numFmtId="0" fontId="13" fillId="2" borderId="2" xfId="0" applyFont="1" applyFill="1" applyBorder="1" applyAlignment="1" applyProtection="1">
      <alignment horizontal="center" vertical="center" wrapText="1"/>
      <protection locked="0"/>
    </xf>
    <xf numFmtId="0" fontId="8" fillId="2" borderId="2" xfId="0"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14" fillId="2" borderId="2" xfId="0" applyFont="1" applyFill="1" applyBorder="1" applyAlignment="1" applyProtection="1">
      <alignment horizontal="center" vertical="center" wrapText="1"/>
      <protection locked="0"/>
    </xf>
    <xf numFmtId="15" fontId="14" fillId="2" borderId="2" xfId="0" applyNumberFormat="1" applyFont="1" applyFill="1" applyBorder="1" applyAlignment="1" applyProtection="1">
      <alignment horizontal="center" vertical="center" wrapText="1"/>
      <protection locked="0"/>
    </xf>
    <xf numFmtId="11" fontId="8" fillId="2" borderId="2" xfId="0" applyNumberFormat="1" applyFont="1" applyFill="1" applyBorder="1" applyAlignment="1" applyProtection="1">
      <alignment horizontal="center" vertical="center" wrapText="1"/>
      <protection locked="0"/>
    </xf>
    <xf numFmtId="0" fontId="8" fillId="2" borderId="6" xfId="0" applyFont="1" applyFill="1" applyBorder="1" applyAlignment="1" applyProtection="1">
      <alignment horizontal="center" vertical="center" wrapText="1"/>
      <protection locked="0"/>
    </xf>
    <xf numFmtId="0" fontId="13" fillId="0" borderId="2" xfId="0" applyFont="1" applyBorder="1" applyAlignment="1" applyProtection="1">
      <alignment horizontal="center" vertical="center" wrapText="1"/>
      <protection locked="0"/>
    </xf>
    <xf numFmtId="17" fontId="14" fillId="2" borderId="2" xfId="0" applyNumberFormat="1" applyFont="1" applyFill="1" applyBorder="1" applyAlignment="1" applyProtection="1">
      <alignment horizontal="center" vertical="center" wrapText="1"/>
      <protection locked="0"/>
    </xf>
    <xf numFmtId="0" fontId="8" fillId="0" borderId="1" xfId="0" applyFont="1" applyBorder="1" applyProtection="1">
      <protection locked="0"/>
    </xf>
    <xf numFmtId="0" fontId="14" fillId="0" borderId="2" xfId="0" applyFont="1" applyBorder="1" applyAlignment="1" applyProtection="1">
      <alignment horizontal="center" vertical="center" wrapText="1"/>
      <protection locked="0"/>
    </xf>
    <xf numFmtId="17" fontId="14" fillId="0" borderId="2" xfId="0" applyNumberFormat="1"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0" fontId="15" fillId="2" borderId="0" xfId="0" applyFont="1" applyFill="1" applyProtection="1">
      <protection locked="0"/>
    </xf>
    <xf numFmtId="0" fontId="8" fillId="7" borderId="2" xfId="0" applyFont="1" applyFill="1" applyBorder="1" applyAlignment="1">
      <alignment horizontal="center" vertical="center" wrapText="1"/>
    </xf>
    <xf numFmtId="0" fontId="8" fillId="7" borderId="2" xfId="0" quotePrefix="1"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vertical="center"/>
    </xf>
    <xf numFmtId="0" fontId="5" fillId="5" borderId="5" xfId="128" applyFill="1" applyBorder="1" applyAlignment="1" applyProtection="1">
      <alignment vertical="center" wrapText="1"/>
      <protection locked="0"/>
    </xf>
    <xf numFmtId="0" fontId="5" fillId="5" borderId="7" xfId="128" applyFill="1" applyBorder="1" applyAlignment="1" applyProtection="1">
      <alignment vertical="center" wrapText="1"/>
      <protection locked="0"/>
    </xf>
    <xf numFmtId="0" fontId="5" fillId="5" borderId="13" xfId="128" applyFill="1" applyBorder="1" applyAlignment="1" applyProtection="1">
      <alignment horizontal="centerContinuous" vertical="center" wrapText="1"/>
      <protection locked="0"/>
    </xf>
    <xf numFmtId="0" fontId="5" fillId="5" borderId="14" xfId="128" applyFill="1" applyBorder="1" applyAlignment="1" applyProtection="1">
      <alignment horizontal="centerContinuous" vertical="center" wrapText="1"/>
      <protection locked="0"/>
    </xf>
    <xf numFmtId="0" fontId="3" fillId="4" borderId="0" xfId="0" applyFont="1" applyFill="1" applyAlignment="1">
      <alignment horizontal="center" vertical="center"/>
    </xf>
    <xf numFmtId="0" fontId="4" fillId="2" borderId="4" xfId="0" applyFont="1" applyFill="1" applyBorder="1" applyAlignment="1" applyProtection="1">
      <alignment vertical="center"/>
      <protection locked="0"/>
    </xf>
    <xf numFmtId="0" fontId="0" fillId="2" borderId="0" xfId="0" applyFill="1" applyAlignment="1" applyProtection="1">
      <alignment horizontal="center"/>
      <protection locked="0"/>
    </xf>
    <xf numFmtId="0" fontId="11" fillId="5" borderId="2" xfId="0" applyFont="1" applyFill="1" applyBorder="1" applyAlignment="1" applyProtection="1">
      <alignment horizontal="center" vertical="center" wrapText="1"/>
      <protection locked="0"/>
    </xf>
    <xf numFmtId="0" fontId="11" fillId="3" borderId="2" xfId="0" applyFont="1" applyFill="1" applyBorder="1" applyAlignment="1" applyProtection="1">
      <alignment horizontal="center" vertical="center" wrapText="1"/>
      <protection locked="0"/>
    </xf>
    <xf numFmtId="0" fontId="0" fillId="2" borderId="0" xfId="0" applyFill="1" applyAlignment="1" applyProtection="1">
      <alignment horizontal="centerContinuous"/>
      <protection locked="0"/>
    </xf>
    <xf numFmtId="0" fontId="11" fillId="2" borderId="1" xfId="0" applyFont="1" applyFill="1" applyBorder="1" applyAlignment="1" applyProtection="1">
      <alignment vertical="center"/>
      <protection locked="0"/>
    </xf>
    <xf numFmtId="0" fontId="11" fillId="2" borderId="0" xfId="0" applyFont="1" applyFill="1" applyAlignment="1" applyProtection="1">
      <alignment vertical="center"/>
      <protection locked="0"/>
    </xf>
    <xf numFmtId="0" fontId="8" fillId="2" borderId="0" xfId="0" applyFont="1" applyFill="1" applyAlignment="1" applyProtection="1">
      <alignment horizontal="center"/>
      <protection locked="0"/>
    </xf>
    <xf numFmtId="0" fontId="8" fillId="0" borderId="0" xfId="0" applyFont="1" applyAlignment="1" applyProtection="1">
      <alignment horizontal="center"/>
      <protection locked="0"/>
    </xf>
    <xf numFmtId="0" fontId="16" fillId="0" borderId="0" xfId="0" applyFont="1" applyAlignment="1" applyProtection="1">
      <alignment horizontal="center"/>
      <protection locked="0"/>
    </xf>
    <xf numFmtId="0" fontId="16" fillId="0" borderId="0" xfId="0" applyFont="1" applyAlignment="1" applyProtection="1">
      <alignment vertical="center"/>
      <protection locked="0"/>
    </xf>
    <xf numFmtId="0" fontId="16" fillId="0" borderId="0" xfId="0" applyFont="1" applyAlignment="1" applyProtection="1">
      <alignment horizontal="center" vertical="center"/>
      <protection locked="0"/>
    </xf>
    <xf numFmtId="0" fontId="11" fillId="0" borderId="0" xfId="0" applyFont="1" applyAlignment="1" applyProtection="1">
      <alignment horizontal="center"/>
      <protection locked="0"/>
    </xf>
    <xf numFmtId="0" fontId="21" fillId="2" borderId="8" xfId="0" applyFont="1" applyFill="1" applyBorder="1" applyAlignment="1" applyProtection="1">
      <alignment horizontal="left" vertical="center"/>
      <protection locked="0"/>
    </xf>
    <xf numFmtId="0" fontId="22" fillId="2" borderId="0" xfId="0" applyFont="1" applyFill="1" applyAlignment="1" applyProtection="1">
      <alignment horizontal="left" vertical="center"/>
      <protection locked="0"/>
    </xf>
    <xf numFmtId="0" fontId="3" fillId="4" borderId="15" xfId="0" applyFont="1" applyFill="1" applyBorder="1" applyAlignment="1" applyProtection="1">
      <alignment horizontal="centerContinuous" vertical="center"/>
      <protection locked="0"/>
    </xf>
    <xf numFmtId="0" fontId="3" fillId="4" borderId="0" xfId="0" applyFont="1" applyFill="1" applyAlignment="1" applyProtection="1">
      <alignment horizontal="centerContinuous" vertical="center"/>
      <protection locked="0"/>
    </xf>
    <xf numFmtId="0" fontId="4" fillId="2" borderId="0" xfId="0" applyFont="1" applyFill="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8" fillId="2" borderId="0" xfId="0" applyFont="1" applyFill="1" applyAlignment="1" applyProtection="1">
      <alignment horizontal="centerContinuous" vertical="center"/>
      <protection locked="0"/>
    </xf>
    <xf numFmtId="0" fontId="21" fillId="2" borderId="4" xfId="0" applyFont="1" applyFill="1" applyBorder="1" applyAlignment="1" applyProtection="1">
      <alignment horizontal="center" vertical="center"/>
      <protection locked="0"/>
    </xf>
    <xf numFmtId="0" fontId="18" fillId="2" borderId="0" xfId="0" applyFont="1" applyFill="1" applyAlignment="1" applyProtection="1">
      <alignment vertical="center"/>
      <protection locked="0"/>
    </xf>
    <xf numFmtId="0" fontId="3" fillId="4" borderId="16" xfId="0" applyFont="1" applyFill="1" applyBorder="1" applyAlignment="1" applyProtection="1">
      <alignment horizontal="center" vertical="center"/>
      <protection locked="0"/>
    </xf>
    <xf numFmtId="0" fontId="3" fillId="4" borderId="17" xfId="0" applyFont="1" applyFill="1" applyBorder="1" applyAlignment="1" applyProtection="1">
      <alignment horizontal="center" vertical="center"/>
      <protection locked="0"/>
    </xf>
    <xf numFmtId="0" fontId="3" fillId="4" borderId="18" xfId="0" applyFont="1" applyFill="1" applyBorder="1" applyAlignment="1" applyProtection="1">
      <alignment horizontal="centerContinuous" vertical="center"/>
      <protection locked="0"/>
    </xf>
    <xf numFmtId="0" fontId="3" fillId="4" borderId="17" xfId="0" applyFont="1" applyFill="1" applyBorder="1" applyAlignment="1" applyProtection="1">
      <alignment horizontal="centerContinuous" vertical="center"/>
      <protection locked="0"/>
    </xf>
    <xf numFmtId="0" fontId="4" fillId="2" borderId="0" xfId="0" applyFont="1" applyFill="1" applyAlignment="1" applyProtection="1">
      <alignment horizontal="right" vertical="center"/>
      <protection locked="0"/>
    </xf>
    <xf numFmtId="0" fontId="18" fillId="2" borderId="0" xfId="0" applyFont="1" applyFill="1" applyAlignment="1" applyProtection="1">
      <alignment horizontal="center" vertical="center"/>
      <protection locked="0"/>
    </xf>
    <xf numFmtId="0" fontId="3" fillId="4" borderId="19" xfId="0" applyFont="1" applyFill="1" applyBorder="1" applyAlignment="1" applyProtection="1">
      <alignment horizontal="center" vertical="center"/>
      <protection locked="0"/>
    </xf>
    <xf numFmtId="0" fontId="0" fillId="8" borderId="0" xfId="0" applyFill="1" applyAlignment="1">
      <alignment horizontal="center" vertical="center"/>
    </xf>
    <xf numFmtId="0" fontId="0" fillId="2" borderId="0" xfId="0" applyFill="1" applyAlignment="1" applyProtection="1">
      <alignment horizontal="center" vertical="center"/>
      <protection locked="0"/>
    </xf>
    <xf numFmtId="0" fontId="3" fillId="4" borderId="16" xfId="0" applyFont="1" applyFill="1" applyBorder="1" applyAlignment="1" applyProtection="1">
      <alignment vertical="center"/>
      <protection locked="0"/>
    </xf>
    <xf numFmtId="0" fontId="11" fillId="0" borderId="0" xfId="0" applyFont="1" applyAlignment="1" applyProtection="1">
      <alignment horizontal="center"/>
      <protection hidden="1"/>
    </xf>
    <xf numFmtId="0" fontId="11" fillId="2" borderId="0" xfId="0" applyFont="1" applyFill="1" applyAlignment="1" applyProtection="1">
      <alignment horizontal="center"/>
      <protection hidden="1"/>
    </xf>
    <xf numFmtId="0" fontId="9" fillId="2" borderId="0" xfId="0" applyFont="1" applyFill="1" applyAlignment="1" applyProtection="1">
      <alignment horizontal="center"/>
      <protection hidden="1"/>
    </xf>
    <xf numFmtId="0" fontId="20" fillId="2" borderId="0" xfId="0" applyFont="1" applyFill="1" applyAlignment="1" applyProtection="1">
      <alignment horizontal="center"/>
      <protection hidden="1"/>
    </xf>
    <xf numFmtId="0" fontId="19" fillId="0" borderId="0" xfId="0" applyFont="1" applyAlignment="1" applyProtection="1">
      <alignment horizontal="right"/>
      <protection locked="0"/>
    </xf>
    <xf numFmtId="0" fontId="11" fillId="0" borderId="0" xfId="0" applyFont="1" applyAlignment="1">
      <alignment horizontal="center"/>
    </xf>
    <xf numFmtId="0" fontId="11" fillId="2" borderId="0" xfId="0" applyFont="1" applyFill="1" applyAlignment="1">
      <alignment horizontal="center"/>
    </xf>
    <xf numFmtId="0" fontId="12" fillId="0" borderId="0" xfId="0" applyFont="1" applyAlignment="1">
      <alignment horizontal="center"/>
    </xf>
    <xf numFmtId="0" fontId="8" fillId="9" borderId="2" xfId="0" applyFont="1" applyFill="1" applyBorder="1" applyAlignment="1">
      <alignment horizontal="center" vertical="center" wrapText="1"/>
    </xf>
    <xf numFmtId="0" fontId="25" fillId="7" borderId="2" xfId="0" applyFont="1" applyFill="1" applyBorder="1" applyAlignment="1">
      <alignment horizontal="center" vertical="center" wrapText="1"/>
    </xf>
    <xf numFmtId="2" fontId="25" fillId="7" borderId="2" xfId="0" applyNumberFormat="1" applyFont="1" applyFill="1" applyBorder="1" applyAlignment="1">
      <alignment horizontal="center" vertical="center" wrapText="1"/>
    </xf>
    <xf numFmtId="0" fontId="0" fillId="0" borderId="0" xfId="0" applyAlignment="1" applyProtection="1">
      <alignment horizontal="centerContinuous"/>
      <protection locked="0"/>
    </xf>
    <xf numFmtId="0" fontId="26" fillId="2" borderId="0" xfId="0" applyFont="1" applyFill="1" applyAlignment="1" applyProtection="1">
      <alignment horizontal="center" vertical="center"/>
      <protection locked="0"/>
    </xf>
    <xf numFmtId="0" fontId="23" fillId="2" borderId="0" xfId="0" applyFont="1" applyFill="1" applyAlignment="1" applyProtection="1">
      <alignment horizontal="center"/>
      <protection locked="0"/>
    </xf>
    <xf numFmtId="0" fontId="23" fillId="2" borderId="0" xfId="0" applyFont="1" applyFill="1" applyAlignment="1" applyProtection="1">
      <alignment horizontal="centerContinuous" vertical="center"/>
      <protection locked="0"/>
    </xf>
    <xf numFmtId="0" fontId="23" fillId="2" borderId="0" xfId="0" applyFont="1" applyFill="1" applyAlignment="1" applyProtection="1">
      <alignment horizontal="center" vertical="center"/>
      <protection locked="0"/>
    </xf>
    <xf numFmtId="0" fontId="26" fillId="2" borderId="0" xfId="0" applyFont="1" applyFill="1" applyAlignment="1" applyProtection="1">
      <alignment horizontal="right" vertical="center"/>
      <protection locked="0"/>
    </xf>
    <xf numFmtId="0" fontId="23" fillId="2" borderId="0" xfId="0" applyFont="1" applyFill="1" applyAlignment="1">
      <alignment vertical="center"/>
    </xf>
    <xf numFmtId="0" fontId="23" fillId="2" borderId="0" xfId="0" applyFont="1" applyFill="1" applyProtection="1">
      <protection locked="0"/>
    </xf>
    <xf numFmtId="0" fontId="23" fillId="2" borderId="0" xfId="0" applyFont="1" applyFill="1" applyAlignment="1">
      <alignment horizontal="center" vertical="center"/>
    </xf>
    <xf numFmtId="0" fontId="8" fillId="2" borderId="0" xfId="0" applyFont="1" applyFill="1" applyAlignment="1">
      <alignment horizontal="center"/>
    </xf>
    <xf numFmtId="0" fontId="2" fillId="2" borderId="4" xfId="0" applyFont="1" applyFill="1" applyBorder="1" applyAlignment="1" applyProtection="1">
      <alignment horizontal="center" vertical="center"/>
      <protection locked="0"/>
    </xf>
    <xf numFmtId="0" fontId="8" fillId="0" borderId="0" xfId="0" applyFont="1"/>
    <xf numFmtId="0" fontId="17" fillId="0" borderId="0" xfId="0" applyFont="1"/>
    <xf numFmtId="0" fontId="8" fillId="0" borderId="0" xfId="0" applyFont="1" applyAlignment="1">
      <alignment horizontal="center"/>
    </xf>
    <xf numFmtId="14" fontId="8" fillId="0" borderId="2" xfId="0" applyNumberFormat="1" applyFont="1" applyBorder="1" applyAlignment="1" applyProtection="1">
      <alignment horizontal="center"/>
      <protection locked="0"/>
    </xf>
    <xf numFmtId="0" fontId="11" fillId="0" borderId="2" xfId="0" applyFont="1" applyBorder="1" applyAlignment="1">
      <alignment horizontal="right" vertical="center" wrapText="1"/>
    </xf>
    <xf numFmtId="0" fontId="9" fillId="0" borderId="0" xfId="0" applyFont="1" applyAlignment="1" applyProtection="1">
      <alignment horizontal="right"/>
      <protection locked="0"/>
    </xf>
    <xf numFmtId="0" fontId="8" fillId="10" borderId="2" xfId="0" applyFont="1" applyFill="1" applyBorder="1" applyAlignment="1">
      <alignment horizontal="center" vertical="center" wrapText="1"/>
    </xf>
    <xf numFmtId="0" fontId="11" fillId="0" borderId="5" xfId="0" applyFont="1" applyBorder="1" applyAlignment="1">
      <alignment horizontal="left"/>
    </xf>
    <xf numFmtId="0" fontId="11" fillId="0" borderId="7" xfId="0" applyFont="1" applyBorder="1" applyAlignment="1">
      <alignment horizontal="left"/>
    </xf>
    <xf numFmtId="0" fontId="11" fillId="0" borderId="20" xfId="0" applyFont="1" applyBorder="1" applyAlignment="1">
      <alignment horizontal="left"/>
    </xf>
    <xf numFmtId="0" fontId="8" fillId="0" borderId="7" xfId="0" applyFont="1" applyBorder="1" applyAlignment="1">
      <alignment horizontal="left"/>
    </xf>
    <xf numFmtId="0" fontId="8" fillId="0" borderId="20" xfId="0" applyFont="1" applyBorder="1" applyAlignment="1">
      <alignment horizontal="left"/>
    </xf>
    <xf numFmtId="0" fontId="11" fillId="5" borderId="10" xfId="0" applyFont="1" applyFill="1" applyBorder="1" applyAlignment="1" applyProtection="1">
      <alignment horizontal="center" vertical="center" wrapText="1"/>
      <protection locked="0"/>
    </xf>
    <xf numFmtId="0" fontId="11" fillId="5" borderId="2" xfId="0" applyFont="1" applyFill="1" applyBorder="1" applyAlignment="1" applyProtection="1">
      <alignment horizontal="center" vertical="center" wrapText="1"/>
      <protection locked="0"/>
    </xf>
    <xf numFmtId="0" fontId="11" fillId="5" borderId="11" xfId="0" applyFont="1" applyFill="1" applyBorder="1" applyAlignment="1" applyProtection="1">
      <alignment horizontal="center" vertical="center" wrapText="1"/>
      <protection locked="0"/>
    </xf>
    <xf numFmtId="0" fontId="11" fillId="5" borderId="6" xfId="0" applyFont="1" applyFill="1" applyBorder="1" applyAlignment="1" applyProtection="1">
      <alignment horizontal="center" vertical="center" wrapText="1"/>
      <protection locked="0"/>
    </xf>
    <xf numFmtId="0" fontId="12" fillId="5" borderId="12" xfId="0" applyFont="1" applyFill="1" applyBorder="1" applyAlignment="1" applyProtection="1">
      <alignment horizontal="center" vertical="center" wrapText="1"/>
      <protection locked="0"/>
    </xf>
    <xf numFmtId="0" fontId="10" fillId="2" borderId="0" xfId="0" applyFont="1" applyFill="1" applyAlignment="1" applyProtection="1">
      <alignment horizontal="center" wrapText="1"/>
      <protection locked="0"/>
    </xf>
    <xf numFmtId="0" fontId="9" fillId="5" borderId="2" xfId="0" applyFont="1" applyFill="1" applyBorder="1" applyAlignment="1" applyProtection="1">
      <alignment horizontal="center" vertical="center" wrapText="1"/>
      <protection locked="0"/>
    </xf>
    <xf numFmtId="0" fontId="9" fillId="5" borderId="3" xfId="0" applyFont="1" applyFill="1" applyBorder="1" applyAlignment="1" applyProtection="1">
      <alignment horizontal="left" vertical="center" wrapText="1" indent="4"/>
      <protection locked="0"/>
    </xf>
    <xf numFmtId="0" fontId="5" fillId="5" borderId="10" xfId="128" applyFill="1" applyBorder="1" applyAlignment="1" applyProtection="1">
      <alignment horizontal="center" vertical="center" wrapText="1"/>
      <protection locked="0"/>
    </xf>
    <xf numFmtId="0" fontId="5" fillId="5" borderId="2" xfId="128" applyFill="1" applyBorder="1" applyAlignment="1" applyProtection="1">
      <alignment horizontal="center" vertical="center" wrapText="1"/>
      <protection locked="0"/>
    </xf>
    <xf numFmtId="0" fontId="11" fillId="5" borderId="9" xfId="0" applyFont="1" applyFill="1" applyBorder="1" applyAlignment="1" applyProtection="1">
      <alignment horizontal="center" vertical="center" wrapText="1"/>
      <protection locked="0"/>
    </xf>
    <xf numFmtId="0" fontId="11" fillId="5" borderId="12" xfId="0" applyFont="1" applyFill="1" applyBorder="1" applyAlignment="1" applyProtection="1">
      <alignment horizontal="center" vertical="center" wrapText="1"/>
      <protection locked="0"/>
    </xf>
    <xf numFmtId="0" fontId="11" fillId="3" borderId="2" xfId="0" applyFont="1" applyFill="1" applyBorder="1" applyAlignment="1" applyProtection="1">
      <alignment horizontal="center" vertical="center" wrapText="1"/>
      <protection locked="0"/>
    </xf>
    <xf numFmtId="0" fontId="16" fillId="0" borderId="0" xfId="0" applyFont="1" applyAlignment="1" applyProtection="1">
      <alignment horizontal="center" vertical="center" wrapText="1"/>
      <protection locked="0"/>
    </xf>
    <xf numFmtId="0" fontId="11" fillId="0" borderId="0" xfId="0" applyFont="1" applyAlignment="1">
      <alignment horizontal="center"/>
    </xf>
    <xf numFmtId="0" fontId="9" fillId="2" borderId="0" xfId="0" applyFont="1" applyFill="1" applyAlignment="1">
      <alignment horizontal="center"/>
    </xf>
    <xf numFmtId="0" fontId="11" fillId="2" borderId="0" xfId="0" applyFont="1" applyFill="1" applyAlignment="1">
      <alignment horizontal="center"/>
    </xf>
  </cellXfs>
  <cellStyles count="129">
    <cellStyle name="Lien hypertexte" xfId="2" builtinId="8" hidden="1"/>
    <cellStyle name="Lien hypertexte" xfId="4" builtinId="8" hidden="1"/>
    <cellStyle name="Lien hypertexte" xfId="6" builtinId="8" hidden="1"/>
    <cellStyle name="Lien hypertexte" xfId="8" builtinId="8" hidden="1"/>
    <cellStyle name="Lien hypertexte" xfId="10" builtinId="8" hidden="1"/>
    <cellStyle name="Lien hypertexte" xfId="12" builtinId="8" hidden="1"/>
    <cellStyle name="Lien hypertexte" xfId="14" builtinId="8" hidden="1"/>
    <cellStyle name="Lien hypertexte" xfId="16" builtinId="8" hidden="1"/>
    <cellStyle name="Lien hypertexte" xfId="18" builtinId="8" hidden="1"/>
    <cellStyle name="Lien hypertexte" xfId="20" builtinId="8" hidden="1"/>
    <cellStyle name="Lien hypertexte" xfId="22" builtinId="8" hidden="1"/>
    <cellStyle name="Lien hypertexte" xfId="24" builtinId="8" hidden="1"/>
    <cellStyle name="Lien hypertexte" xfId="26" builtinId="8" hidden="1"/>
    <cellStyle name="Lien hypertexte" xfId="28" builtinId="8" hidden="1"/>
    <cellStyle name="Lien hypertexte" xfId="30" builtinId="8" hidden="1"/>
    <cellStyle name="Lien hypertexte" xfId="32" builtinId="8" hidden="1"/>
    <cellStyle name="Lien hypertexte" xfId="34" builtinId="8" hidden="1"/>
    <cellStyle name="Lien hypertexte" xfId="36" builtinId="8" hidden="1"/>
    <cellStyle name="Lien hypertexte" xfId="38" builtinId="8" hidden="1"/>
    <cellStyle name="Lien hypertexte" xfId="40" builtinId="8" hidden="1"/>
    <cellStyle name="Lien hypertexte" xfId="42" builtinId="8" hidden="1"/>
    <cellStyle name="Lien hypertexte" xfId="44" builtinId="8" hidden="1"/>
    <cellStyle name="Lien hypertexte" xfId="46" builtinId="8" hidden="1"/>
    <cellStyle name="Lien hypertexte" xfId="48" builtinId="8" hidden="1"/>
    <cellStyle name="Lien hypertexte" xfId="50" builtinId="8" hidden="1"/>
    <cellStyle name="Lien hypertexte" xfId="52" builtinId="8" hidden="1"/>
    <cellStyle name="Lien hypertexte" xfId="54" builtinId="8" hidden="1"/>
    <cellStyle name="Lien hypertexte" xfId="56" builtinId="8" hidden="1"/>
    <cellStyle name="Lien hypertexte" xfId="58" builtinId="8" hidden="1"/>
    <cellStyle name="Lien hypertexte" xfId="60" builtinId="8" hidden="1"/>
    <cellStyle name="Lien hypertexte" xfId="62" builtinId="8" hidden="1"/>
    <cellStyle name="Lien hypertexte" xfId="64" builtinId="8" hidden="1"/>
    <cellStyle name="Lien hypertexte" xfId="66" builtinId="8" hidden="1"/>
    <cellStyle name="Lien hypertexte" xfId="68" builtinId="8" hidden="1"/>
    <cellStyle name="Lien hypertexte" xfId="70" builtinId="8" hidden="1"/>
    <cellStyle name="Lien hypertexte" xfId="72" builtinId="8" hidden="1"/>
    <cellStyle name="Lien hypertexte" xfId="74" builtinId="8" hidden="1"/>
    <cellStyle name="Lien hypertexte" xfId="76" builtinId="8" hidden="1"/>
    <cellStyle name="Lien hypertexte" xfId="78" builtinId="8" hidden="1"/>
    <cellStyle name="Lien hypertexte" xfId="80" builtinId="8" hidden="1"/>
    <cellStyle name="Lien hypertexte" xfId="82" builtinId="8" hidden="1"/>
    <cellStyle name="Lien hypertexte" xfId="84" builtinId="8" hidden="1"/>
    <cellStyle name="Lien hypertexte" xfId="86" builtinId="8" hidden="1"/>
    <cellStyle name="Lien hypertexte" xfId="88" builtinId="8" hidden="1"/>
    <cellStyle name="Lien hypertexte" xfId="90" builtinId="8" hidden="1"/>
    <cellStyle name="Lien hypertexte" xfId="92" builtinId="8" hidden="1"/>
    <cellStyle name="Lien hypertexte" xfId="94" builtinId="8" hidden="1"/>
    <cellStyle name="Lien hypertexte" xfId="96" builtinId="8" hidden="1"/>
    <cellStyle name="Lien hypertexte" xfId="98" builtinId="8" hidden="1"/>
    <cellStyle name="Lien hypertexte" xfId="100" builtinId="8" hidden="1"/>
    <cellStyle name="Lien hypertexte" xfId="102" builtinId="8" hidden="1"/>
    <cellStyle name="Lien hypertexte" xfId="104" builtinId="8" hidden="1"/>
    <cellStyle name="Lien hypertexte" xfId="106" builtinId="8" hidden="1"/>
    <cellStyle name="Lien hypertexte" xfId="108" builtinId="8" hidden="1"/>
    <cellStyle name="Lien hypertexte" xfId="110" builtinId="8" hidden="1"/>
    <cellStyle name="Lien hypertexte" xfId="112" builtinId="8" hidden="1"/>
    <cellStyle name="Lien hypertexte" xfId="114" builtinId="8" hidden="1"/>
    <cellStyle name="Lien hypertexte" xfId="116" builtinId="8" hidden="1"/>
    <cellStyle name="Lien hypertexte" xfId="118" builtinId="8" hidden="1"/>
    <cellStyle name="Lien hypertexte" xfId="120" builtinId="8" hidden="1"/>
    <cellStyle name="Lien hypertexte" xfId="122" builtinId="8" hidden="1"/>
    <cellStyle name="Lien hypertexte" xfId="124" builtinId="8" hidden="1"/>
    <cellStyle name="Lien hypertexte" xfId="126" builtinId="8" hidden="1"/>
    <cellStyle name="Lien hypertexte" xfId="128" builtinId="8"/>
    <cellStyle name="Lien hypertexte visité" xfId="3" builtinId="9" hidden="1"/>
    <cellStyle name="Lien hypertexte visité" xfId="5" builtinId="9" hidden="1"/>
    <cellStyle name="Lien hypertexte visité" xfId="7" builtinId="9" hidden="1"/>
    <cellStyle name="Lien hypertexte visité" xfId="9" builtinId="9" hidden="1"/>
    <cellStyle name="Lien hypertexte visité" xfId="11" builtinId="9" hidden="1"/>
    <cellStyle name="Lien hypertexte visité" xfId="13" builtinId="9" hidden="1"/>
    <cellStyle name="Lien hypertexte visité" xfId="15" builtinId="9" hidden="1"/>
    <cellStyle name="Lien hypertexte visité" xfId="17" builtinId="9" hidden="1"/>
    <cellStyle name="Lien hypertexte visité" xfId="19" builtinId="9" hidden="1"/>
    <cellStyle name="Lien hypertexte visité" xfId="21" builtinId="9" hidden="1"/>
    <cellStyle name="Lien hypertexte visité" xfId="23" builtinId="9" hidden="1"/>
    <cellStyle name="Lien hypertexte visité" xfId="25" builtinId="9" hidden="1"/>
    <cellStyle name="Lien hypertexte visité" xfId="27" builtinId="9" hidden="1"/>
    <cellStyle name="Lien hypertexte visité" xfId="29" builtinId="9" hidden="1"/>
    <cellStyle name="Lien hypertexte visité" xfId="31" builtinId="9" hidden="1"/>
    <cellStyle name="Lien hypertexte visité" xfId="33" builtinId="9" hidden="1"/>
    <cellStyle name="Lien hypertexte visité" xfId="35" builtinId="9" hidden="1"/>
    <cellStyle name="Lien hypertexte visité" xfId="37" builtinId="9" hidden="1"/>
    <cellStyle name="Lien hypertexte visité" xfId="39" builtinId="9" hidden="1"/>
    <cellStyle name="Lien hypertexte visité" xfId="41" builtinId="9" hidden="1"/>
    <cellStyle name="Lien hypertexte visité" xfId="43" builtinId="9" hidden="1"/>
    <cellStyle name="Lien hypertexte visité" xfId="45" builtinId="9" hidden="1"/>
    <cellStyle name="Lien hypertexte visité" xfId="47" builtinId="9" hidden="1"/>
    <cellStyle name="Lien hypertexte visité" xfId="49" builtinId="9" hidden="1"/>
    <cellStyle name="Lien hypertexte visité" xfId="51" builtinId="9" hidden="1"/>
    <cellStyle name="Lien hypertexte visité" xfId="53" builtinId="9" hidden="1"/>
    <cellStyle name="Lien hypertexte visité" xfId="55" builtinId="9" hidden="1"/>
    <cellStyle name="Lien hypertexte visité" xfId="57" builtinId="9" hidden="1"/>
    <cellStyle name="Lien hypertexte visité" xfId="59" builtinId="9" hidden="1"/>
    <cellStyle name="Lien hypertexte visité" xfId="61" builtinId="9" hidden="1"/>
    <cellStyle name="Lien hypertexte visité" xfId="63" builtinId="9" hidden="1"/>
    <cellStyle name="Lien hypertexte visité" xfId="65" builtinId="9" hidden="1"/>
    <cellStyle name="Lien hypertexte visité" xfId="67" builtinId="9" hidden="1"/>
    <cellStyle name="Lien hypertexte visité" xfId="69" builtinId="9" hidden="1"/>
    <cellStyle name="Lien hypertexte visité" xfId="71" builtinId="9" hidden="1"/>
    <cellStyle name="Lien hypertexte visité" xfId="73" builtinId="9" hidden="1"/>
    <cellStyle name="Lien hypertexte visité" xfId="75" builtinId="9" hidden="1"/>
    <cellStyle name="Lien hypertexte visité" xfId="77" builtinId="9" hidden="1"/>
    <cellStyle name="Lien hypertexte visité" xfId="79" builtinId="9" hidden="1"/>
    <cellStyle name="Lien hypertexte visité" xfId="81" builtinId="9" hidden="1"/>
    <cellStyle name="Lien hypertexte visité" xfId="83" builtinId="9" hidden="1"/>
    <cellStyle name="Lien hypertexte visité" xfId="85" builtinId="9" hidden="1"/>
    <cellStyle name="Lien hypertexte visité" xfId="87" builtinId="9" hidden="1"/>
    <cellStyle name="Lien hypertexte visité" xfId="89" builtinId="9" hidden="1"/>
    <cellStyle name="Lien hypertexte visité" xfId="91" builtinId="9" hidden="1"/>
    <cellStyle name="Lien hypertexte visité" xfId="93" builtinId="9" hidden="1"/>
    <cellStyle name="Lien hypertexte visité" xfId="95" builtinId="9" hidden="1"/>
    <cellStyle name="Lien hypertexte visité" xfId="97" builtinId="9" hidden="1"/>
    <cellStyle name="Lien hypertexte visité" xfId="99" builtinId="9" hidden="1"/>
    <cellStyle name="Lien hypertexte visité" xfId="101" builtinId="9" hidden="1"/>
    <cellStyle name="Lien hypertexte visité" xfId="103" builtinId="9" hidden="1"/>
    <cellStyle name="Lien hypertexte visité" xfId="105" builtinId="9" hidden="1"/>
    <cellStyle name="Lien hypertexte visité" xfId="107" builtinId="9" hidden="1"/>
    <cellStyle name="Lien hypertexte visité" xfId="109" builtinId="9" hidden="1"/>
    <cellStyle name="Lien hypertexte visité" xfId="111" builtinId="9" hidden="1"/>
    <cellStyle name="Lien hypertexte visité" xfId="113" builtinId="9" hidden="1"/>
    <cellStyle name="Lien hypertexte visité" xfId="115" builtinId="9" hidden="1"/>
    <cellStyle name="Lien hypertexte visité" xfId="117" builtinId="9" hidden="1"/>
    <cellStyle name="Lien hypertexte visité" xfId="119" builtinId="9" hidden="1"/>
    <cellStyle name="Lien hypertexte visité" xfId="121" builtinId="9" hidden="1"/>
    <cellStyle name="Lien hypertexte visité" xfId="123" builtinId="9" hidden="1"/>
    <cellStyle name="Lien hypertexte visité" xfId="125" builtinId="9" hidden="1"/>
    <cellStyle name="Lien hypertexte visité" xfId="127" builtinId="9" hidden="1"/>
    <cellStyle name="Normal" xfId="0" builtinId="0"/>
    <cellStyle name="Normal 2" xfId="1" xr:uid="{00000000-0005-0000-0000-000080000000}"/>
  </cellStyles>
  <dxfs count="45">
    <dxf>
      <border>
        <top style="hair">
          <color auto="1"/>
        </top>
        <bottom style="hair">
          <color auto="1"/>
        </bottom>
        <vertical/>
        <horizontal/>
      </border>
    </dxf>
    <dxf>
      <border>
        <top style="hair">
          <color auto="1"/>
        </top>
        <bottom style="hair">
          <color auto="1"/>
        </bottom>
        <vertical/>
        <horizontal/>
      </border>
    </dxf>
    <dxf>
      <border>
        <left/>
        <right/>
        <top style="hair">
          <color auto="1"/>
        </top>
        <bottom style="hair">
          <color auto="1"/>
        </bottom>
        <vertical/>
        <horizontal/>
      </border>
    </dxf>
    <dxf>
      <fill>
        <patternFill patternType="gray0625">
          <fgColor theme="0" tint="-0.34998626667073579"/>
        </patternFill>
      </fill>
    </dxf>
    <dxf>
      <border>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vertical/>
        <horizontal/>
      </border>
    </dxf>
    <dxf>
      <fill>
        <patternFill>
          <bgColor rgb="FF00B050"/>
        </patternFill>
      </fill>
    </dxf>
    <dxf>
      <fill>
        <patternFill>
          <bgColor rgb="FFFFFF00"/>
        </patternFill>
      </fill>
    </dxf>
    <dxf>
      <fill>
        <patternFill>
          <bgColor rgb="FFFF0000"/>
        </patternFill>
      </fill>
    </dxf>
    <dxf>
      <fill>
        <patternFill>
          <bgColor rgb="FFFFC000"/>
        </patternFill>
      </fill>
    </dxf>
    <dxf>
      <font>
        <color theme="0"/>
      </font>
      <numFmt numFmtId="0" formatCode="General"/>
    </dxf>
    <dxf>
      <border>
        <left style="thin">
          <color rgb="FF002060"/>
        </left>
        <right style="thin">
          <color rgb="FF002060"/>
        </right>
        <top style="thin">
          <color rgb="FF002060"/>
        </top>
        <bottom style="thin">
          <color rgb="FF002060"/>
        </bottom>
        <vertical/>
        <horizontal/>
      </border>
    </dxf>
    <dxf>
      <fill>
        <patternFill>
          <bgColor rgb="FF62BD8A"/>
        </patternFill>
      </fill>
      <border>
        <top style="thin">
          <color auto="1"/>
        </top>
        <bottom style="thin">
          <color auto="1"/>
        </bottom>
        <vertical/>
        <horizontal/>
      </border>
    </dxf>
    <dxf>
      <border>
        <left style="thin">
          <color rgb="FF002060"/>
        </left>
        <right style="thin">
          <color rgb="FF002060"/>
        </right>
        <top style="thin">
          <color rgb="FF002060"/>
        </top>
        <bottom style="thin">
          <color rgb="FF002060"/>
        </bottom>
        <vertical/>
        <horizontal/>
      </border>
    </dxf>
    <dxf>
      <border>
        <left style="thin">
          <color theme="3" tint="-0.24994659260841701"/>
        </left>
        <right style="thin">
          <color theme="3" tint="-0.24994659260841701"/>
        </right>
        <top style="thin">
          <color theme="3" tint="-0.24994659260841701"/>
        </top>
        <bottom style="thin">
          <color theme="3" tint="-0.24994659260841701"/>
        </bottom>
        <vertical/>
        <horizontal/>
      </border>
    </dxf>
    <dxf>
      <fill>
        <patternFill>
          <bgColor theme="6" tint="0.79998168889431442"/>
        </patternFill>
      </fill>
      <border>
        <top style="thin">
          <color auto="1"/>
        </top>
        <bottom style="thin">
          <color auto="1"/>
        </bottom>
        <vertical/>
        <horizontal/>
      </border>
    </dxf>
    <dxf>
      <fill>
        <patternFill>
          <bgColor theme="6" tint="0.79998168889431442"/>
        </patternFill>
      </fill>
      <border>
        <top style="thin">
          <color auto="1"/>
        </top>
        <bottom style="thin">
          <color auto="1"/>
        </bottom>
        <vertical/>
        <horizontal/>
      </border>
    </dxf>
    <dxf>
      <fill>
        <patternFill>
          <bgColor theme="6" tint="0.79998168889431442"/>
        </patternFill>
      </fill>
      <border>
        <top style="thin">
          <color auto="1"/>
        </top>
        <bottom style="thin">
          <color auto="1"/>
        </bottom>
        <vertical/>
        <horizontal/>
      </border>
    </dxf>
    <dxf>
      <font>
        <color theme="0"/>
      </font>
      <fill>
        <patternFill>
          <bgColor rgb="FF62BD8A"/>
        </patternFill>
      </fill>
      <border>
        <top style="thin">
          <color auto="1"/>
        </top>
        <bottom style="thin">
          <color auto="1"/>
        </bottom>
      </border>
    </dxf>
    <dxf>
      <font>
        <color theme="0"/>
      </font>
      <fill>
        <patternFill>
          <bgColor rgb="FF00B050"/>
        </patternFill>
      </fill>
    </dxf>
    <dxf>
      <fill>
        <patternFill>
          <bgColor rgb="FFFFFF00"/>
        </patternFill>
      </fill>
    </dxf>
    <dxf>
      <font>
        <color theme="0"/>
      </font>
      <fill>
        <patternFill>
          <bgColor rgb="FFFF0000"/>
        </patternFill>
      </fill>
    </dxf>
    <dxf>
      <font>
        <color theme="0"/>
      </font>
      <fill>
        <patternFill>
          <bgColor rgb="FF00B0F0"/>
        </patternFill>
      </fill>
    </dxf>
    <dxf>
      <fill>
        <patternFill>
          <bgColor theme="5" tint="0.39994506668294322"/>
        </patternFill>
      </fill>
    </dxf>
    <dxf>
      <fill>
        <patternFill>
          <bgColor theme="4" tint="0.39994506668294322"/>
        </patternFill>
      </fill>
    </dxf>
    <dxf>
      <fill>
        <patternFill>
          <bgColor theme="6" tint="0.39994506668294322"/>
        </patternFill>
      </fill>
    </dxf>
    <dxf>
      <font>
        <color theme="0"/>
      </font>
      <fill>
        <patternFill>
          <bgColor rgb="FF002060"/>
        </patternFill>
      </fill>
    </dxf>
    <dxf>
      <font>
        <color rgb="FFFF0000"/>
      </font>
      <fill>
        <gradientFill degree="270">
          <stop position="0">
            <color theme="0"/>
          </stop>
          <stop position="1">
            <color theme="4"/>
          </stop>
        </gradientFill>
      </fill>
    </dxf>
    <dxf>
      <font>
        <color auto="1"/>
      </font>
      <fill>
        <patternFill patternType="none">
          <bgColor auto="1"/>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FFFF00"/>
        </patternFill>
      </fill>
    </dxf>
    <dxf>
      <fill>
        <patternFill>
          <bgColor rgb="FFFF0000"/>
        </patternFill>
      </fill>
    </dxf>
    <dxf>
      <fill>
        <patternFill>
          <bgColor rgb="FFFFC000"/>
        </patternFill>
      </fill>
    </dxf>
    <dxf>
      <font>
        <color theme="0"/>
      </font>
      <fill>
        <patternFill>
          <bgColor rgb="FF00B050"/>
        </patternFill>
      </fill>
    </dxf>
    <dxf>
      <fill>
        <patternFill>
          <bgColor rgb="FFFFFF00"/>
        </patternFill>
      </fill>
    </dxf>
    <dxf>
      <fill>
        <patternFill>
          <bgColor rgb="FFFFC000"/>
        </patternFill>
      </fill>
    </dxf>
    <dxf>
      <font>
        <color theme="0"/>
      </font>
      <fill>
        <patternFill>
          <bgColor rgb="FFFF0000"/>
        </patternFill>
      </fill>
    </dxf>
  </dxfs>
  <tableStyles count="0" defaultTableStyle="TableStyleMedium9" defaultPivotStyle="PivotStyleLight16"/>
  <colors>
    <mruColors>
      <color rgb="FFF37B9D"/>
      <color rgb="FF002060"/>
      <color rgb="FF00B0F0"/>
      <color rgb="FFFF0000"/>
      <color rgb="FFFFFF00"/>
      <color rgb="FF00B050"/>
      <color rgb="FF62BD8A"/>
      <color rgb="FF4F81BD"/>
      <color rgb="FFFFC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9"/>
    </mc:Choice>
    <mc:Fallback>
      <c:style val="29"/>
    </mc:Fallback>
  </mc:AlternateContent>
  <c:chart>
    <c:title>
      <c:overlay val="0"/>
    </c:title>
    <c:autoTitleDeleted val="0"/>
    <c:view3D>
      <c:rotX val="75"/>
      <c:rotY val="0"/>
      <c:rAngAx val="0"/>
    </c:view3D>
    <c:floor>
      <c:thickness val="0"/>
    </c:floor>
    <c:sideWall>
      <c:thickness val="0"/>
    </c:sideWall>
    <c:backWall>
      <c:thickness val="0"/>
    </c:backWall>
    <c:plotArea>
      <c:layout/>
      <c:pie3DChart>
        <c:varyColors val="1"/>
        <c:ser>
          <c:idx val="0"/>
          <c:order val="0"/>
          <c:tx>
            <c:strRef>
              <c:f>Dashboard!$F$3</c:f>
              <c:strCache>
                <c:ptCount val="1"/>
                <c:pt idx="0">
                  <c:v>Réponse au risque</c:v>
                </c:pt>
              </c:strCache>
            </c:strRef>
          </c:tx>
          <c:dPt>
            <c:idx val="0"/>
            <c:bubble3D val="0"/>
            <c:spPr>
              <a:solidFill>
                <a:srgbClr val="00B050"/>
              </a:solidFill>
            </c:spPr>
            <c:extLst>
              <c:ext xmlns:c16="http://schemas.microsoft.com/office/drawing/2014/chart" uri="{C3380CC4-5D6E-409C-BE32-E72D297353CC}">
                <c16:uniqueId val="{00000001-FE18-614C-A16F-31EDBA415A43}"/>
              </c:ext>
            </c:extLst>
          </c:dPt>
          <c:dPt>
            <c:idx val="1"/>
            <c:bubble3D val="0"/>
            <c:spPr>
              <a:solidFill>
                <a:srgbClr val="FFFF00"/>
              </a:solidFill>
            </c:spPr>
            <c:extLst>
              <c:ext xmlns:c16="http://schemas.microsoft.com/office/drawing/2014/chart" uri="{C3380CC4-5D6E-409C-BE32-E72D297353CC}">
                <c16:uniqueId val="{00000003-FE18-614C-A16F-31EDBA415A43}"/>
              </c:ext>
            </c:extLst>
          </c:dPt>
          <c:dPt>
            <c:idx val="2"/>
            <c:bubble3D val="0"/>
            <c:spPr>
              <a:solidFill>
                <a:srgbClr val="FF0000"/>
              </a:solidFill>
            </c:spPr>
            <c:extLst>
              <c:ext xmlns:c16="http://schemas.microsoft.com/office/drawing/2014/chart" uri="{C3380CC4-5D6E-409C-BE32-E72D297353CC}">
                <c16:uniqueId val="{00000005-FE18-614C-A16F-31EDBA415A43}"/>
              </c:ext>
            </c:extLst>
          </c:dPt>
          <c:dPt>
            <c:idx val="3"/>
            <c:bubble3D val="0"/>
            <c:spPr>
              <a:solidFill>
                <a:schemeClr val="accent6">
                  <a:lumMod val="75000"/>
                </a:schemeClr>
              </a:solidFill>
            </c:spPr>
            <c:extLst>
              <c:ext xmlns:c16="http://schemas.microsoft.com/office/drawing/2014/chart" uri="{C3380CC4-5D6E-409C-BE32-E72D297353CC}">
                <c16:uniqueId val="{00000007-FE18-614C-A16F-31EDBA415A43}"/>
              </c:ext>
            </c:extLst>
          </c:dPt>
          <c:dLbls>
            <c:spPr>
              <a:noFill/>
              <a:ln>
                <a:noFill/>
              </a:ln>
              <a:effectLst/>
            </c:spPr>
            <c:showLegendKey val="0"/>
            <c:showVal val="1"/>
            <c:showCatName val="1"/>
            <c:showSerName val="0"/>
            <c:showPercent val="0"/>
            <c:showBubbleSize val="0"/>
            <c:showLeaderLines val="0"/>
            <c:extLst>
              <c:ext xmlns:c15="http://schemas.microsoft.com/office/drawing/2012/chart" uri="{CE6537A1-D6FC-4f65-9D91-7224C49458BB}"/>
            </c:extLst>
          </c:dLbls>
          <c:cat>
            <c:strRef>
              <c:f>[0]!repRisquesLibelles</c:f>
              <c:strCache>
                <c:ptCount val="4"/>
                <c:pt idx="0">
                  <c:v>Accepter</c:v>
                </c:pt>
                <c:pt idx="1">
                  <c:v>A atténuer</c:v>
                </c:pt>
                <c:pt idx="2">
                  <c:v>A éliminer</c:v>
                </c:pt>
                <c:pt idx="3">
                  <c:v>A transférer</c:v>
                </c:pt>
              </c:strCache>
            </c:strRef>
          </c:cat>
          <c:val>
            <c:numRef>
              <c:f>[0]!repRisquesDonnees</c:f>
              <c:numCache>
                <c:formatCode>General</c:formatCode>
                <c:ptCount val="4"/>
                <c:pt idx="0">
                  <c:v>4</c:v>
                </c:pt>
                <c:pt idx="1">
                  <c:v>0</c:v>
                </c:pt>
                <c:pt idx="2">
                  <c:v>0</c:v>
                </c:pt>
                <c:pt idx="3">
                  <c:v>1</c:v>
                </c:pt>
              </c:numCache>
            </c:numRef>
          </c:val>
          <c:extLst>
            <c:ext xmlns:c16="http://schemas.microsoft.com/office/drawing/2014/chart" uri="{C3380CC4-5D6E-409C-BE32-E72D297353CC}">
              <c16:uniqueId val="{00000008-FE18-614C-A16F-31EDBA415A43}"/>
            </c:ext>
          </c:extLst>
        </c:ser>
        <c:dLbls>
          <c:showLegendKey val="0"/>
          <c:showVal val="1"/>
          <c:showCatName val="1"/>
          <c:showSerName val="0"/>
          <c:showPercent val="0"/>
          <c:showBubbleSize val="0"/>
          <c:showLeaderLines val="0"/>
        </c:dLbls>
      </c:pie3DChart>
    </c:plotArea>
    <c:legend>
      <c:legendPos val="r"/>
      <c:overlay val="0"/>
    </c:legend>
    <c:plotVisOnly val="1"/>
    <c:dispBlanksAs val="zero"/>
    <c:showDLblsOverMax val="0"/>
  </c:chart>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18"/>
    </mc:Choice>
    <mc:Fallback>
      <c:style val="18"/>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strRef>
              <c:f>Dashboard!$B$3</c:f>
              <c:strCache>
                <c:ptCount val="1"/>
                <c:pt idx="0">
                  <c:v>Criticité des risques</c:v>
                </c:pt>
              </c:strCache>
            </c:strRef>
          </c:tx>
          <c:dPt>
            <c:idx val="0"/>
            <c:bubble3D val="0"/>
            <c:spPr>
              <a:solidFill>
                <a:srgbClr val="FFFF00"/>
              </a:solidFill>
            </c:spPr>
            <c:extLst>
              <c:ext xmlns:c16="http://schemas.microsoft.com/office/drawing/2014/chart" uri="{C3380CC4-5D6E-409C-BE32-E72D297353CC}">
                <c16:uniqueId val="{00000001-BEE6-684F-8932-C60534FB7785}"/>
              </c:ext>
            </c:extLst>
          </c:dPt>
          <c:dPt>
            <c:idx val="1"/>
            <c:bubble3D val="0"/>
            <c:spPr>
              <a:solidFill>
                <a:schemeClr val="accent6">
                  <a:lumMod val="75000"/>
                </a:schemeClr>
              </a:solidFill>
            </c:spPr>
            <c:extLst>
              <c:ext xmlns:c16="http://schemas.microsoft.com/office/drawing/2014/chart" uri="{C3380CC4-5D6E-409C-BE32-E72D297353CC}">
                <c16:uniqueId val="{00000003-BEE6-684F-8932-C60534FB7785}"/>
              </c:ext>
            </c:extLst>
          </c:dPt>
          <c:dPt>
            <c:idx val="2"/>
            <c:bubble3D val="0"/>
            <c:spPr>
              <a:solidFill>
                <a:srgbClr val="008000"/>
              </a:solidFill>
            </c:spPr>
            <c:extLst>
              <c:ext xmlns:c16="http://schemas.microsoft.com/office/drawing/2014/chart" uri="{C3380CC4-5D6E-409C-BE32-E72D297353CC}">
                <c16:uniqueId val="{00000005-BEE6-684F-8932-C60534FB778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[0]!criticiteLibelles</c:f>
              <c:strCache>
                <c:ptCount val="4"/>
                <c:pt idx="0">
                  <c:v>Non significatif</c:v>
                </c:pt>
                <c:pt idx="1">
                  <c:v>Modéré</c:v>
                </c:pt>
                <c:pt idx="2">
                  <c:v>Elevé</c:v>
                </c:pt>
                <c:pt idx="3">
                  <c:v>Critique</c:v>
                </c:pt>
              </c:strCache>
            </c:strRef>
          </c:cat>
          <c:val>
            <c:numRef>
              <c:f>[0]!criticiteDonnees</c:f>
              <c:numCache>
                <c:formatCode>General</c:formatCode>
                <c:ptCount val="4"/>
                <c:pt idx="0">
                  <c:v>#N/A</c:v>
                </c:pt>
                <c:pt idx="1">
                  <c:v>2</c:v>
                </c:pt>
                <c:pt idx="2">
                  <c:v>2</c:v>
                </c:pt>
                <c:pt idx="3">
                  <c:v>1</c:v>
                </c:pt>
              </c:numCache>
            </c:numRef>
          </c:val>
          <c:extLst>
            <c:ext xmlns:c16="http://schemas.microsoft.com/office/drawing/2014/chart" uri="{C3380CC4-5D6E-409C-BE32-E72D297353CC}">
              <c16:uniqueId val="{00000006-BEE6-684F-8932-C60534FB7785}"/>
            </c:ext>
          </c:extLst>
        </c:ser>
        <c:dLbls>
          <c:showLegendKey val="0"/>
          <c:showVal val="0"/>
          <c:showCatName val="0"/>
          <c:showSerName val="0"/>
          <c:showPercent val="0"/>
          <c:showBubbleSize val="0"/>
          <c:showLeaderLines val="1"/>
        </c:dLbls>
      </c:pie3DChart>
    </c:plotArea>
    <c:legend>
      <c:legendPos val="r"/>
      <c:overlay val="0"/>
    </c:legend>
    <c:plotVisOnly val="1"/>
    <c:dispBlanksAs val="gap"/>
    <c:showDLblsOverMax val="0"/>
  </c:chart>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9"/>
    </mc:Choice>
    <mc:Fallback>
      <c:style val="29"/>
    </mc:Fallback>
  </mc:AlternateContent>
  <c:chart>
    <c:title>
      <c:overlay val="0"/>
    </c:title>
    <c:autoTitleDeleted val="0"/>
    <c:view3D>
      <c:rotX val="75"/>
      <c:rotY val="0"/>
      <c:rAngAx val="0"/>
    </c:view3D>
    <c:floor>
      <c:thickness val="0"/>
    </c:floor>
    <c:sideWall>
      <c:thickness val="0"/>
    </c:sideWall>
    <c:backWall>
      <c:thickness val="0"/>
    </c:backWall>
    <c:plotArea>
      <c:layout/>
      <c:pie3DChart>
        <c:varyColors val="1"/>
        <c:ser>
          <c:idx val="0"/>
          <c:order val="0"/>
          <c:tx>
            <c:strRef>
              <c:f>Dashboard!$I$2</c:f>
              <c:strCache>
                <c:ptCount val="1"/>
                <c:pt idx="0">
                  <c:v>Etat</c:v>
                </c:pt>
              </c:strCache>
            </c:strRef>
          </c:tx>
          <c:dPt>
            <c:idx val="0"/>
            <c:bubble3D val="0"/>
            <c:spPr>
              <a:solidFill>
                <a:srgbClr val="00B050"/>
              </a:solidFill>
            </c:spPr>
            <c:extLst>
              <c:ext xmlns:c16="http://schemas.microsoft.com/office/drawing/2014/chart" uri="{C3380CC4-5D6E-409C-BE32-E72D297353CC}">
                <c16:uniqueId val="{00000001-FE18-614C-A16F-31EDBA415A43}"/>
              </c:ext>
            </c:extLst>
          </c:dPt>
          <c:dPt>
            <c:idx val="1"/>
            <c:bubble3D val="0"/>
            <c:spPr>
              <a:solidFill>
                <a:srgbClr val="FFFF00"/>
              </a:solidFill>
            </c:spPr>
            <c:extLst>
              <c:ext xmlns:c16="http://schemas.microsoft.com/office/drawing/2014/chart" uri="{C3380CC4-5D6E-409C-BE32-E72D297353CC}">
                <c16:uniqueId val="{00000003-FE18-614C-A16F-31EDBA415A43}"/>
              </c:ext>
            </c:extLst>
          </c:dPt>
          <c:dPt>
            <c:idx val="2"/>
            <c:bubble3D val="0"/>
            <c:spPr>
              <a:solidFill>
                <a:srgbClr val="FF0000"/>
              </a:solidFill>
            </c:spPr>
            <c:extLst>
              <c:ext xmlns:c16="http://schemas.microsoft.com/office/drawing/2014/chart" uri="{C3380CC4-5D6E-409C-BE32-E72D297353CC}">
                <c16:uniqueId val="{00000005-FE18-614C-A16F-31EDBA415A43}"/>
              </c:ext>
            </c:extLst>
          </c:dPt>
          <c:dPt>
            <c:idx val="3"/>
            <c:bubble3D val="0"/>
            <c:spPr>
              <a:solidFill>
                <a:schemeClr val="accent6">
                  <a:lumMod val="75000"/>
                </a:schemeClr>
              </a:solidFill>
            </c:spPr>
            <c:extLst>
              <c:ext xmlns:c16="http://schemas.microsoft.com/office/drawing/2014/chart" uri="{C3380CC4-5D6E-409C-BE32-E72D297353CC}">
                <c16:uniqueId val="{00000007-FE18-614C-A16F-31EDBA415A43}"/>
              </c:ext>
            </c:extLst>
          </c:dPt>
          <c:dLbls>
            <c:spPr>
              <a:noFill/>
              <a:ln>
                <a:noFill/>
              </a:ln>
              <a:effectLst/>
            </c:spPr>
            <c:showLegendKey val="0"/>
            <c:showVal val="1"/>
            <c:showCatName val="1"/>
            <c:showSerName val="0"/>
            <c:showPercent val="0"/>
            <c:showBubbleSize val="0"/>
            <c:showLeaderLines val="0"/>
            <c:extLst>
              <c:ext xmlns:c15="http://schemas.microsoft.com/office/drawing/2012/chart" uri="{CE6537A1-D6FC-4f65-9D91-7224C49458BB}"/>
            </c:extLst>
          </c:dLbls>
          <c:cat>
            <c:strRef>
              <c:f>[0]!libelEffets</c:f>
              <c:strCache>
                <c:ptCount val="3"/>
                <c:pt idx="0">
                  <c:v>Fait</c:v>
                </c:pt>
                <c:pt idx="1">
                  <c:v>En cours</c:v>
                </c:pt>
                <c:pt idx="2">
                  <c:v>Non fait</c:v>
                </c:pt>
              </c:strCache>
            </c:strRef>
          </c:cat>
          <c:val>
            <c:numRef>
              <c:f>[0]!donnesLibeleEffet</c:f>
              <c:numCache>
                <c:formatCode>General</c:formatCode>
                <c:ptCount val="3"/>
                <c:pt idx="0">
                  <c:v>1</c:v>
                </c:pt>
                <c:pt idx="1">
                  <c:v>1</c:v>
                </c:pt>
                <c:pt idx="2">
                  <c:v>2</c:v>
                </c:pt>
              </c:numCache>
            </c:numRef>
          </c:val>
          <c:extLst>
            <c:ext xmlns:c16="http://schemas.microsoft.com/office/drawing/2014/chart" uri="{C3380CC4-5D6E-409C-BE32-E72D297353CC}">
              <c16:uniqueId val="{00000008-FE18-614C-A16F-31EDBA415A43}"/>
            </c:ext>
          </c:extLst>
        </c:ser>
        <c:dLbls>
          <c:showLegendKey val="0"/>
          <c:showVal val="1"/>
          <c:showCatName val="1"/>
          <c:showSerName val="0"/>
          <c:showPercent val="0"/>
          <c:showBubbleSize val="0"/>
          <c:showLeaderLines val="0"/>
        </c:dLbls>
      </c:pie3DChart>
    </c:plotArea>
    <c:legend>
      <c:legendPos val="r"/>
      <c:overlay val="0"/>
    </c:legend>
    <c:plotVisOnly val="1"/>
    <c:dispBlanksAs val="zero"/>
    <c:showDLblsOverMax val="0"/>
  </c:chart>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3" Type="http://schemas.openxmlformats.org/officeDocument/2006/relationships/image" Target="../media/image2.png"/><Relationship Id="rId21" Type="http://schemas.openxmlformats.org/officeDocument/2006/relationships/image" Target="../media/image20.png"/><Relationship Id="rId7" Type="http://schemas.openxmlformats.org/officeDocument/2006/relationships/image" Target="../media/image6.png"/><Relationship Id="rId12" Type="http://schemas.openxmlformats.org/officeDocument/2006/relationships/image" Target="../media/image11.png"/><Relationship Id="rId17" Type="http://schemas.openxmlformats.org/officeDocument/2006/relationships/image" Target="../media/image16.png"/><Relationship Id="rId2" Type="http://schemas.openxmlformats.org/officeDocument/2006/relationships/hyperlink" Target="https://learn.microsoft.com/fr-fr/deployoffice/security/internet-macros-blocked" TargetMode="External"/><Relationship Id="rId16" Type="http://schemas.openxmlformats.org/officeDocument/2006/relationships/image" Target="../media/image15.png"/><Relationship Id="rId20" Type="http://schemas.openxmlformats.org/officeDocument/2006/relationships/image" Target="../media/image19.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5" Type="http://schemas.openxmlformats.org/officeDocument/2006/relationships/image" Target="../media/image14.png"/><Relationship Id="rId10" Type="http://schemas.openxmlformats.org/officeDocument/2006/relationships/image" Target="../media/image9.png"/><Relationship Id="rId19" Type="http://schemas.openxmlformats.org/officeDocument/2006/relationships/image" Target="../media/image18.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3.png"/><Relationship Id="rId22" Type="http://schemas.openxmlformats.org/officeDocument/2006/relationships/image" Target="../media/image21.png"/></Relationships>
</file>

<file path=xl/drawings/_rels/drawing2.xml.rels><?xml version="1.0" encoding="UTF-8" standalone="yes"?>
<Relationships xmlns="http://schemas.openxmlformats.org/package/2006/relationships"><Relationship Id="rId3" Type="http://schemas.openxmlformats.org/officeDocument/2006/relationships/hyperlink" Target="#Bienvenue!A1"/><Relationship Id="rId2" Type="http://schemas.openxmlformats.org/officeDocument/2006/relationships/hyperlink" Target="#Param&#232;tres!A1"/><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hyperlink" Target="#Bienvenue!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Param&#232;tres!A1"/><Relationship Id="rId5" Type="http://schemas.openxmlformats.org/officeDocument/2006/relationships/hyperlink" Target="#'Registre des risques'!A1"/><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Registre des risques'!A1"/><Relationship Id="rId1" Type="http://schemas.openxmlformats.org/officeDocument/2006/relationships/image" Target="../media/image1.png"/><Relationship Id="rId4" Type="http://schemas.openxmlformats.org/officeDocument/2006/relationships/hyperlink" Target="#Bienvenue!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0</xdr:col>
      <xdr:colOff>7620</xdr:colOff>
      <xdr:row>0</xdr:row>
      <xdr:rowOff>77311</xdr:rowOff>
    </xdr:from>
    <xdr:to>
      <xdr:col>3</xdr:col>
      <xdr:colOff>102870</xdr:colOff>
      <xdr:row>4</xdr:row>
      <xdr:rowOff>67518</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620" y="77311"/>
          <a:ext cx="1969770" cy="630287"/>
        </a:xfrm>
        <a:prstGeom prst="rect">
          <a:avLst/>
        </a:prstGeom>
      </xdr:spPr>
    </xdr:pic>
    <xdr:clientData/>
  </xdr:twoCellAnchor>
  <xdr:twoCellAnchor>
    <xdr:from>
      <xdr:col>0</xdr:col>
      <xdr:colOff>0</xdr:colOff>
      <xdr:row>5</xdr:row>
      <xdr:rowOff>0</xdr:rowOff>
    </xdr:from>
    <xdr:to>
      <xdr:col>20</xdr:col>
      <xdr:colOff>563880</xdr:colOff>
      <xdr:row>216</xdr:row>
      <xdr:rowOff>38100</xdr:rowOff>
    </xdr:to>
    <xdr:sp macro="" textlink="">
      <xdr:nvSpPr>
        <xdr:cNvPr id="6" name="TextBox 4">
          <a:extLst>
            <a:ext uri="{FF2B5EF4-FFF2-40B4-BE49-F238E27FC236}">
              <a16:creationId xmlns:a16="http://schemas.microsoft.com/office/drawing/2014/main" id="{00000000-0008-0000-0000-000006000000}"/>
            </a:ext>
          </a:extLst>
        </xdr:cNvPr>
        <xdr:cNvSpPr txBox="1"/>
      </xdr:nvSpPr>
      <xdr:spPr>
        <a:xfrm>
          <a:off x="0" y="822960"/>
          <a:ext cx="13677900" cy="386257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b="1">
              <a:latin typeface="Candara" panose="020E0502030303020204" pitchFamily="34" charset="0"/>
            </a:rPr>
            <a:t>Guide d'utilisation</a:t>
          </a:r>
        </a:p>
        <a:p>
          <a:endParaRPr lang="fr-FR" sz="1100">
            <a:latin typeface="Candara" panose="020E0502030303020204" pitchFamily="34" charset="0"/>
          </a:endParaRPr>
        </a:p>
        <a:p>
          <a:endParaRPr lang="fr-FR" sz="1100">
            <a:latin typeface="Candara" panose="020E0502030303020204" pitchFamily="34" charset="0"/>
          </a:endParaRPr>
        </a:p>
        <a:p>
          <a:r>
            <a:rPr lang="fr-FR" sz="1200" b="1" u="none">
              <a:latin typeface="Candara" panose="020E0502030303020204" pitchFamily="34" charset="0"/>
            </a:rPr>
            <a:t>Objectif du fichier :</a:t>
          </a:r>
        </a:p>
        <a:p>
          <a:r>
            <a:rPr lang="fr-FR" sz="1100">
              <a:latin typeface="Candara" panose="020E0502030303020204" pitchFamily="34" charset="0"/>
            </a:rPr>
            <a:t>Ce fichier vous aidera à cartographier</a:t>
          </a:r>
          <a:r>
            <a:rPr lang="fr-FR" sz="1100" baseline="0">
              <a:latin typeface="Candara" panose="020E0502030303020204" pitchFamily="34" charset="0"/>
            </a:rPr>
            <a:t> les risques de vos processus, à évaluer leur criticité dans le but de définir des réponses aux risques adéquates. </a:t>
          </a:r>
        </a:p>
        <a:p>
          <a:endParaRPr lang="fr-FR" sz="1100" baseline="0">
            <a:latin typeface="Candara" panose="020E0502030303020204" pitchFamily="34" charset="0"/>
          </a:endParaRPr>
        </a:p>
        <a:p>
          <a:r>
            <a:rPr lang="fr-FR" sz="1100" b="1" baseline="0">
              <a:latin typeface="Candara" panose="020E0502030303020204" pitchFamily="34" charset="0"/>
            </a:rPr>
            <a:t>          </a:t>
          </a:r>
          <a:r>
            <a:rPr lang="fr-FR" sz="1100" b="1">
              <a:latin typeface="Candara" panose="020E0502030303020204" pitchFamily="34" charset="0"/>
            </a:rPr>
            <a:t>Important</a:t>
          </a:r>
          <a:endParaRPr lang="fr-FR" sz="1100">
            <a:latin typeface="Candara" panose="020E0502030303020204" pitchFamily="34" charset="0"/>
          </a:endParaRPr>
        </a:p>
        <a:p>
          <a:r>
            <a:rPr lang="fr-FR" sz="1100" baseline="0">
              <a:latin typeface="Candara" panose="020E0502030303020204" pitchFamily="34" charset="0"/>
            </a:rPr>
            <a:t>Veillez à ne rien modifier sur la feuille "Dashboard" pour le bon fonctionnement du fichier.</a:t>
          </a:r>
        </a:p>
        <a:p>
          <a:endParaRPr lang="fr-FR" sz="1100" baseline="0">
            <a:latin typeface="Candara" panose="020E0502030303020204" pitchFamily="34" charset="0"/>
          </a:endParaRPr>
        </a:p>
        <a:p>
          <a:r>
            <a:rPr lang="fr-FR" sz="1200" b="1" baseline="0">
              <a:solidFill>
                <a:schemeClr val="dk1"/>
              </a:solidFill>
              <a:effectLst/>
              <a:latin typeface="Candara" panose="020E0502030303020204" pitchFamily="34" charset="0"/>
              <a:ea typeface="+mn-ea"/>
              <a:cs typeface="+mn-cs"/>
            </a:rPr>
            <a:t>Activation des macros :</a:t>
          </a:r>
          <a:endParaRPr lang="fr-FR" sz="1200">
            <a:effectLst/>
            <a:latin typeface="Candara" panose="020E0502030303020204" pitchFamily="34" charset="0"/>
          </a:endParaRPr>
        </a:p>
        <a:p>
          <a:r>
            <a:rPr lang="fr-FR" sz="1100" baseline="0">
              <a:latin typeface="Candara" panose="020E0502030303020204" pitchFamily="34" charset="0"/>
            </a:rPr>
            <a:t>Pour s'assurer du bon fonctionnement du template, vérifiez que les macros sont activées</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200" b="1" baseline="0">
              <a:solidFill>
                <a:schemeClr val="dk1"/>
              </a:solidFill>
              <a:effectLst/>
              <a:latin typeface="Candara" panose="020E0502030303020204" pitchFamily="34" charset="0"/>
              <a:ea typeface="+mn-ea"/>
              <a:cs typeface="+mn-cs"/>
            </a:rPr>
            <a:t>Déblocage des macros : </a:t>
          </a:r>
          <a:endParaRPr lang="fr-FR" sz="1200">
            <a:effectLst/>
            <a:latin typeface="Candara" panose="020E0502030303020204" pitchFamily="34" charset="0"/>
          </a:endParaRPr>
        </a:p>
        <a:p>
          <a:r>
            <a:rPr lang="fr-FR" sz="1100" baseline="0">
              <a:solidFill>
                <a:schemeClr val="dk1"/>
              </a:solidFill>
              <a:effectLst/>
              <a:latin typeface="Candara" panose="020E0502030303020204" pitchFamily="34" charset="0"/>
              <a:ea typeface="+mn-ea"/>
              <a:cs typeface="+mn-cs"/>
            </a:rPr>
            <a:t>Si un message rouge apparait en haut du fichier, procédez comme suit pour débloquer les macros : </a:t>
          </a:r>
          <a:endParaRPr lang="fr-FR">
            <a:effectLst/>
            <a:latin typeface="Candara" panose="020E0502030303020204" pitchFamily="34" charset="0"/>
          </a:endParaRPr>
        </a:p>
        <a:p>
          <a:r>
            <a:rPr lang="fr-FR" sz="1100" baseline="0">
              <a:solidFill>
                <a:schemeClr val="dk1"/>
              </a:solidFill>
              <a:effectLst/>
              <a:latin typeface="Candara" panose="020E0502030303020204" pitchFamily="34" charset="0"/>
              <a:ea typeface="+mn-ea"/>
              <a:cs typeface="+mn-cs"/>
            </a:rPr>
            <a:t>Pour ce faire, cliquez sur le </a:t>
          </a:r>
          <a:r>
            <a:rPr lang="fr-FR" sz="1100" b="1" baseline="0">
              <a:solidFill>
                <a:schemeClr val="dk1"/>
              </a:solidFill>
              <a:effectLst/>
              <a:latin typeface="Candara" panose="020E0502030303020204" pitchFamily="34" charset="0"/>
              <a:ea typeface="+mn-ea"/>
              <a:cs typeface="+mn-cs"/>
            </a:rPr>
            <a:t>bouton droit </a:t>
          </a:r>
          <a:r>
            <a:rPr lang="fr-FR" sz="1100" baseline="0">
              <a:solidFill>
                <a:schemeClr val="dk1"/>
              </a:solidFill>
              <a:effectLst/>
              <a:latin typeface="Candara" panose="020E0502030303020204" pitchFamily="34" charset="0"/>
              <a:ea typeface="+mn-ea"/>
              <a:cs typeface="+mn-cs"/>
            </a:rPr>
            <a:t>sur le fichier avant de l'ouvrir, choisissez </a:t>
          </a:r>
          <a:r>
            <a:rPr lang="fr-FR" sz="1100" b="1" baseline="0">
              <a:solidFill>
                <a:schemeClr val="dk1"/>
              </a:solidFill>
              <a:effectLst/>
              <a:latin typeface="Candara" panose="020E0502030303020204" pitchFamily="34" charset="0"/>
              <a:ea typeface="+mn-ea"/>
              <a:cs typeface="+mn-cs"/>
            </a:rPr>
            <a:t>Propriétés</a:t>
          </a:r>
          <a:r>
            <a:rPr lang="fr-FR" sz="1100" baseline="0">
              <a:solidFill>
                <a:schemeClr val="dk1"/>
              </a:solidFill>
              <a:effectLst/>
              <a:latin typeface="Candara" panose="020E0502030303020204" pitchFamily="34" charset="0"/>
              <a:ea typeface="+mn-ea"/>
              <a:cs typeface="+mn-cs"/>
            </a:rPr>
            <a:t>, puis activez la case à cocher </a:t>
          </a:r>
          <a:r>
            <a:rPr lang="fr-FR" sz="1100" b="1" baseline="0">
              <a:solidFill>
                <a:schemeClr val="dk1"/>
              </a:solidFill>
              <a:effectLst/>
              <a:latin typeface="Candara" panose="020E0502030303020204" pitchFamily="34" charset="0"/>
              <a:ea typeface="+mn-ea"/>
              <a:cs typeface="+mn-cs"/>
            </a:rPr>
            <a:t>Débloquer</a:t>
          </a:r>
          <a:r>
            <a:rPr lang="fr-FR" sz="1100" baseline="0">
              <a:solidFill>
                <a:schemeClr val="dk1"/>
              </a:solidFill>
              <a:effectLst/>
              <a:latin typeface="Candara" panose="020E0502030303020204" pitchFamily="34" charset="0"/>
              <a:ea typeface="+mn-ea"/>
              <a:cs typeface="+mn-cs"/>
            </a:rPr>
            <a:t> sous l’onglet </a:t>
          </a:r>
          <a:r>
            <a:rPr lang="fr-FR" sz="1100" b="1" baseline="0">
              <a:solidFill>
                <a:schemeClr val="dk1"/>
              </a:solidFill>
              <a:effectLst/>
              <a:latin typeface="Candara" panose="020E0502030303020204" pitchFamily="34" charset="0"/>
              <a:ea typeface="+mn-ea"/>
              <a:cs typeface="+mn-cs"/>
            </a:rPr>
            <a:t>Général</a:t>
          </a:r>
          <a:r>
            <a:rPr lang="fr-FR" sz="1100" baseline="0">
              <a:solidFill>
                <a:schemeClr val="dk1"/>
              </a:solidFill>
              <a:effectLst/>
              <a:latin typeface="Candara" panose="020E0502030303020204" pitchFamily="34" charset="0"/>
              <a:ea typeface="+mn-ea"/>
              <a:cs typeface="+mn-cs"/>
            </a:rPr>
            <a:t>.</a:t>
          </a:r>
          <a:endParaRPr lang="fr-FR">
            <a:effectLst/>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200" b="1" baseline="0">
              <a:latin typeface="Candara" panose="020E0502030303020204" pitchFamily="34" charset="0"/>
            </a:rPr>
            <a:t>Exploitation du fichier</a:t>
          </a:r>
          <a:endParaRPr lang="fr-FR" sz="1100" b="1" baseline="0">
            <a:latin typeface="Candara" panose="020E0502030303020204" pitchFamily="34" charset="0"/>
          </a:endParaRPr>
        </a:p>
        <a:p>
          <a:endParaRPr lang="fr-FR" sz="1100" baseline="0">
            <a:latin typeface="Candara" panose="020E0502030303020204" pitchFamily="34" charset="0"/>
          </a:endParaRPr>
        </a:p>
        <a:p>
          <a:r>
            <a:rPr lang="fr-FR" sz="1100" baseline="0">
              <a:latin typeface="Candara" panose="020E0502030303020204" pitchFamily="34" charset="0"/>
            </a:rPr>
            <a:t>1. </a:t>
          </a:r>
          <a:r>
            <a:rPr lang="fr-FR" sz="1100" u="sng" baseline="0">
              <a:latin typeface="Candara" panose="020E0502030303020204" pitchFamily="34" charset="0"/>
            </a:rPr>
            <a:t>Enregistrement des données</a:t>
          </a:r>
        </a:p>
        <a:p>
          <a:r>
            <a:rPr lang="fr-FR" sz="1100" baseline="0">
              <a:latin typeface="Candara" panose="020E0502030303020204" pitchFamily="34" charset="0"/>
            </a:rPr>
            <a:t>Commencez par remplir la feuille "registre des risques" comme suit :</a:t>
          </a:r>
        </a:p>
        <a:p>
          <a:r>
            <a:rPr lang="fr-FR" sz="1100" b="1" baseline="0">
              <a:latin typeface="Candara" panose="020E0502030303020204" pitchFamily="34" charset="0"/>
            </a:rPr>
            <a:t>Date de mise à jour </a:t>
          </a:r>
          <a:r>
            <a:rPr lang="fr-FR" sz="1100" baseline="0">
              <a:latin typeface="Candara" panose="020E0502030303020204" pitchFamily="34" charset="0"/>
            </a:rPr>
            <a:t>: Choisissez la date de mise à jour du fichier. Celle-ci sera automatiquement mise à jour sur cette feuille :</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1" baseline="0">
              <a:latin typeface="Candara" panose="020E0502030303020204" pitchFamily="34" charset="0"/>
            </a:rPr>
            <a:t>Processus</a:t>
          </a:r>
          <a:r>
            <a:rPr lang="fr-FR" sz="1100" baseline="0">
              <a:latin typeface="Candara" panose="020E0502030303020204" pitchFamily="34" charset="0"/>
            </a:rPr>
            <a:t> : Le processus objet de l'analyse</a:t>
          </a:r>
        </a:p>
        <a:p>
          <a:r>
            <a:rPr lang="fr-FR" sz="1100" b="1" baseline="0">
              <a:latin typeface="Candara" panose="020E0502030303020204" pitchFamily="34" charset="0"/>
            </a:rPr>
            <a:t>Risques associés : Les risques identifiés et associés à chaque processus</a:t>
          </a:r>
        </a:p>
        <a:p>
          <a:r>
            <a:rPr lang="fr-FR" sz="1100" b="1" baseline="0">
              <a:latin typeface="Candara" panose="020E0502030303020204" pitchFamily="34" charset="0"/>
            </a:rPr>
            <a:t>Critères et leurs niveaux d'impact </a:t>
          </a:r>
          <a:r>
            <a:rPr lang="fr-FR" sz="1100" baseline="0">
              <a:latin typeface="Candara" panose="020E0502030303020204" pitchFamily="34" charset="0"/>
            </a:rPr>
            <a:t>: Nommez vos propres critères dans la feuille de paramètrage et choisissez les dans les listes déroulantes dans votre registre des risques.</a:t>
          </a:r>
        </a:p>
        <a:p>
          <a:r>
            <a:rPr lang="fr-FR" sz="1100" baseline="0">
              <a:latin typeface="Candara" panose="020E0502030303020204" pitchFamily="34" charset="0"/>
            </a:rPr>
            <a:t>Les niveaux d'impact seront affichés systématiquement dans votre registre des risques en fonction du critère d'appréciation de l'impact choisi</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1" baseline="0">
              <a:latin typeface="Candara" panose="020E0502030303020204" pitchFamily="34" charset="0"/>
            </a:rPr>
            <a:t>Moyenne des niveaux d'impact</a:t>
          </a:r>
          <a:r>
            <a:rPr lang="fr-FR" sz="1100" baseline="0">
              <a:latin typeface="Candara" panose="020E0502030303020204" pitchFamily="34" charset="0"/>
            </a:rPr>
            <a:t> : Celle-ci est calculée automatiquement en faisant une simple moyenne des niveaux d'impact obtenus </a:t>
          </a:r>
        </a:p>
        <a:p>
          <a:r>
            <a:rPr lang="fr-FR" sz="1100" b="1" baseline="0">
              <a:solidFill>
                <a:schemeClr val="dk1"/>
              </a:solidFill>
              <a:effectLst/>
              <a:latin typeface="Candara" panose="020E0502030303020204" pitchFamily="34" charset="0"/>
              <a:ea typeface="+mn-ea"/>
              <a:cs typeface="+mn-cs"/>
            </a:rPr>
            <a:t>Fréquence</a:t>
          </a:r>
          <a:r>
            <a:rPr lang="fr-FR" sz="1100" baseline="0">
              <a:solidFill>
                <a:schemeClr val="dk1"/>
              </a:solidFill>
              <a:effectLst/>
              <a:latin typeface="Candara" panose="020E0502030303020204" pitchFamily="34" charset="0"/>
              <a:ea typeface="+mn-ea"/>
              <a:cs typeface="+mn-cs"/>
            </a:rPr>
            <a:t> : Choisissez le niveau de fréquence ou probabilité d'occurence du risque à partir de la liste déroulante (Faible, Moyenne, Fréquente, Très fréquente).</a:t>
          </a:r>
          <a:endParaRPr lang="fr-FR" sz="1100" baseline="0">
            <a:latin typeface="Candara" panose="020E0502030303020204" pitchFamily="34" charset="0"/>
          </a:endParaRPr>
        </a:p>
        <a:p>
          <a:r>
            <a:rPr lang="fr-FR" sz="1100" b="1" baseline="0">
              <a:latin typeface="Candara" panose="020E0502030303020204" pitchFamily="34" charset="0"/>
            </a:rPr>
            <a:t>Code impact : </a:t>
          </a:r>
          <a:r>
            <a:rPr lang="fr-FR" sz="1100" b="0" baseline="0">
              <a:latin typeface="Candara" panose="020E0502030303020204" pitchFamily="34" charset="0"/>
            </a:rPr>
            <a:t>Le code impact est renseigné automatiquement en fonction de la "moyenne des niveaux d'impact" obtenue,</a:t>
          </a:r>
        </a:p>
        <a:p>
          <a:r>
            <a:rPr lang="fr-FR" sz="1100" b="0" baseline="0">
              <a:latin typeface="Candara" panose="020E0502030303020204" pitchFamily="34" charset="0"/>
            </a:rPr>
            <a:t>Par exemple si la moyenne est égale ou légèrement supérieur à 2, le code impact affiché sera B</a:t>
          </a: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1" baseline="0">
            <a:latin typeface="Candara" panose="020E0502030303020204" pitchFamily="34" charset="0"/>
          </a:endParaRPr>
        </a:p>
        <a:p>
          <a:r>
            <a:rPr lang="fr-FR" sz="1100" b="1" baseline="0">
              <a:latin typeface="Candara" panose="020E0502030303020204" pitchFamily="34" charset="0"/>
            </a:rPr>
            <a:t>Code fréquence</a:t>
          </a:r>
          <a:r>
            <a:rPr lang="fr-FR" sz="1100" baseline="0">
              <a:latin typeface="Candara" panose="020E0502030303020204" pitchFamily="34" charset="0"/>
            </a:rPr>
            <a:t> : le code fréquence est attribué systématiquement pour chaque risque, en fonction du niveau de fréquence choisi (Faible, Moyenne, ...)</a:t>
          </a:r>
        </a:p>
        <a:p>
          <a:r>
            <a:rPr lang="fr-FR" sz="1100" b="1" baseline="0">
              <a:latin typeface="Candara" panose="020E0502030303020204" pitchFamily="34" charset="0"/>
            </a:rPr>
            <a:t>Evaluation des risques</a:t>
          </a:r>
          <a:r>
            <a:rPr lang="fr-FR" sz="1100" baseline="0">
              <a:latin typeface="Candara" panose="020E0502030303020204" pitchFamily="34" charset="0"/>
            </a:rPr>
            <a:t> : Le niveau de criticité est obtenu systmétiquement par la multiplication des niveaux de fréquence et d'impact : </a:t>
          </a:r>
        </a:p>
        <a:p>
          <a:r>
            <a:rPr lang="fr-FR" sz="1100" u="sng" baseline="0">
              <a:latin typeface="Candara" panose="020E0502030303020204" pitchFamily="34" charset="0"/>
            </a:rPr>
            <a:t>Niveau de criticité </a:t>
          </a:r>
          <a:r>
            <a:rPr lang="fr-FR" sz="1100" baseline="0">
              <a:latin typeface="Candara" panose="020E0502030303020204" pitchFamily="34" charset="0"/>
            </a:rPr>
            <a:t>= Impact * Fréquence. Exemple : Impact (A) x Fréquence (B) = AB. </a:t>
          </a:r>
        </a:p>
        <a:p>
          <a:r>
            <a:rPr lang="fr-FR" sz="1100" baseline="0">
              <a:latin typeface="Candara" panose="020E0502030303020204" pitchFamily="34" charset="0"/>
            </a:rPr>
            <a:t>Une note de criticité est obtenue pour chaque niveau de criticité (Cf. tableau </a:t>
          </a:r>
          <a:r>
            <a:rPr lang="fr-FR" sz="1100" i="1" baseline="0">
              <a:latin typeface="Candara" panose="020E0502030303020204" pitchFamily="34" charset="0"/>
            </a:rPr>
            <a:t>d'évaluation des risques </a:t>
          </a:r>
          <a:r>
            <a:rPr lang="fr-FR" sz="1100" baseline="0">
              <a:latin typeface="Candara" panose="020E0502030303020204" pitchFamily="34" charset="0"/>
            </a:rPr>
            <a:t>dans la feuille des paramètres)</a:t>
          </a:r>
        </a:p>
        <a:p>
          <a:r>
            <a:rPr lang="fr-FR" sz="1100" b="1" i="0" baseline="0">
              <a:latin typeface="Candara" panose="020E0502030303020204" pitchFamily="34" charset="0"/>
            </a:rPr>
            <a:t>Plan d'action </a:t>
          </a:r>
          <a:r>
            <a:rPr lang="fr-FR" sz="1100" b="0" i="0" baseline="0">
              <a:latin typeface="Candara" panose="020E0502030303020204" pitchFamily="34" charset="0"/>
            </a:rPr>
            <a:t>:</a:t>
          </a:r>
          <a:r>
            <a:rPr lang="fr-FR" sz="1100" b="1" i="0" baseline="0">
              <a:latin typeface="Candara" panose="020E0502030303020204" pitchFamily="34" charset="0"/>
            </a:rPr>
            <a:t> </a:t>
          </a:r>
          <a:r>
            <a:rPr lang="fr-FR" sz="1100" b="0" i="0" baseline="0">
              <a:latin typeface="Candara" panose="020E0502030303020204" pitchFamily="34" charset="0"/>
            </a:rPr>
            <a:t>Choisissez dans la liste déroulante, la réponse face au risque (Accepter, à atténuer, à éliminer, à transférer), puis renseignez l'objet de l'action (Quoi), son responsable (Qui), et le délai d'exécution (Quand)</a:t>
          </a:r>
          <a:endParaRPr lang="fr-FR" sz="1100" b="1" i="0" baseline="0">
            <a:latin typeface="Candara" panose="020E0502030303020204" pitchFamily="34" charset="0"/>
          </a:endParaRPr>
        </a:p>
        <a:p>
          <a:r>
            <a:rPr lang="fr-FR" sz="1100" b="1" baseline="0">
              <a:latin typeface="Candara" panose="020E0502030303020204" pitchFamily="34" charset="0"/>
            </a:rPr>
            <a:t>Etat</a:t>
          </a:r>
          <a:r>
            <a:rPr lang="fr-FR" sz="1100" baseline="0">
              <a:latin typeface="Candara" panose="020E0502030303020204" pitchFamily="34" charset="0"/>
            </a:rPr>
            <a:t> : Choisissez dans la liste déroulante, l'état d'avancement (Fait, encours, non fait)</a:t>
          </a:r>
        </a:p>
        <a:p>
          <a:r>
            <a:rPr lang="fr-FR" sz="1100" b="1" baseline="0">
              <a:latin typeface="Candara" panose="020E0502030303020204" pitchFamily="34" charset="0"/>
            </a:rPr>
            <a:t>Méthode de surveillance </a:t>
          </a:r>
          <a:r>
            <a:rPr lang="fr-FR" sz="1100" baseline="0">
              <a:latin typeface="Candara" panose="020E0502030303020204" pitchFamily="34" charset="0"/>
            </a:rPr>
            <a:t>: Renseignez la méthode de surveillance du risque en question</a:t>
          </a:r>
        </a:p>
        <a:p>
          <a:r>
            <a:rPr lang="fr-FR" sz="1100" b="1" baseline="0">
              <a:latin typeface="Candara" panose="020E0502030303020204" pitchFamily="34" charset="0"/>
            </a:rPr>
            <a:t>Efficacité</a:t>
          </a:r>
          <a:r>
            <a:rPr lang="fr-FR" sz="1100" baseline="0">
              <a:latin typeface="Candara" panose="020E0502030303020204" pitchFamily="34" charset="0"/>
            </a:rPr>
            <a:t> : Cochez "Efficace" ou "Pas Efficace" en cliquant sur le signe (✓) ou sur (X) </a:t>
          </a:r>
        </a:p>
        <a:p>
          <a:r>
            <a:rPr lang="fr-FR" sz="1100" b="1" baseline="0">
              <a:latin typeface="Candara" panose="020E0502030303020204" pitchFamily="34" charset="0"/>
            </a:rPr>
            <a:t>Observations</a:t>
          </a:r>
          <a:r>
            <a:rPr lang="fr-FR" sz="1100" baseline="0">
              <a:latin typeface="Candara" panose="020E0502030303020204" pitchFamily="34" charset="0"/>
            </a:rPr>
            <a:t> : Notez vos commentaires et observations éventuelles</a:t>
          </a:r>
        </a:p>
        <a:p>
          <a:endParaRPr lang="fr-FR" sz="1100" baseline="0">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2. </a:t>
          </a:r>
          <a:r>
            <a:rPr lang="fr-FR" sz="1100" u="sng" baseline="0">
              <a:solidFill>
                <a:schemeClr val="dk1"/>
              </a:solidFill>
              <a:effectLst/>
              <a:latin typeface="Candara" panose="020E0502030303020204" pitchFamily="34" charset="0"/>
              <a:ea typeface="+mn-ea"/>
              <a:cs typeface="+mn-cs"/>
            </a:rPr>
            <a:t>Analyse des données dans le dashboard</a:t>
          </a:r>
          <a:endParaRPr lang="fr-FR">
            <a:effectLst/>
            <a:latin typeface="Candara" panose="020E0502030303020204" pitchFamily="34" charset="0"/>
          </a:endParaRPr>
        </a:p>
        <a:p>
          <a:r>
            <a:rPr lang="fr-FR" sz="1100" baseline="0">
              <a:latin typeface="Candara" panose="020E0502030303020204" pitchFamily="34" charset="0"/>
            </a:rPr>
            <a:t>Consultez le tableau de bord pour avoir une vue synthétique sur la répartition des risques selon leurs niveaux de criticité, ainsi que les actions de réponse et leur état d'avancement.</a:t>
          </a:r>
        </a:p>
        <a:p>
          <a:endParaRPr lang="fr-FR" sz="1100" baseline="0">
            <a:latin typeface="Candara" panose="020E0502030303020204" pitchFamily="34" charset="0"/>
          </a:endParaRPr>
        </a:p>
        <a:p>
          <a:r>
            <a:rPr lang="fr-FR" sz="1200" b="1" baseline="0">
              <a:latin typeface="Candara" panose="020E0502030303020204" pitchFamily="34" charset="0"/>
            </a:rPr>
            <a:t>Personnalisation du fichier :</a:t>
          </a:r>
          <a:r>
            <a:rPr lang="fr-FR" sz="1200" b="0" baseline="0">
              <a:latin typeface="Candara" panose="020E0502030303020204" pitchFamily="34" charset="0"/>
            </a:rPr>
            <a:t> toute modification des libellés et des critères se fait dans la feuille "paramètres"</a:t>
          </a:r>
        </a:p>
        <a:p>
          <a:endParaRPr lang="fr-FR" sz="1200" b="0" baseline="0">
            <a:latin typeface="Candara" panose="020E0502030303020204" pitchFamily="34" charset="0"/>
          </a:endParaRPr>
        </a:p>
        <a:p>
          <a:r>
            <a:rPr lang="fr-FR" sz="1200" b="0" baseline="0">
              <a:latin typeface="Candara" panose="020E0502030303020204" pitchFamily="34" charset="0"/>
            </a:rPr>
            <a:t>1. </a:t>
          </a:r>
          <a:r>
            <a:rPr lang="fr-FR" sz="1200" b="0" u="sng" baseline="0">
              <a:latin typeface="Candara" panose="020E0502030303020204" pitchFamily="34" charset="0"/>
            </a:rPr>
            <a:t>Changement des libellés </a:t>
          </a:r>
        </a:p>
        <a:p>
          <a:r>
            <a:rPr lang="fr-FR" sz="1200" b="0" baseline="0">
              <a:latin typeface="Candara" panose="020E0502030303020204" pitchFamily="34" charset="0"/>
            </a:rPr>
            <a:t>Pour changer l'un des libellés suivants :</a:t>
          </a:r>
        </a:p>
        <a:p>
          <a:r>
            <a:rPr lang="fr-FR" sz="1200" b="0" baseline="0">
              <a:latin typeface="Candara" panose="020E0502030303020204" pitchFamily="34" charset="0"/>
            </a:rPr>
            <a:t>* Critères d'impact : image de marque, aspect financier...</a:t>
          </a:r>
        </a:p>
        <a:p>
          <a:r>
            <a:rPr lang="fr-FR" sz="1200" b="0" baseline="0">
              <a:latin typeface="Candara" panose="020E0502030303020204" pitchFamily="34" charset="0"/>
            </a:rPr>
            <a:t>* Niveaux de criticité : Modéré, élevé, critique...</a:t>
          </a:r>
        </a:p>
        <a:p>
          <a:r>
            <a:rPr lang="fr-FR" sz="1200" b="0" baseline="0">
              <a:latin typeface="Candara" panose="020E0502030303020204" pitchFamily="34" charset="0"/>
            </a:rPr>
            <a:t>* Réponses aux risques : Accepter, à atténuer...</a:t>
          </a:r>
        </a:p>
        <a:p>
          <a:r>
            <a:rPr lang="fr-FR" sz="1200" b="0" baseline="0">
              <a:latin typeface="Candara" panose="020E0502030303020204" pitchFamily="34" charset="0"/>
            </a:rPr>
            <a:t>* Code de fréquence : A, B, C, D...</a:t>
          </a:r>
        </a:p>
        <a:p>
          <a:r>
            <a:rPr lang="fr-FR" sz="1200" b="0" baseline="0">
              <a:latin typeface="Candara" panose="020E0502030303020204" pitchFamily="34" charset="0"/>
            </a:rPr>
            <a:t>* Code d'impact : </a:t>
          </a:r>
          <a:r>
            <a:rPr lang="fr-FR" sz="1100" b="0" baseline="0">
              <a:solidFill>
                <a:schemeClr val="dk1"/>
              </a:solidFill>
              <a:effectLst/>
              <a:latin typeface="Candara" panose="020E0502030303020204" pitchFamily="34" charset="0"/>
              <a:ea typeface="+mn-ea"/>
              <a:cs typeface="+mn-cs"/>
            </a:rPr>
            <a:t>A, B, C, D...</a:t>
          </a:r>
          <a:endParaRPr lang="fr-FR" sz="1200" b="0" baseline="0">
            <a:latin typeface="Candara" panose="020E0502030303020204" pitchFamily="34" charset="0"/>
          </a:endParaRPr>
        </a:p>
        <a:p>
          <a:r>
            <a:rPr lang="fr-FR" sz="1200" b="0" baseline="0">
              <a:latin typeface="Candara" panose="020E0502030303020204" pitchFamily="34" charset="0"/>
            </a:rPr>
            <a:t>Allez dans les paramètres, puis changez le libellé en question :</a:t>
          </a: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r>
            <a:rPr lang="fr-FR" sz="1100" u="sng" baseline="0">
              <a:latin typeface="Candara" panose="020E0502030303020204" pitchFamily="34" charset="0"/>
            </a:rPr>
            <a:t>2. Ajout de lignes :</a:t>
          </a:r>
        </a:p>
        <a:p>
          <a:r>
            <a:rPr lang="fr-FR" sz="1100" baseline="0">
              <a:latin typeface="Candara" panose="020E0502030303020204" pitchFamily="34" charset="0"/>
            </a:rPr>
            <a:t>Dans la colonne D de la feuille Registre des risques, il est possible de dupliquer une ligne à l'intérieur du registre en sélectionnant la cellule dans la colonne D (sur la ligne à dupliquer) puis de cliquer sur le signe (+) :</a:t>
          </a: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r>
            <a:rPr lang="fr-FR" sz="1100" baseline="0">
              <a:latin typeface="Candara" panose="020E0502030303020204" pitchFamily="34" charset="0"/>
            </a:rPr>
            <a:t>* </a:t>
          </a:r>
          <a:r>
            <a:rPr lang="fr-FR" sz="1100" u="sng" baseline="0">
              <a:latin typeface="Candara" panose="020E0502030303020204" pitchFamily="34" charset="0"/>
            </a:rPr>
            <a:t>Supression de lignes :</a:t>
          </a:r>
        </a:p>
        <a:p>
          <a:r>
            <a:rPr lang="fr-FR" sz="1100" baseline="0">
              <a:latin typeface="Candara" panose="020E0502030303020204" pitchFamily="34" charset="0"/>
            </a:rPr>
            <a:t>La suppression d'une ligne peut se faire de la même manière, mais cette fois-ci en cliquant sur le signe (-)</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 </a:t>
          </a:r>
          <a:r>
            <a:rPr lang="fr-FR" sz="1100" u="sng" baseline="0">
              <a:solidFill>
                <a:schemeClr val="dk1"/>
              </a:solidFill>
              <a:effectLst/>
              <a:latin typeface="Candara" panose="020E0502030303020204" pitchFamily="34" charset="0"/>
              <a:ea typeface="+mn-ea"/>
              <a:cs typeface="+mn-cs"/>
            </a:rPr>
            <a:t>Modification/Ajout/supression des coefficients </a:t>
          </a:r>
          <a:r>
            <a:rPr lang="fr-FR" sz="1100" baseline="0">
              <a:solidFill>
                <a:schemeClr val="dk1"/>
              </a:solidFill>
              <a:effectLst/>
              <a:latin typeface="Candara" panose="020E0502030303020204" pitchFamily="34" charset="0"/>
              <a:ea typeface="+mn-ea"/>
              <a:cs typeface="+mn-cs"/>
            </a:rPr>
            <a:t>(impact, fréquence, criticité) :</a:t>
          </a: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Les coefficients (poids) des risques sont paramétrables dans la feuille paramètres</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1. </a:t>
          </a:r>
          <a:r>
            <a:rPr lang="fr-FR" sz="1100" b="1" baseline="0">
              <a:solidFill>
                <a:schemeClr val="dk1"/>
              </a:solidFill>
              <a:effectLst/>
              <a:latin typeface="Candara" panose="020E0502030303020204" pitchFamily="34" charset="0"/>
              <a:ea typeface="+mn-ea"/>
              <a:cs typeface="+mn-cs"/>
            </a:rPr>
            <a:t>Impact</a:t>
          </a:r>
          <a:r>
            <a:rPr lang="fr-FR" sz="1100" baseline="0">
              <a:solidFill>
                <a:schemeClr val="dk1"/>
              </a:solidFill>
              <a:effectLst/>
              <a:latin typeface="Candara" panose="020E0502030303020204" pitchFamily="34" charset="0"/>
              <a:ea typeface="+mn-ea"/>
              <a:cs typeface="+mn-cs"/>
            </a:rPr>
            <a:t> : Les coefficients varient de 0 pour "Pas d'impact" à 4 "Impact significatif"</a:t>
          </a: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ajouter un nouveau coefficient entre les lignes existantes, positionnez-vous sur la cellule au-dessus de laquelle vous voulez créer la nouvelle cellule, puis cliquez sur le signe (+)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Vous pouvez également ajouter un nouveau coefficient juste en dessous du tableau, en modifiant directement la cellule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supprimer une cellule, il suffit de se positionner sur la cellule à supprimer, puis de cliquer sur le signe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ajouter un nouveau critère d'impact : cliquez sur "ajoutez un nouveau critère d'impact", puis nommez-le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Pour supprimer un critère d'impact, il suffit de cliquer sur le signe de supression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Code impact : de la même façon, vous pouvez ajouter ou supprimer un code impact</a:t>
          </a:r>
          <a:endParaRPr lang="fr-FR">
            <a:effectLst/>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2. </a:t>
          </a:r>
          <a:r>
            <a:rPr lang="fr-FR" sz="1100" b="1" baseline="0">
              <a:solidFill>
                <a:schemeClr val="dk1"/>
              </a:solidFill>
              <a:effectLst/>
              <a:latin typeface="Candara" panose="020E0502030303020204" pitchFamily="34" charset="0"/>
              <a:ea typeface="+mn-ea"/>
              <a:cs typeface="+mn-cs"/>
            </a:rPr>
            <a:t>Fréquence</a:t>
          </a:r>
          <a:r>
            <a:rPr lang="fr-FR" sz="1100" baseline="0">
              <a:solidFill>
                <a:schemeClr val="dk1"/>
              </a:solidFill>
              <a:effectLst/>
              <a:latin typeface="Candara" panose="020E0502030303020204" pitchFamily="34" charset="0"/>
              <a:ea typeface="+mn-ea"/>
              <a:cs typeface="+mn-cs"/>
            </a:rPr>
            <a:t> : Les coefficients varient de A pour "Faible" à D "Très fréquente"</a:t>
          </a:r>
          <a:endParaRPr lang="fr-FR">
            <a:effectLst/>
            <a:latin typeface="Candara" panose="020E0502030303020204" pitchFamily="34" charset="0"/>
          </a:endParaRPr>
        </a:p>
        <a:p>
          <a:r>
            <a:rPr lang="fr-FR" sz="1100" baseline="0">
              <a:latin typeface="Candara" panose="020E0502030303020204" pitchFamily="34" charset="0"/>
            </a:rPr>
            <a:t>L'ajout et la supression fonctionne de la même façon décrite pour les critères et niveaux d'impact</a:t>
          </a:r>
        </a:p>
        <a:p>
          <a:endParaRPr lang="fr-FR" sz="1100" baseline="0">
            <a:latin typeface="Candara" panose="020E0502030303020204" pitchFamily="34" charset="0"/>
          </a:endParaRPr>
        </a:p>
        <a:p>
          <a:r>
            <a:rPr lang="fr-FR" sz="1100" baseline="0">
              <a:latin typeface="Candara" panose="020E0502030303020204" pitchFamily="34" charset="0"/>
            </a:rPr>
            <a:t>3. </a:t>
          </a:r>
          <a:r>
            <a:rPr lang="fr-FR" sz="1100" b="1" baseline="0">
              <a:latin typeface="Candara" panose="020E0502030303020204" pitchFamily="34" charset="0"/>
            </a:rPr>
            <a:t>Evaluation des risques </a:t>
          </a:r>
          <a:r>
            <a:rPr lang="fr-FR" sz="1100" baseline="0">
              <a:latin typeface="Candara" panose="020E0502030303020204" pitchFamily="34" charset="0"/>
            </a:rPr>
            <a:t>: Le tableau multiplie le "code impact" par le "code fréquence" :</a:t>
          </a:r>
        </a:p>
        <a:p>
          <a:r>
            <a:rPr lang="fr-FR" sz="1100" baseline="0">
              <a:latin typeface="Candara" panose="020E0502030303020204" pitchFamily="34" charset="0"/>
            </a:rPr>
            <a:t>Exemple : Code impact (A) et code fréquence (B) = Criticité (AB = Modéré)</a:t>
          </a:r>
        </a:p>
        <a:p>
          <a:r>
            <a:rPr lang="fr-FR" sz="1100" baseline="0">
              <a:latin typeface="Candara" panose="020E0502030303020204" pitchFamily="34" charset="0"/>
            </a:rPr>
            <a:t>Pour chaque combinaison (AA, AB, AC...) vous pouvez nommer le niveau de criticité correspondant sur une échelle de 1 à 4 ou plus.</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aseline="0">
              <a:latin typeface="Candara" panose="020E0502030303020204" pitchFamily="34" charset="0"/>
            </a:rPr>
            <a:t>4. Réponse aux risques : Vous pouvez ajouter ou supprimer une réponse en utilisant les signes d'ajout (+) et de supression (-)</a:t>
          </a:r>
        </a:p>
      </xdr:txBody>
    </xdr:sp>
    <xdr:clientData/>
  </xdr:twoCellAnchor>
  <xdr:twoCellAnchor>
    <xdr:from>
      <xdr:col>14</xdr:col>
      <xdr:colOff>402226</xdr:colOff>
      <xdr:row>25</xdr:row>
      <xdr:rowOff>36740</xdr:rowOff>
    </xdr:from>
    <xdr:to>
      <xdr:col>15</xdr:col>
      <xdr:colOff>255541</xdr:colOff>
      <xdr:row>26</xdr:row>
      <xdr:rowOff>97700</xdr:rowOff>
    </xdr:to>
    <xdr:sp macro="" textlink="">
      <xdr:nvSpPr>
        <xdr:cNvPr id="7" name="TextBox 5">
          <a:hlinkClick xmlns:r="http://schemas.openxmlformats.org/officeDocument/2006/relationships" r:id="rId2" tooltip="Plus d'explication -Ressource web-"/>
          <a:extLst>
            <a:ext uri="{FF2B5EF4-FFF2-40B4-BE49-F238E27FC236}">
              <a16:creationId xmlns:a16="http://schemas.microsoft.com/office/drawing/2014/main" id="{00000000-0008-0000-0000-000007000000}"/>
            </a:ext>
          </a:extLst>
        </xdr:cNvPr>
        <xdr:cNvSpPr txBox="1"/>
      </xdr:nvSpPr>
      <xdr:spPr>
        <a:xfrm>
          <a:off x="9149986" y="4517300"/>
          <a:ext cx="1095375"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Plus de détail</a:t>
          </a:r>
        </a:p>
      </xdr:txBody>
    </xdr:sp>
    <xdr:clientData/>
  </xdr:twoCellAnchor>
  <xdr:twoCellAnchor editAs="oneCell">
    <xdr:from>
      <xdr:col>0</xdr:col>
      <xdr:colOff>85996</xdr:colOff>
      <xdr:row>26</xdr:row>
      <xdr:rowOff>152443</xdr:rowOff>
    </xdr:from>
    <xdr:to>
      <xdr:col>7</xdr:col>
      <xdr:colOff>547006</xdr:colOff>
      <xdr:row>29</xdr:row>
      <xdr:rowOff>85477</xdr:rowOff>
    </xdr:to>
    <xdr:pic>
      <xdr:nvPicPr>
        <xdr:cNvPr id="54" name="Image 55">
          <a:extLst>
            <a:ext uri="{FF2B5EF4-FFF2-40B4-BE49-F238E27FC236}">
              <a16:creationId xmlns:a16="http://schemas.microsoft.com/office/drawing/2014/main" id="{00000000-0008-0000-0000-000036000000}"/>
            </a:ext>
          </a:extLst>
        </xdr:cNvPr>
        <xdr:cNvPicPr>
          <a:picLocks noChangeAspect="1"/>
        </xdr:cNvPicPr>
      </xdr:nvPicPr>
      <xdr:blipFill rotWithShape="1">
        <a:blip xmlns:r="http://schemas.openxmlformats.org/officeDocument/2006/relationships" r:embed="rId3"/>
        <a:srcRect b="12132"/>
        <a:stretch/>
      </xdr:blipFill>
      <xdr:spPr>
        <a:xfrm>
          <a:off x="85996" y="4907323"/>
          <a:ext cx="4834890" cy="481674"/>
        </a:xfrm>
        <a:prstGeom prst="rect">
          <a:avLst/>
        </a:prstGeom>
      </xdr:spPr>
    </xdr:pic>
    <xdr:clientData/>
  </xdr:twoCellAnchor>
  <xdr:twoCellAnchor editAs="oneCell">
    <xdr:from>
      <xdr:col>0</xdr:col>
      <xdr:colOff>162196</xdr:colOff>
      <xdr:row>11</xdr:row>
      <xdr:rowOff>31025</xdr:rowOff>
    </xdr:from>
    <xdr:to>
      <xdr:col>0</xdr:col>
      <xdr:colOff>322216</xdr:colOff>
      <xdr:row>12</xdr:row>
      <xdr:rowOff>8165</xdr:rowOff>
    </xdr:to>
    <xdr:pic>
      <xdr:nvPicPr>
        <xdr:cNvPr id="55" name="Image 56">
          <a:extLst>
            <a:ext uri="{FF2B5EF4-FFF2-40B4-BE49-F238E27FC236}">
              <a16:creationId xmlns:a16="http://schemas.microsoft.com/office/drawing/2014/main" id="{00000000-0008-0000-0000-00003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62196" y="2042705"/>
          <a:ext cx="16002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99060</xdr:colOff>
      <xdr:row>16</xdr:row>
      <xdr:rowOff>66033</xdr:rowOff>
    </xdr:from>
    <xdr:to>
      <xdr:col>8</xdr:col>
      <xdr:colOff>329835</xdr:colOff>
      <xdr:row>21</xdr:row>
      <xdr:rowOff>178811</xdr:rowOff>
    </xdr:to>
    <xdr:pic>
      <xdr:nvPicPr>
        <xdr:cNvPr id="56" name="Image 57">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5"/>
        <a:stretch>
          <a:fillRect/>
        </a:stretch>
      </xdr:blipFill>
      <xdr:spPr>
        <a:xfrm>
          <a:off x="99060" y="2992113"/>
          <a:ext cx="5229495" cy="1027178"/>
        </a:xfrm>
        <a:prstGeom prst="rect">
          <a:avLst/>
        </a:prstGeom>
      </xdr:spPr>
    </xdr:pic>
    <xdr:clientData/>
  </xdr:twoCellAnchor>
  <xdr:twoCellAnchor>
    <xdr:from>
      <xdr:col>0</xdr:col>
      <xdr:colOff>17416</xdr:colOff>
      <xdr:row>48</xdr:row>
      <xdr:rowOff>36691</xdr:rowOff>
    </xdr:from>
    <xdr:to>
      <xdr:col>13</xdr:col>
      <xdr:colOff>327931</xdr:colOff>
      <xdr:row>68</xdr:row>
      <xdr:rowOff>160565</xdr:rowOff>
    </xdr:to>
    <xdr:grpSp>
      <xdr:nvGrpSpPr>
        <xdr:cNvPr id="57" name="Groupe 58">
          <a:extLst>
            <a:ext uri="{FF2B5EF4-FFF2-40B4-BE49-F238E27FC236}">
              <a16:creationId xmlns:a16="http://schemas.microsoft.com/office/drawing/2014/main" id="{00000000-0008-0000-0000-000039000000}"/>
            </a:ext>
          </a:extLst>
        </xdr:cNvPr>
        <xdr:cNvGrpSpPr/>
      </xdr:nvGrpSpPr>
      <xdr:grpSpPr>
        <a:xfrm>
          <a:off x="17416" y="9075916"/>
          <a:ext cx="8235315" cy="3933874"/>
          <a:chOff x="449580" y="7046546"/>
          <a:chExt cx="8442960" cy="3781474"/>
        </a:xfrm>
      </xdr:grpSpPr>
      <xdr:pic>
        <xdr:nvPicPr>
          <xdr:cNvPr id="58" name="Image 59">
            <a:extLst>
              <a:ext uri="{FF2B5EF4-FFF2-40B4-BE49-F238E27FC236}">
                <a16:creationId xmlns:a16="http://schemas.microsoft.com/office/drawing/2014/main" id="{00000000-0008-0000-0000-00003A000000}"/>
              </a:ext>
            </a:extLst>
          </xdr:cNvPr>
          <xdr:cNvPicPr>
            <a:picLocks noChangeAspect="1"/>
          </xdr:cNvPicPr>
        </xdr:nvPicPr>
        <xdr:blipFill>
          <a:blip xmlns:r="http://schemas.openxmlformats.org/officeDocument/2006/relationships" r:embed="rId6"/>
          <a:stretch>
            <a:fillRect/>
          </a:stretch>
        </xdr:blipFill>
        <xdr:spPr>
          <a:xfrm>
            <a:off x="449580" y="7046546"/>
            <a:ext cx="8442960" cy="1264537"/>
          </a:xfrm>
          <a:prstGeom prst="rect">
            <a:avLst/>
          </a:prstGeom>
        </xdr:spPr>
      </xdr:pic>
      <xdr:sp macro="" textlink="">
        <xdr:nvSpPr>
          <xdr:cNvPr id="59" name="Flèche : bas 60">
            <a:extLst>
              <a:ext uri="{FF2B5EF4-FFF2-40B4-BE49-F238E27FC236}">
                <a16:creationId xmlns:a16="http://schemas.microsoft.com/office/drawing/2014/main" id="{00000000-0008-0000-0000-00003B000000}"/>
              </a:ext>
            </a:extLst>
          </xdr:cNvPr>
          <xdr:cNvSpPr/>
        </xdr:nvSpPr>
        <xdr:spPr>
          <a:xfrm>
            <a:off x="4579620" y="8412480"/>
            <a:ext cx="236220" cy="335280"/>
          </a:xfrm>
          <a:prstGeom prst="down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60" name="Groupe 61">
            <a:extLst>
              <a:ext uri="{FF2B5EF4-FFF2-40B4-BE49-F238E27FC236}">
                <a16:creationId xmlns:a16="http://schemas.microsoft.com/office/drawing/2014/main" id="{00000000-0008-0000-0000-00003C000000}"/>
              </a:ext>
            </a:extLst>
          </xdr:cNvPr>
          <xdr:cNvGrpSpPr/>
        </xdr:nvGrpSpPr>
        <xdr:grpSpPr>
          <a:xfrm>
            <a:off x="2324100" y="8818690"/>
            <a:ext cx="4922521" cy="2009330"/>
            <a:chOff x="2354580" y="8559610"/>
            <a:chExt cx="4922521" cy="2009330"/>
          </a:xfrm>
        </xdr:grpSpPr>
        <xdr:pic>
          <xdr:nvPicPr>
            <xdr:cNvPr id="61" name="Image 62">
              <a:extLst>
                <a:ext uri="{FF2B5EF4-FFF2-40B4-BE49-F238E27FC236}">
                  <a16:creationId xmlns:a16="http://schemas.microsoft.com/office/drawing/2014/main" id="{00000000-0008-0000-0000-00003D000000}"/>
                </a:ext>
              </a:extLst>
            </xdr:cNvPr>
            <xdr:cNvPicPr>
              <a:picLocks noChangeAspect="1"/>
            </xdr:cNvPicPr>
          </xdr:nvPicPr>
          <xdr:blipFill rotWithShape="1">
            <a:blip xmlns:r="http://schemas.openxmlformats.org/officeDocument/2006/relationships" r:embed="rId7"/>
            <a:srcRect b="5508"/>
            <a:stretch/>
          </xdr:blipFill>
          <xdr:spPr>
            <a:xfrm>
              <a:off x="2360025" y="8559610"/>
              <a:ext cx="4917076" cy="2009330"/>
            </a:xfrm>
            <a:prstGeom prst="rect">
              <a:avLst/>
            </a:prstGeom>
          </xdr:spPr>
        </xdr:pic>
        <xdr:sp macro="" textlink="">
          <xdr:nvSpPr>
            <xdr:cNvPr id="62" name="Rectangle 61">
              <a:extLst>
                <a:ext uri="{FF2B5EF4-FFF2-40B4-BE49-F238E27FC236}">
                  <a16:creationId xmlns:a16="http://schemas.microsoft.com/office/drawing/2014/main" id="{00000000-0008-0000-0000-00003E000000}"/>
                </a:ext>
              </a:extLst>
            </xdr:cNvPr>
            <xdr:cNvSpPr/>
          </xdr:nvSpPr>
          <xdr:spPr>
            <a:xfrm>
              <a:off x="2354580" y="9860280"/>
              <a:ext cx="883920" cy="4876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3" name="Rectangle 62">
              <a:extLst>
                <a:ext uri="{FF2B5EF4-FFF2-40B4-BE49-F238E27FC236}">
                  <a16:creationId xmlns:a16="http://schemas.microsoft.com/office/drawing/2014/main" id="{00000000-0008-0000-0000-00003F000000}"/>
                </a:ext>
              </a:extLst>
            </xdr:cNvPr>
            <xdr:cNvSpPr/>
          </xdr:nvSpPr>
          <xdr:spPr>
            <a:xfrm>
              <a:off x="2369820" y="876300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4" name="Rectangle 63">
              <a:extLst>
                <a:ext uri="{FF2B5EF4-FFF2-40B4-BE49-F238E27FC236}">
                  <a16:creationId xmlns:a16="http://schemas.microsoft.com/office/drawing/2014/main" id="{00000000-0008-0000-0000-000040000000}"/>
                </a:ext>
              </a:extLst>
            </xdr:cNvPr>
            <xdr:cNvSpPr/>
          </xdr:nvSpPr>
          <xdr:spPr>
            <a:xfrm>
              <a:off x="360426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5" name="Rectangle 64">
              <a:extLst>
                <a:ext uri="{FF2B5EF4-FFF2-40B4-BE49-F238E27FC236}">
                  <a16:creationId xmlns:a16="http://schemas.microsoft.com/office/drawing/2014/main" id="{00000000-0008-0000-0000-000041000000}"/>
                </a:ext>
              </a:extLst>
            </xdr:cNvPr>
            <xdr:cNvSpPr/>
          </xdr:nvSpPr>
          <xdr:spPr>
            <a:xfrm>
              <a:off x="483870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6" name="Rectangle 65">
              <a:extLst>
                <a:ext uri="{FF2B5EF4-FFF2-40B4-BE49-F238E27FC236}">
                  <a16:creationId xmlns:a16="http://schemas.microsoft.com/office/drawing/2014/main" id="{00000000-0008-0000-0000-000042000000}"/>
                </a:ext>
              </a:extLst>
            </xdr:cNvPr>
            <xdr:cNvSpPr/>
          </xdr:nvSpPr>
          <xdr:spPr>
            <a:xfrm>
              <a:off x="6050280" y="8770620"/>
              <a:ext cx="7010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xdr:from>
      <xdr:col>0</xdr:col>
      <xdr:colOff>0</xdr:colOff>
      <xdr:row>182</xdr:row>
      <xdr:rowOff>132119</xdr:rowOff>
    </xdr:from>
    <xdr:to>
      <xdr:col>13</xdr:col>
      <xdr:colOff>176702</xdr:colOff>
      <xdr:row>190</xdr:row>
      <xdr:rowOff>80328</xdr:rowOff>
    </xdr:to>
    <xdr:grpSp>
      <xdr:nvGrpSpPr>
        <xdr:cNvPr id="71" name="Groupe 72">
          <a:extLst>
            <a:ext uri="{FF2B5EF4-FFF2-40B4-BE49-F238E27FC236}">
              <a16:creationId xmlns:a16="http://schemas.microsoft.com/office/drawing/2014/main" id="{00000000-0008-0000-0000-000047000000}"/>
            </a:ext>
          </a:extLst>
        </xdr:cNvPr>
        <xdr:cNvGrpSpPr/>
      </xdr:nvGrpSpPr>
      <xdr:grpSpPr>
        <a:xfrm>
          <a:off x="0" y="34698344"/>
          <a:ext cx="8101502" cy="1472209"/>
          <a:chOff x="396240" y="18716754"/>
          <a:chExt cx="8299622" cy="1411249"/>
        </a:xfrm>
      </xdr:grpSpPr>
      <xdr:grpSp>
        <xdr:nvGrpSpPr>
          <xdr:cNvPr id="72" name="Groupe 73">
            <a:extLst>
              <a:ext uri="{FF2B5EF4-FFF2-40B4-BE49-F238E27FC236}">
                <a16:creationId xmlns:a16="http://schemas.microsoft.com/office/drawing/2014/main" id="{00000000-0008-0000-0000-000048000000}"/>
              </a:ext>
            </a:extLst>
          </xdr:cNvPr>
          <xdr:cNvGrpSpPr/>
        </xdr:nvGrpSpPr>
        <xdr:grpSpPr>
          <a:xfrm>
            <a:off x="396240" y="18716754"/>
            <a:ext cx="5337221" cy="1359771"/>
            <a:chOff x="396240" y="18716754"/>
            <a:chExt cx="5337221" cy="1359771"/>
          </a:xfrm>
        </xdr:grpSpPr>
        <xdr:pic>
          <xdr:nvPicPr>
            <xdr:cNvPr id="75" name="Image 76">
              <a:extLst>
                <a:ext uri="{FF2B5EF4-FFF2-40B4-BE49-F238E27FC236}">
                  <a16:creationId xmlns:a16="http://schemas.microsoft.com/office/drawing/2014/main" id="{00000000-0008-0000-0000-00004B000000}"/>
                </a:ext>
              </a:extLst>
            </xdr:cNvPr>
            <xdr:cNvPicPr>
              <a:picLocks noChangeAspect="1"/>
            </xdr:cNvPicPr>
          </xdr:nvPicPr>
          <xdr:blipFill>
            <a:blip xmlns:r="http://schemas.openxmlformats.org/officeDocument/2006/relationships" r:embed="rId8"/>
            <a:stretch>
              <a:fillRect/>
            </a:stretch>
          </xdr:blipFill>
          <xdr:spPr>
            <a:xfrm>
              <a:off x="396240" y="18716754"/>
              <a:ext cx="2312210" cy="1359771"/>
            </a:xfrm>
            <a:prstGeom prst="rect">
              <a:avLst/>
            </a:prstGeom>
          </xdr:spPr>
        </xdr:pic>
        <xdr:pic>
          <xdr:nvPicPr>
            <xdr:cNvPr id="76" name="Image 77">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9"/>
            <a:stretch>
              <a:fillRect/>
            </a:stretch>
          </xdr:blipFill>
          <xdr:spPr>
            <a:xfrm>
              <a:off x="3322320" y="19073122"/>
              <a:ext cx="2411141" cy="961528"/>
            </a:xfrm>
            <a:prstGeom prst="rect">
              <a:avLst/>
            </a:prstGeom>
          </xdr:spPr>
        </xdr:pic>
        <xdr:sp macro="" textlink="">
          <xdr:nvSpPr>
            <xdr:cNvPr id="77" name="Flèche : droite 78">
              <a:extLst>
                <a:ext uri="{FF2B5EF4-FFF2-40B4-BE49-F238E27FC236}">
                  <a16:creationId xmlns:a16="http://schemas.microsoft.com/office/drawing/2014/main" id="{00000000-0008-0000-0000-00004D000000}"/>
                </a:ext>
              </a:extLst>
            </xdr:cNvPr>
            <xdr:cNvSpPr/>
          </xdr:nvSpPr>
          <xdr:spPr>
            <a:xfrm>
              <a:off x="2804160" y="19453860"/>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73" name="Image 74">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10"/>
          <a:stretch>
            <a:fillRect/>
          </a:stretch>
        </xdr:blipFill>
        <xdr:spPr>
          <a:xfrm>
            <a:off x="6278880" y="18947472"/>
            <a:ext cx="2416982" cy="1180531"/>
          </a:xfrm>
          <a:prstGeom prst="rect">
            <a:avLst/>
          </a:prstGeom>
        </xdr:spPr>
      </xdr:pic>
      <xdr:sp macro="" textlink="">
        <xdr:nvSpPr>
          <xdr:cNvPr id="74" name="Flèche : droite 75">
            <a:extLst>
              <a:ext uri="{FF2B5EF4-FFF2-40B4-BE49-F238E27FC236}">
                <a16:creationId xmlns:a16="http://schemas.microsoft.com/office/drawing/2014/main" id="{00000000-0008-0000-0000-00004A000000}"/>
              </a:ext>
            </a:extLst>
          </xdr:cNvPr>
          <xdr:cNvSpPr/>
        </xdr:nvSpPr>
        <xdr:spPr>
          <a:xfrm>
            <a:off x="5875020" y="19425414"/>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45720</xdr:colOff>
      <xdr:row>157</xdr:row>
      <xdr:rowOff>32389</xdr:rowOff>
    </xdr:from>
    <xdr:to>
      <xdr:col>8</xdr:col>
      <xdr:colOff>247205</xdr:colOff>
      <xdr:row>163</xdr:row>
      <xdr:rowOff>108894</xdr:rowOff>
    </xdr:to>
    <xdr:grpSp>
      <xdr:nvGrpSpPr>
        <xdr:cNvPr id="78" name="Groupe 79">
          <a:extLst>
            <a:ext uri="{FF2B5EF4-FFF2-40B4-BE49-F238E27FC236}">
              <a16:creationId xmlns:a16="http://schemas.microsoft.com/office/drawing/2014/main" id="{00000000-0008-0000-0000-00004E000000}"/>
            </a:ext>
          </a:extLst>
        </xdr:cNvPr>
        <xdr:cNvGrpSpPr/>
      </xdr:nvGrpSpPr>
      <xdr:grpSpPr>
        <a:xfrm>
          <a:off x="45720" y="29836114"/>
          <a:ext cx="5078285" cy="1219505"/>
          <a:chOff x="419100" y="18723704"/>
          <a:chExt cx="5200205" cy="1173785"/>
        </a:xfrm>
      </xdr:grpSpPr>
      <xdr:grpSp>
        <xdr:nvGrpSpPr>
          <xdr:cNvPr id="79" name="Groupe 80">
            <a:extLst>
              <a:ext uri="{FF2B5EF4-FFF2-40B4-BE49-F238E27FC236}">
                <a16:creationId xmlns:a16="http://schemas.microsoft.com/office/drawing/2014/main" id="{00000000-0008-0000-0000-00004F000000}"/>
              </a:ext>
            </a:extLst>
          </xdr:cNvPr>
          <xdr:cNvGrpSpPr/>
        </xdr:nvGrpSpPr>
        <xdr:grpSpPr>
          <a:xfrm>
            <a:off x="419100" y="18752820"/>
            <a:ext cx="2312210" cy="1095105"/>
            <a:chOff x="419100" y="18752820"/>
            <a:chExt cx="2312210" cy="1095105"/>
          </a:xfrm>
        </xdr:grpSpPr>
        <xdr:pic>
          <xdr:nvPicPr>
            <xdr:cNvPr id="82" name="Image 83">
              <a:extLst>
                <a:ext uri="{FF2B5EF4-FFF2-40B4-BE49-F238E27FC236}">
                  <a16:creationId xmlns:a16="http://schemas.microsoft.com/office/drawing/2014/main" id="{00000000-0008-0000-0000-000052000000}"/>
                </a:ext>
              </a:extLst>
            </xdr:cNvPr>
            <xdr:cNvPicPr>
              <a:picLocks noChangeAspect="1"/>
            </xdr:cNvPicPr>
          </xdr:nvPicPr>
          <xdr:blipFill rotWithShape="1">
            <a:blip xmlns:r="http://schemas.openxmlformats.org/officeDocument/2006/relationships" r:embed="rId8"/>
            <a:srcRect t="19464"/>
            <a:stretch/>
          </xdr:blipFill>
          <xdr:spPr>
            <a:xfrm>
              <a:off x="419100" y="18752820"/>
              <a:ext cx="2312210" cy="1095105"/>
            </a:xfrm>
            <a:prstGeom prst="rect">
              <a:avLst/>
            </a:prstGeom>
          </xdr:spPr>
        </xdr:pic>
        <xdr:sp macro="" textlink="">
          <xdr:nvSpPr>
            <xdr:cNvPr id="83" name="Rectangle 82">
              <a:extLst>
                <a:ext uri="{FF2B5EF4-FFF2-40B4-BE49-F238E27FC236}">
                  <a16:creationId xmlns:a16="http://schemas.microsoft.com/office/drawing/2014/main" id="{00000000-0008-0000-0000-000053000000}"/>
                </a:ext>
              </a:extLst>
            </xdr:cNvPr>
            <xdr:cNvSpPr/>
          </xdr:nvSpPr>
          <xdr:spPr>
            <a:xfrm>
              <a:off x="655320" y="18882360"/>
              <a:ext cx="152400" cy="1600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4" name="Rectangle 83">
              <a:extLst>
                <a:ext uri="{FF2B5EF4-FFF2-40B4-BE49-F238E27FC236}">
                  <a16:creationId xmlns:a16="http://schemas.microsoft.com/office/drawing/2014/main" id="{00000000-0008-0000-0000-000054000000}"/>
                </a:ext>
              </a:extLst>
            </xdr:cNvPr>
            <xdr:cNvSpPr/>
          </xdr:nvSpPr>
          <xdr:spPr>
            <a:xfrm>
              <a:off x="845820" y="19324320"/>
              <a:ext cx="1836420" cy="1447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80" name="Image 81">
            <a:extLst>
              <a:ext uri="{FF2B5EF4-FFF2-40B4-BE49-F238E27FC236}">
                <a16:creationId xmlns:a16="http://schemas.microsoft.com/office/drawing/2014/main" id="{00000000-0008-0000-0000-000050000000}"/>
              </a:ext>
            </a:extLst>
          </xdr:cNvPr>
          <xdr:cNvPicPr>
            <a:picLocks noChangeAspect="1"/>
          </xdr:cNvPicPr>
        </xdr:nvPicPr>
        <xdr:blipFill>
          <a:blip xmlns:r="http://schemas.openxmlformats.org/officeDocument/2006/relationships" r:embed="rId11"/>
          <a:stretch>
            <a:fillRect/>
          </a:stretch>
        </xdr:blipFill>
        <xdr:spPr>
          <a:xfrm>
            <a:off x="3390900" y="18723704"/>
            <a:ext cx="2228405" cy="1173785"/>
          </a:xfrm>
          <a:prstGeom prst="rect">
            <a:avLst/>
          </a:prstGeom>
        </xdr:spPr>
      </xdr:pic>
      <xdr:sp macro="" textlink="">
        <xdr:nvSpPr>
          <xdr:cNvPr id="81" name="Flèche : droite 82">
            <a:extLst>
              <a:ext uri="{FF2B5EF4-FFF2-40B4-BE49-F238E27FC236}">
                <a16:creationId xmlns:a16="http://schemas.microsoft.com/office/drawing/2014/main" id="{00000000-0008-0000-0000-000051000000}"/>
              </a:ext>
            </a:extLst>
          </xdr:cNvPr>
          <xdr:cNvSpPr/>
        </xdr:nvSpPr>
        <xdr:spPr>
          <a:xfrm>
            <a:off x="2903220" y="19234914"/>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93616</xdr:colOff>
      <xdr:row>165</xdr:row>
      <xdr:rowOff>122525</xdr:rowOff>
    </xdr:from>
    <xdr:to>
      <xdr:col>4</xdr:col>
      <xdr:colOff>308432</xdr:colOff>
      <xdr:row>173</xdr:row>
      <xdr:rowOff>99367</xdr:rowOff>
    </xdr:to>
    <xdr:pic>
      <xdr:nvPicPr>
        <xdr:cNvPr id="85" name="Image 86">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12"/>
        <a:stretch>
          <a:fillRect/>
        </a:stretch>
      </xdr:blipFill>
      <xdr:spPr>
        <a:xfrm>
          <a:off x="93616" y="30206285"/>
          <a:ext cx="2714176" cy="1439882"/>
        </a:xfrm>
        <a:prstGeom prst="rect">
          <a:avLst/>
        </a:prstGeom>
      </xdr:spPr>
    </xdr:pic>
    <xdr:clientData/>
  </xdr:twoCellAnchor>
  <xdr:twoCellAnchor>
    <xdr:from>
      <xdr:col>0</xdr:col>
      <xdr:colOff>30480</xdr:colOff>
      <xdr:row>175</xdr:row>
      <xdr:rowOff>15785</xdr:rowOff>
    </xdr:from>
    <xdr:to>
      <xdr:col>3</xdr:col>
      <xdr:colOff>452930</xdr:colOff>
      <xdr:row>181</xdr:row>
      <xdr:rowOff>13610</xdr:rowOff>
    </xdr:to>
    <xdr:grpSp>
      <xdr:nvGrpSpPr>
        <xdr:cNvPr id="86" name="Groupe 87">
          <a:extLst>
            <a:ext uri="{FF2B5EF4-FFF2-40B4-BE49-F238E27FC236}">
              <a16:creationId xmlns:a16="http://schemas.microsoft.com/office/drawing/2014/main" id="{00000000-0008-0000-0000-000056000000}"/>
            </a:ext>
          </a:extLst>
        </xdr:cNvPr>
        <xdr:cNvGrpSpPr/>
      </xdr:nvGrpSpPr>
      <xdr:grpSpPr>
        <a:xfrm>
          <a:off x="30480" y="33248510"/>
          <a:ext cx="2251250" cy="1140825"/>
          <a:chOff x="464820" y="21976080"/>
          <a:chExt cx="2312210" cy="1095105"/>
        </a:xfrm>
      </xdr:grpSpPr>
      <xdr:pic>
        <xdr:nvPicPr>
          <xdr:cNvPr id="87" name="Image 88">
            <a:extLst>
              <a:ext uri="{FF2B5EF4-FFF2-40B4-BE49-F238E27FC236}">
                <a16:creationId xmlns:a16="http://schemas.microsoft.com/office/drawing/2014/main" id="{00000000-0008-0000-0000-000057000000}"/>
              </a:ext>
            </a:extLst>
          </xdr:cNvPr>
          <xdr:cNvPicPr>
            <a:picLocks noChangeAspect="1"/>
          </xdr:cNvPicPr>
        </xdr:nvPicPr>
        <xdr:blipFill rotWithShape="1">
          <a:blip xmlns:r="http://schemas.openxmlformats.org/officeDocument/2006/relationships" r:embed="rId8"/>
          <a:srcRect t="19464"/>
          <a:stretch/>
        </xdr:blipFill>
        <xdr:spPr>
          <a:xfrm>
            <a:off x="464820" y="21976080"/>
            <a:ext cx="2312210" cy="1095105"/>
          </a:xfrm>
          <a:prstGeom prst="rect">
            <a:avLst/>
          </a:prstGeom>
        </xdr:spPr>
      </xdr:pic>
      <xdr:sp macro="" textlink="">
        <xdr:nvSpPr>
          <xdr:cNvPr id="88" name="Rectangle 87">
            <a:extLst>
              <a:ext uri="{FF2B5EF4-FFF2-40B4-BE49-F238E27FC236}">
                <a16:creationId xmlns:a16="http://schemas.microsoft.com/office/drawing/2014/main" id="{00000000-0008-0000-0000-000058000000}"/>
              </a:ext>
            </a:extLst>
          </xdr:cNvPr>
          <xdr:cNvSpPr/>
        </xdr:nvSpPr>
        <xdr:spPr>
          <a:xfrm>
            <a:off x="891540" y="22562820"/>
            <a:ext cx="1836420" cy="1295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9" name="Rectangle 88">
            <a:extLst>
              <a:ext uri="{FF2B5EF4-FFF2-40B4-BE49-F238E27FC236}">
                <a16:creationId xmlns:a16="http://schemas.microsoft.com/office/drawing/2014/main" id="{00000000-0008-0000-0000-000059000000}"/>
              </a:ext>
            </a:extLst>
          </xdr:cNvPr>
          <xdr:cNvSpPr/>
        </xdr:nvSpPr>
        <xdr:spPr>
          <a:xfrm>
            <a:off x="563880" y="22120860"/>
            <a:ext cx="160020" cy="1143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0</xdr:colOff>
      <xdr:row>192</xdr:row>
      <xdr:rowOff>160565</xdr:rowOff>
    </xdr:from>
    <xdr:to>
      <xdr:col>3</xdr:col>
      <xdr:colOff>422450</xdr:colOff>
      <xdr:row>198</xdr:row>
      <xdr:rowOff>150770</xdr:rowOff>
    </xdr:to>
    <xdr:grpSp>
      <xdr:nvGrpSpPr>
        <xdr:cNvPr id="90" name="Groupe 91">
          <a:extLst>
            <a:ext uri="{FF2B5EF4-FFF2-40B4-BE49-F238E27FC236}">
              <a16:creationId xmlns:a16="http://schemas.microsoft.com/office/drawing/2014/main" id="{00000000-0008-0000-0000-00005A000000}"/>
            </a:ext>
          </a:extLst>
        </xdr:cNvPr>
        <xdr:cNvGrpSpPr/>
      </xdr:nvGrpSpPr>
      <xdr:grpSpPr>
        <a:xfrm>
          <a:off x="0" y="36631790"/>
          <a:ext cx="2251250" cy="1133205"/>
          <a:chOff x="388620" y="25382220"/>
          <a:chExt cx="2312210" cy="1087485"/>
        </a:xfrm>
      </xdr:grpSpPr>
      <xdr:pic>
        <xdr:nvPicPr>
          <xdr:cNvPr id="91" name="Image 92">
            <a:extLst>
              <a:ext uri="{FF2B5EF4-FFF2-40B4-BE49-F238E27FC236}">
                <a16:creationId xmlns:a16="http://schemas.microsoft.com/office/drawing/2014/main" id="{00000000-0008-0000-0000-00005B000000}"/>
              </a:ext>
            </a:extLst>
          </xdr:cNvPr>
          <xdr:cNvPicPr>
            <a:picLocks noChangeAspect="1"/>
          </xdr:cNvPicPr>
        </xdr:nvPicPr>
        <xdr:blipFill rotWithShape="1">
          <a:blip xmlns:r="http://schemas.openxmlformats.org/officeDocument/2006/relationships" r:embed="rId8"/>
          <a:srcRect t="20024"/>
          <a:stretch/>
        </xdr:blipFill>
        <xdr:spPr>
          <a:xfrm>
            <a:off x="388620" y="25382220"/>
            <a:ext cx="2312210" cy="1087485"/>
          </a:xfrm>
          <a:prstGeom prst="rect">
            <a:avLst/>
          </a:prstGeom>
        </xdr:spPr>
      </xdr:pic>
      <xdr:sp macro="" textlink="">
        <xdr:nvSpPr>
          <xdr:cNvPr id="92" name="Rectangle 91">
            <a:extLst>
              <a:ext uri="{FF2B5EF4-FFF2-40B4-BE49-F238E27FC236}">
                <a16:creationId xmlns:a16="http://schemas.microsoft.com/office/drawing/2014/main" id="{00000000-0008-0000-0000-00005C000000}"/>
              </a:ext>
            </a:extLst>
          </xdr:cNvPr>
          <xdr:cNvSpPr/>
        </xdr:nvSpPr>
        <xdr:spPr>
          <a:xfrm>
            <a:off x="2202180" y="25397460"/>
            <a:ext cx="350520" cy="3200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101237</xdr:colOff>
      <xdr:row>207</xdr:row>
      <xdr:rowOff>175473</xdr:rowOff>
    </xdr:from>
    <xdr:to>
      <xdr:col>8</xdr:col>
      <xdr:colOff>497477</xdr:colOff>
      <xdr:row>212</xdr:row>
      <xdr:rowOff>168185</xdr:rowOff>
    </xdr:to>
    <xdr:grpSp>
      <xdr:nvGrpSpPr>
        <xdr:cNvPr id="93" name="Groupe 94">
          <a:extLst>
            <a:ext uri="{FF2B5EF4-FFF2-40B4-BE49-F238E27FC236}">
              <a16:creationId xmlns:a16="http://schemas.microsoft.com/office/drawing/2014/main" id="{00000000-0008-0000-0000-00005D000000}"/>
            </a:ext>
          </a:extLst>
        </xdr:cNvPr>
        <xdr:cNvGrpSpPr/>
      </xdr:nvGrpSpPr>
      <xdr:grpSpPr>
        <a:xfrm>
          <a:off x="101237" y="39504198"/>
          <a:ext cx="5273040" cy="945212"/>
          <a:chOff x="434341" y="28117468"/>
          <a:chExt cx="5410200" cy="907112"/>
        </a:xfrm>
      </xdr:grpSpPr>
      <xdr:pic>
        <xdr:nvPicPr>
          <xdr:cNvPr id="94" name="Image 95">
            <a:extLst>
              <a:ext uri="{FF2B5EF4-FFF2-40B4-BE49-F238E27FC236}">
                <a16:creationId xmlns:a16="http://schemas.microsoft.com/office/drawing/2014/main" id="{00000000-0008-0000-0000-00005E000000}"/>
              </a:ext>
            </a:extLst>
          </xdr:cNvPr>
          <xdr:cNvPicPr>
            <a:picLocks noChangeAspect="1"/>
          </xdr:cNvPicPr>
        </xdr:nvPicPr>
        <xdr:blipFill rotWithShape="1">
          <a:blip xmlns:r="http://schemas.openxmlformats.org/officeDocument/2006/relationships" r:embed="rId13"/>
          <a:srcRect b="14547"/>
          <a:stretch/>
        </xdr:blipFill>
        <xdr:spPr>
          <a:xfrm>
            <a:off x="434341" y="28117468"/>
            <a:ext cx="5410200" cy="891871"/>
          </a:xfrm>
          <a:prstGeom prst="rect">
            <a:avLst/>
          </a:prstGeom>
        </xdr:spPr>
      </xdr:pic>
      <xdr:sp macro="" textlink="">
        <xdr:nvSpPr>
          <xdr:cNvPr id="95" name="Rectangle 94">
            <a:extLst>
              <a:ext uri="{FF2B5EF4-FFF2-40B4-BE49-F238E27FC236}">
                <a16:creationId xmlns:a16="http://schemas.microsoft.com/office/drawing/2014/main" id="{00000000-0008-0000-0000-00005F000000}"/>
              </a:ext>
            </a:extLst>
          </xdr:cNvPr>
          <xdr:cNvSpPr/>
        </xdr:nvSpPr>
        <xdr:spPr>
          <a:xfrm>
            <a:off x="4549140" y="28620720"/>
            <a:ext cx="335280" cy="4038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38100</xdr:colOff>
      <xdr:row>74</xdr:row>
      <xdr:rowOff>109404</xdr:rowOff>
    </xdr:from>
    <xdr:to>
      <xdr:col>10</xdr:col>
      <xdr:colOff>86713</xdr:colOff>
      <xdr:row>81</xdr:row>
      <xdr:rowOff>31959</xdr:rowOff>
    </xdr:to>
    <xdr:grpSp>
      <xdr:nvGrpSpPr>
        <xdr:cNvPr id="125" name="Groupe 124">
          <a:extLst>
            <a:ext uri="{FF2B5EF4-FFF2-40B4-BE49-F238E27FC236}">
              <a16:creationId xmlns:a16="http://schemas.microsoft.com/office/drawing/2014/main" id="{00000000-0008-0000-0000-00007D000000}"/>
            </a:ext>
          </a:extLst>
        </xdr:cNvPr>
        <xdr:cNvGrpSpPr/>
      </xdr:nvGrpSpPr>
      <xdr:grpSpPr>
        <a:xfrm>
          <a:off x="38100" y="14101629"/>
          <a:ext cx="6144613" cy="1256055"/>
          <a:chOff x="60960" y="11859444"/>
          <a:chExt cx="6297013" cy="1202715"/>
        </a:xfrm>
      </xdr:grpSpPr>
      <xdr:pic>
        <xdr:nvPicPr>
          <xdr:cNvPr id="96" name="Image 1">
            <a:extLst>
              <a:ext uri="{FF2B5EF4-FFF2-40B4-BE49-F238E27FC236}">
                <a16:creationId xmlns:a16="http://schemas.microsoft.com/office/drawing/2014/main" id="{00000000-0008-0000-0000-000060000000}"/>
              </a:ext>
            </a:extLst>
          </xdr:cNvPr>
          <xdr:cNvPicPr>
            <a:picLocks noChangeAspect="1"/>
          </xdr:cNvPicPr>
        </xdr:nvPicPr>
        <xdr:blipFill>
          <a:blip xmlns:r="http://schemas.openxmlformats.org/officeDocument/2006/relationships" r:embed="rId14"/>
          <a:stretch>
            <a:fillRect/>
          </a:stretch>
        </xdr:blipFill>
        <xdr:spPr>
          <a:xfrm>
            <a:off x="60960" y="11859444"/>
            <a:ext cx="6297013" cy="1202715"/>
          </a:xfrm>
          <a:prstGeom prst="rect">
            <a:avLst/>
          </a:prstGeom>
        </xdr:spPr>
      </xdr:pic>
      <xdr:sp macro="" textlink="">
        <xdr:nvSpPr>
          <xdr:cNvPr id="97" name="Rectangle 96">
            <a:extLst>
              <a:ext uri="{FF2B5EF4-FFF2-40B4-BE49-F238E27FC236}">
                <a16:creationId xmlns:a16="http://schemas.microsoft.com/office/drawing/2014/main" id="{00000000-0008-0000-0000-000061000000}"/>
              </a:ext>
            </a:extLst>
          </xdr:cNvPr>
          <xdr:cNvSpPr/>
        </xdr:nvSpPr>
        <xdr:spPr>
          <a:xfrm>
            <a:off x="99060" y="12368916"/>
            <a:ext cx="6172200" cy="16764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91440</xdr:colOff>
      <xdr:row>129</xdr:row>
      <xdr:rowOff>110885</xdr:rowOff>
    </xdr:from>
    <xdr:to>
      <xdr:col>9</xdr:col>
      <xdr:colOff>76670</xdr:colOff>
      <xdr:row>139</xdr:row>
      <xdr:rowOff>114301</xdr:rowOff>
    </xdr:to>
    <xdr:grpSp>
      <xdr:nvGrpSpPr>
        <xdr:cNvPr id="104" name="Groupe 103">
          <a:extLst>
            <a:ext uri="{FF2B5EF4-FFF2-40B4-BE49-F238E27FC236}">
              <a16:creationId xmlns:a16="http://schemas.microsoft.com/office/drawing/2014/main" id="{00000000-0008-0000-0000-000068000000}"/>
            </a:ext>
          </a:extLst>
        </xdr:cNvPr>
        <xdr:cNvGrpSpPr/>
      </xdr:nvGrpSpPr>
      <xdr:grpSpPr>
        <a:xfrm>
          <a:off x="91440" y="24580610"/>
          <a:ext cx="5471630" cy="1908416"/>
          <a:chOff x="83820" y="15800465"/>
          <a:chExt cx="5608790" cy="1832216"/>
        </a:xfrm>
      </xdr:grpSpPr>
      <xdr:grpSp>
        <xdr:nvGrpSpPr>
          <xdr:cNvPr id="102" name="Groupe 101">
            <a:extLst>
              <a:ext uri="{FF2B5EF4-FFF2-40B4-BE49-F238E27FC236}">
                <a16:creationId xmlns:a16="http://schemas.microsoft.com/office/drawing/2014/main" id="{00000000-0008-0000-0000-000066000000}"/>
              </a:ext>
            </a:extLst>
          </xdr:cNvPr>
          <xdr:cNvGrpSpPr/>
        </xdr:nvGrpSpPr>
        <xdr:grpSpPr>
          <a:xfrm>
            <a:off x="83820" y="15800465"/>
            <a:ext cx="5608790" cy="1832216"/>
            <a:chOff x="83820" y="15800465"/>
            <a:chExt cx="5608790" cy="1832216"/>
          </a:xfrm>
        </xdr:grpSpPr>
        <xdr:pic>
          <xdr:nvPicPr>
            <xdr:cNvPr id="99" name="Image 98">
              <a:extLst>
                <a:ext uri="{FF2B5EF4-FFF2-40B4-BE49-F238E27FC236}">
                  <a16:creationId xmlns:a16="http://schemas.microsoft.com/office/drawing/2014/main" id="{00000000-0008-0000-0000-000063000000}"/>
                </a:ext>
              </a:extLst>
            </xdr:cNvPr>
            <xdr:cNvPicPr>
              <a:picLocks noChangeAspect="1"/>
            </xdr:cNvPicPr>
          </xdr:nvPicPr>
          <xdr:blipFill rotWithShape="1">
            <a:blip xmlns:r="http://schemas.openxmlformats.org/officeDocument/2006/relationships" r:embed="rId15"/>
            <a:srcRect b="12525"/>
            <a:stretch/>
          </xdr:blipFill>
          <xdr:spPr>
            <a:xfrm>
              <a:off x="83820" y="15800465"/>
              <a:ext cx="5608790" cy="1832216"/>
            </a:xfrm>
            <a:prstGeom prst="rect">
              <a:avLst/>
            </a:prstGeom>
          </xdr:spPr>
        </xdr:pic>
        <xdr:sp macro="" textlink="">
          <xdr:nvSpPr>
            <xdr:cNvPr id="100" name="Rectangle 99">
              <a:extLst>
                <a:ext uri="{FF2B5EF4-FFF2-40B4-BE49-F238E27FC236}">
                  <a16:creationId xmlns:a16="http://schemas.microsoft.com/office/drawing/2014/main" id="{00000000-0008-0000-0000-000064000000}"/>
                </a:ext>
              </a:extLst>
            </xdr:cNvPr>
            <xdr:cNvSpPr/>
          </xdr:nvSpPr>
          <xdr:spPr>
            <a:xfrm>
              <a:off x="830580" y="17221200"/>
              <a:ext cx="1325880" cy="4114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1" name="Rectangle 100">
              <a:extLst>
                <a:ext uri="{FF2B5EF4-FFF2-40B4-BE49-F238E27FC236}">
                  <a16:creationId xmlns:a16="http://schemas.microsoft.com/office/drawing/2014/main" id="{00000000-0008-0000-0000-000065000000}"/>
                </a:ext>
              </a:extLst>
            </xdr:cNvPr>
            <xdr:cNvSpPr/>
          </xdr:nvSpPr>
          <xdr:spPr>
            <a:xfrm>
              <a:off x="4465320" y="16573500"/>
              <a:ext cx="525780" cy="1905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03" name="Rectangle 102">
            <a:extLst>
              <a:ext uri="{FF2B5EF4-FFF2-40B4-BE49-F238E27FC236}">
                <a16:creationId xmlns:a16="http://schemas.microsoft.com/office/drawing/2014/main" id="{00000000-0008-0000-0000-000067000000}"/>
              </a:ext>
            </a:extLst>
          </xdr:cNvPr>
          <xdr:cNvSpPr/>
        </xdr:nvSpPr>
        <xdr:spPr>
          <a:xfrm>
            <a:off x="1485900" y="16471025"/>
            <a:ext cx="220980" cy="1862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53340</xdr:colOff>
      <xdr:row>142</xdr:row>
      <xdr:rowOff>92136</xdr:rowOff>
    </xdr:from>
    <xdr:to>
      <xdr:col>10</xdr:col>
      <xdr:colOff>15725</xdr:colOff>
      <xdr:row>151</xdr:row>
      <xdr:rowOff>54877</xdr:rowOff>
    </xdr:to>
    <xdr:grpSp>
      <xdr:nvGrpSpPr>
        <xdr:cNvPr id="109" name="Groupe 108">
          <a:extLst>
            <a:ext uri="{FF2B5EF4-FFF2-40B4-BE49-F238E27FC236}">
              <a16:creationId xmlns:a16="http://schemas.microsoft.com/office/drawing/2014/main" id="{00000000-0008-0000-0000-00006D000000}"/>
            </a:ext>
          </a:extLst>
        </xdr:cNvPr>
        <xdr:cNvGrpSpPr/>
      </xdr:nvGrpSpPr>
      <xdr:grpSpPr>
        <a:xfrm>
          <a:off x="53340" y="27038361"/>
          <a:ext cx="6058385" cy="1677241"/>
          <a:chOff x="68580" y="18303936"/>
          <a:chExt cx="6210785" cy="1608661"/>
        </a:xfrm>
      </xdr:grpSpPr>
      <xdr:pic>
        <xdr:nvPicPr>
          <xdr:cNvPr id="105" name="Image 104">
            <a:extLst>
              <a:ext uri="{FF2B5EF4-FFF2-40B4-BE49-F238E27FC236}">
                <a16:creationId xmlns:a16="http://schemas.microsoft.com/office/drawing/2014/main" id="{00000000-0008-0000-0000-000069000000}"/>
              </a:ext>
            </a:extLst>
          </xdr:cNvPr>
          <xdr:cNvPicPr>
            <a:picLocks noChangeAspect="1"/>
          </xdr:cNvPicPr>
        </xdr:nvPicPr>
        <xdr:blipFill>
          <a:blip xmlns:r="http://schemas.openxmlformats.org/officeDocument/2006/relationships" r:embed="rId16"/>
          <a:stretch>
            <a:fillRect/>
          </a:stretch>
        </xdr:blipFill>
        <xdr:spPr>
          <a:xfrm>
            <a:off x="68580" y="18303936"/>
            <a:ext cx="6210785" cy="1608661"/>
          </a:xfrm>
          <a:prstGeom prst="rect">
            <a:avLst/>
          </a:prstGeom>
        </xdr:spPr>
      </xdr:pic>
      <xdr:sp macro="" textlink="">
        <xdr:nvSpPr>
          <xdr:cNvPr id="106" name="Rectangle 105">
            <a:extLst>
              <a:ext uri="{FF2B5EF4-FFF2-40B4-BE49-F238E27FC236}">
                <a16:creationId xmlns:a16="http://schemas.microsoft.com/office/drawing/2014/main" id="{00000000-0008-0000-0000-00006A000000}"/>
              </a:ext>
            </a:extLst>
          </xdr:cNvPr>
          <xdr:cNvSpPr/>
        </xdr:nvSpPr>
        <xdr:spPr>
          <a:xfrm>
            <a:off x="1371600" y="19080480"/>
            <a:ext cx="205740" cy="1371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7" name="Rectangle 106">
            <a:extLst>
              <a:ext uri="{FF2B5EF4-FFF2-40B4-BE49-F238E27FC236}">
                <a16:creationId xmlns:a16="http://schemas.microsoft.com/office/drawing/2014/main" id="{00000000-0008-0000-0000-00006B000000}"/>
              </a:ext>
            </a:extLst>
          </xdr:cNvPr>
          <xdr:cNvSpPr/>
        </xdr:nvSpPr>
        <xdr:spPr>
          <a:xfrm>
            <a:off x="944880" y="19286220"/>
            <a:ext cx="1409700" cy="5867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8" name="Rectangle 107">
            <a:extLst>
              <a:ext uri="{FF2B5EF4-FFF2-40B4-BE49-F238E27FC236}">
                <a16:creationId xmlns:a16="http://schemas.microsoft.com/office/drawing/2014/main" id="{00000000-0008-0000-0000-00006C000000}"/>
              </a:ext>
            </a:extLst>
          </xdr:cNvPr>
          <xdr:cNvSpPr/>
        </xdr:nvSpPr>
        <xdr:spPr>
          <a:xfrm>
            <a:off x="5013960" y="19171920"/>
            <a:ext cx="541020" cy="1905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99061</xdr:colOff>
      <xdr:row>103</xdr:row>
      <xdr:rowOff>180030</xdr:rowOff>
    </xdr:from>
    <xdr:to>
      <xdr:col>14</xdr:col>
      <xdr:colOff>1219201</xdr:colOff>
      <xdr:row>110</xdr:row>
      <xdr:rowOff>110264</xdr:rowOff>
    </xdr:to>
    <xdr:grpSp>
      <xdr:nvGrpSpPr>
        <xdr:cNvPr id="116" name="Groupe 115">
          <a:extLst>
            <a:ext uri="{FF2B5EF4-FFF2-40B4-BE49-F238E27FC236}">
              <a16:creationId xmlns:a16="http://schemas.microsoft.com/office/drawing/2014/main" id="{00000000-0008-0000-0000-000074000000}"/>
            </a:ext>
          </a:extLst>
        </xdr:cNvPr>
        <xdr:cNvGrpSpPr/>
      </xdr:nvGrpSpPr>
      <xdr:grpSpPr>
        <a:xfrm>
          <a:off x="99061" y="19696755"/>
          <a:ext cx="9645015" cy="1263734"/>
          <a:chOff x="53341" y="17157390"/>
          <a:chExt cx="9867900" cy="1210394"/>
        </a:xfrm>
      </xdr:grpSpPr>
      <xdr:pic>
        <xdr:nvPicPr>
          <xdr:cNvPr id="110" name="Image 109">
            <a:extLst>
              <a:ext uri="{FF2B5EF4-FFF2-40B4-BE49-F238E27FC236}">
                <a16:creationId xmlns:a16="http://schemas.microsoft.com/office/drawing/2014/main" id="{00000000-0008-0000-0000-00006E000000}"/>
              </a:ext>
            </a:extLst>
          </xdr:cNvPr>
          <xdr:cNvPicPr>
            <a:picLocks noChangeAspect="1"/>
          </xdr:cNvPicPr>
        </xdr:nvPicPr>
        <xdr:blipFill>
          <a:blip xmlns:r="http://schemas.openxmlformats.org/officeDocument/2006/relationships" r:embed="rId17"/>
          <a:stretch>
            <a:fillRect/>
          </a:stretch>
        </xdr:blipFill>
        <xdr:spPr>
          <a:xfrm>
            <a:off x="53341" y="17157390"/>
            <a:ext cx="9867900" cy="1210394"/>
          </a:xfrm>
          <a:prstGeom prst="rect">
            <a:avLst/>
          </a:prstGeom>
        </xdr:spPr>
      </xdr:pic>
      <xdr:sp macro="" textlink="">
        <xdr:nvSpPr>
          <xdr:cNvPr id="111" name="Rectangle 110">
            <a:extLst>
              <a:ext uri="{FF2B5EF4-FFF2-40B4-BE49-F238E27FC236}">
                <a16:creationId xmlns:a16="http://schemas.microsoft.com/office/drawing/2014/main" id="{00000000-0008-0000-0000-00006F000000}"/>
              </a:ext>
            </a:extLst>
          </xdr:cNvPr>
          <xdr:cNvSpPr/>
        </xdr:nvSpPr>
        <xdr:spPr>
          <a:xfrm>
            <a:off x="91440" y="17693640"/>
            <a:ext cx="9799320" cy="6172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2" name="Rectangle 111">
            <a:extLst>
              <a:ext uri="{FF2B5EF4-FFF2-40B4-BE49-F238E27FC236}">
                <a16:creationId xmlns:a16="http://schemas.microsoft.com/office/drawing/2014/main" id="{00000000-0008-0000-0000-000070000000}"/>
              </a:ext>
            </a:extLst>
          </xdr:cNvPr>
          <xdr:cNvSpPr/>
        </xdr:nvSpPr>
        <xdr:spPr>
          <a:xfrm>
            <a:off x="1036320" y="17343120"/>
            <a:ext cx="86868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3" name="Rectangle 112">
            <a:extLst>
              <a:ext uri="{FF2B5EF4-FFF2-40B4-BE49-F238E27FC236}">
                <a16:creationId xmlns:a16="http://schemas.microsoft.com/office/drawing/2014/main" id="{00000000-0008-0000-0000-000071000000}"/>
              </a:ext>
            </a:extLst>
          </xdr:cNvPr>
          <xdr:cNvSpPr/>
        </xdr:nvSpPr>
        <xdr:spPr>
          <a:xfrm>
            <a:off x="3528060" y="17350740"/>
            <a:ext cx="822960" cy="1447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4" name="Rectangle 113">
            <a:extLst>
              <a:ext uri="{FF2B5EF4-FFF2-40B4-BE49-F238E27FC236}">
                <a16:creationId xmlns:a16="http://schemas.microsoft.com/office/drawing/2014/main" id="{00000000-0008-0000-0000-000072000000}"/>
              </a:ext>
            </a:extLst>
          </xdr:cNvPr>
          <xdr:cNvSpPr/>
        </xdr:nvSpPr>
        <xdr:spPr>
          <a:xfrm>
            <a:off x="5890260" y="17343120"/>
            <a:ext cx="102108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5" name="Rectangle 114">
            <a:extLst>
              <a:ext uri="{FF2B5EF4-FFF2-40B4-BE49-F238E27FC236}">
                <a16:creationId xmlns:a16="http://schemas.microsoft.com/office/drawing/2014/main" id="{00000000-0008-0000-0000-000073000000}"/>
              </a:ext>
            </a:extLst>
          </xdr:cNvPr>
          <xdr:cNvSpPr/>
        </xdr:nvSpPr>
        <xdr:spPr>
          <a:xfrm>
            <a:off x="8717280" y="17343120"/>
            <a:ext cx="32004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91440</xdr:colOff>
      <xdr:row>110</xdr:row>
      <xdr:rowOff>161924</xdr:rowOff>
    </xdr:from>
    <xdr:to>
      <xdr:col>13</xdr:col>
      <xdr:colOff>571513</xdr:colOff>
      <xdr:row>121</xdr:row>
      <xdr:rowOff>180529</xdr:rowOff>
    </xdr:to>
    <xdr:grpSp>
      <xdr:nvGrpSpPr>
        <xdr:cNvPr id="122" name="Groupe 121">
          <a:extLst>
            <a:ext uri="{FF2B5EF4-FFF2-40B4-BE49-F238E27FC236}">
              <a16:creationId xmlns:a16="http://schemas.microsoft.com/office/drawing/2014/main" id="{00000000-0008-0000-0000-00007A000000}"/>
            </a:ext>
          </a:extLst>
        </xdr:cNvPr>
        <xdr:cNvGrpSpPr/>
      </xdr:nvGrpSpPr>
      <xdr:grpSpPr>
        <a:xfrm>
          <a:off x="91440" y="21012149"/>
          <a:ext cx="8404873" cy="2114105"/>
          <a:chOff x="76200" y="18465164"/>
          <a:chExt cx="8602993" cy="2030285"/>
        </a:xfrm>
      </xdr:grpSpPr>
      <xdr:pic>
        <xdr:nvPicPr>
          <xdr:cNvPr id="118" name="Image 117">
            <a:extLst>
              <a:ext uri="{FF2B5EF4-FFF2-40B4-BE49-F238E27FC236}">
                <a16:creationId xmlns:a16="http://schemas.microsoft.com/office/drawing/2014/main" id="{00000000-0008-0000-0000-000076000000}"/>
              </a:ext>
            </a:extLst>
          </xdr:cNvPr>
          <xdr:cNvPicPr>
            <a:picLocks noChangeAspect="1"/>
          </xdr:cNvPicPr>
        </xdr:nvPicPr>
        <xdr:blipFill>
          <a:blip xmlns:r="http://schemas.openxmlformats.org/officeDocument/2006/relationships" r:embed="rId18"/>
          <a:stretch>
            <a:fillRect/>
          </a:stretch>
        </xdr:blipFill>
        <xdr:spPr>
          <a:xfrm>
            <a:off x="76200" y="18465164"/>
            <a:ext cx="8602993" cy="2030285"/>
          </a:xfrm>
          <a:prstGeom prst="rect">
            <a:avLst/>
          </a:prstGeom>
        </xdr:spPr>
      </xdr:pic>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37160" y="18783300"/>
            <a:ext cx="3977640" cy="4495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259080" y="20002500"/>
            <a:ext cx="3627120" cy="4495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5349240" y="18775680"/>
            <a:ext cx="2743200" cy="1676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68581</xdr:colOff>
      <xdr:row>121</xdr:row>
      <xdr:rowOff>175260</xdr:rowOff>
    </xdr:from>
    <xdr:to>
      <xdr:col>4</xdr:col>
      <xdr:colOff>193373</xdr:colOff>
      <xdr:row>126</xdr:row>
      <xdr:rowOff>47476</xdr:rowOff>
    </xdr:to>
    <xdr:pic>
      <xdr:nvPicPr>
        <xdr:cNvPr id="123" name="Image 122">
          <a:extLst>
            <a:ext uri="{FF2B5EF4-FFF2-40B4-BE49-F238E27FC236}">
              <a16:creationId xmlns:a16="http://schemas.microsoft.com/office/drawing/2014/main" id="{00000000-0008-0000-0000-00007B000000}"/>
            </a:ext>
          </a:extLst>
        </xdr:cNvPr>
        <xdr:cNvPicPr>
          <a:picLocks noChangeAspect="1"/>
        </xdr:cNvPicPr>
      </xdr:nvPicPr>
      <xdr:blipFill>
        <a:blip xmlns:r="http://schemas.openxmlformats.org/officeDocument/2006/relationships" r:embed="rId19"/>
        <a:stretch>
          <a:fillRect/>
        </a:stretch>
      </xdr:blipFill>
      <xdr:spPr>
        <a:xfrm>
          <a:off x="68581" y="22212300"/>
          <a:ext cx="2624152" cy="786616"/>
        </a:xfrm>
        <a:prstGeom prst="rect">
          <a:avLst/>
        </a:prstGeom>
      </xdr:spPr>
    </xdr:pic>
    <xdr:clientData/>
  </xdr:twoCellAnchor>
  <xdr:twoCellAnchor editAs="oneCell">
    <xdr:from>
      <xdr:col>4</xdr:col>
      <xdr:colOff>472440</xdr:colOff>
      <xdr:row>122</xdr:row>
      <xdr:rowOff>58034</xdr:rowOff>
    </xdr:from>
    <xdr:to>
      <xdr:col>8</xdr:col>
      <xdr:colOff>534828</xdr:colOff>
      <xdr:row>126</xdr:row>
      <xdr:rowOff>3684</xdr:rowOff>
    </xdr:to>
    <xdr:pic>
      <xdr:nvPicPr>
        <xdr:cNvPr id="124" name="Image 123">
          <a:extLst>
            <a:ext uri="{FF2B5EF4-FFF2-40B4-BE49-F238E27FC236}">
              <a16:creationId xmlns:a16="http://schemas.microsoft.com/office/drawing/2014/main" id="{00000000-0008-0000-0000-00007C000000}"/>
            </a:ext>
          </a:extLst>
        </xdr:cNvPr>
        <xdr:cNvPicPr>
          <a:picLocks noChangeAspect="1"/>
        </xdr:cNvPicPr>
      </xdr:nvPicPr>
      <xdr:blipFill>
        <a:blip xmlns:r="http://schemas.openxmlformats.org/officeDocument/2006/relationships" r:embed="rId20"/>
        <a:stretch>
          <a:fillRect/>
        </a:stretch>
      </xdr:blipFill>
      <xdr:spPr>
        <a:xfrm>
          <a:off x="2971800" y="22277954"/>
          <a:ext cx="2561748" cy="677170"/>
        </a:xfrm>
        <a:prstGeom prst="rect">
          <a:avLst/>
        </a:prstGeom>
      </xdr:spPr>
    </xdr:pic>
    <xdr:clientData/>
  </xdr:twoCellAnchor>
  <xdr:twoCellAnchor>
    <xdr:from>
      <xdr:col>3</xdr:col>
      <xdr:colOff>563880</xdr:colOff>
      <xdr:row>1</xdr:row>
      <xdr:rowOff>15240</xdr:rowOff>
    </xdr:from>
    <xdr:to>
      <xdr:col>10</xdr:col>
      <xdr:colOff>220980</xdr:colOff>
      <xdr:row>4</xdr:row>
      <xdr:rowOff>38100</xdr:rowOff>
    </xdr:to>
    <xdr:sp macro="" textlink="">
      <xdr:nvSpPr>
        <xdr:cNvPr id="3" name="ZoneTexte 2">
          <a:extLst>
            <a:ext uri="{FF2B5EF4-FFF2-40B4-BE49-F238E27FC236}">
              <a16:creationId xmlns:a16="http://schemas.microsoft.com/office/drawing/2014/main" id="{00000000-0008-0000-0000-000003000000}"/>
            </a:ext>
          </a:extLst>
        </xdr:cNvPr>
        <xdr:cNvSpPr txBox="1"/>
      </xdr:nvSpPr>
      <xdr:spPr>
        <a:xfrm>
          <a:off x="2438400" y="106680"/>
          <a:ext cx="403098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latin typeface="Candara" panose="020E0502030303020204" pitchFamily="34" charset="0"/>
            </a:rPr>
            <a:t>Registre</a:t>
          </a:r>
          <a:r>
            <a:rPr lang="fr-FR" sz="2000" b="1" baseline="0">
              <a:latin typeface="Candara" panose="020E0502030303020204" pitchFamily="34" charset="0"/>
            </a:rPr>
            <a:t> de gestion des risques</a:t>
          </a:r>
          <a:endParaRPr lang="fr-FR" sz="2000" b="1">
            <a:latin typeface="Candara" panose="020E0502030303020204" pitchFamily="34" charset="0"/>
          </a:endParaRPr>
        </a:p>
      </xdr:txBody>
    </xdr:sp>
    <xdr:clientData/>
  </xdr:twoCellAnchor>
  <xdr:twoCellAnchor>
    <xdr:from>
      <xdr:col>0</xdr:col>
      <xdr:colOff>144780</xdr:colOff>
      <xdr:row>35</xdr:row>
      <xdr:rowOff>140587</xdr:rowOff>
    </xdr:from>
    <xdr:to>
      <xdr:col>19</xdr:col>
      <xdr:colOff>232729</xdr:colOff>
      <xdr:row>43</xdr:row>
      <xdr:rowOff>106680</xdr:rowOff>
    </xdr:to>
    <xdr:grpSp>
      <xdr:nvGrpSpPr>
        <xdr:cNvPr id="16" name="Groupe 15">
          <a:extLst>
            <a:ext uri="{FF2B5EF4-FFF2-40B4-BE49-F238E27FC236}">
              <a16:creationId xmlns:a16="http://schemas.microsoft.com/office/drawing/2014/main" id="{00000000-0008-0000-0000-000010000000}"/>
            </a:ext>
          </a:extLst>
        </xdr:cNvPr>
        <xdr:cNvGrpSpPr/>
      </xdr:nvGrpSpPr>
      <xdr:grpSpPr>
        <a:xfrm>
          <a:off x="144780" y="6703312"/>
          <a:ext cx="12270424" cy="1490093"/>
          <a:chOff x="144780" y="6449947"/>
          <a:chExt cx="12577129" cy="1429133"/>
        </a:xfrm>
      </xdr:grpSpPr>
      <xdr:grpSp>
        <xdr:nvGrpSpPr>
          <xdr:cNvPr id="12" name="Groupe 11">
            <a:extLst>
              <a:ext uri="{FF2B5EF4-FFF2-40B4-BE49-F238E27FC236}">
                <a16:creationId xmlns:a16="http://schemas.microsoft.com/office/drawing/2014/main" id="{00000000-0008-0000-0000-00000C000000}"/>
              </a:ext>
            </a:extLst>
          </xdr:cNvPr>
          <xdr:cNvGrpSpPr/>
        </xdr:nvGrpSpPr>
        <xdr:grpSpPr>
          <a:xfrm>
            <a:off x="144780" y="6449947"/>
            <a:ext cx="6568440" cy="1429133"/>
            <a:chOff x="144780" y="6449947"/>
            <a:chExt cx="6568440" cy="1429133"/>
          </a:xfrm>
        </xdr:grpSpPr>
        <xdr:grpSp>
          <xdr:nvGrpSpPr>
            <xdr:cNvPr id="10" name="Groupe 9">
              <a:extLst>
                <a:ext uri="{FF2B5EF4-FFF2-40B4-BE49-F238E27FC236}">
                  <a16:creationId xmlns:a16="http://schemas.microsoft.com/office/drawing/2014/main" id="{00000000-0008-0000-0000-00000A000000}"/>
                </a:ext>
              </a:extLst>
            </xdr:cNvPr>
            <xdr:cNvGrpSpPr/>
          </xdr:nvGrpSpPr>
          <xdr:grpSpPr>
            <a:xfrm>
              <a:off x="144780" y="6449947"/>
              <a:ext cx="5935980" cy="1429133"/>
              <a:chOff x="144780" y="6373747"/>
              <a:chExt cx="5935980" cy="1429133"/>
            </a:xfrm>
          </xdr:grpSpPr>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1"/>
              <a:srcRect b="25725"/>
              <a:stretch/>
            </xdr:blipFill>
            <xdr:spPr>
              <a:xfrm>
                <a:off x="144780" y="6373747"/>
                <a:ext cx="5935980" cy="1429133"/>
              </a:xfrm>
              <a:prstGeom prst="rect">
                <a:avLst/>
              </a:prstGeom>
            </xdr:spPr>
          </xdr:pic>
          <xdr:sp macro="" textlink="">
            <xdr:nvSpPr>
              <xdr:cNvPr id="8" name="Rectangle 7">
                <a:extLst>
                  <a:ext uri="{FF2B5EF4-FFF2-40B4-BE49-F238E27FC236}">
                    <a16:creationId xmlns:a16="http://schemas.microsoft.com/office/drawing/2014/main" id="{00000000-0008-0000-0000-000008000000}"/>
                  </a:ext>
                </a:extLst>
              </xdr:cNvPr>
              <xdr:cNvSpPr/>
            </xdr:nvSpPr>
            <xdr:spPr>
              <a:xfrm>
                <a:off x="1356360" y="7048500"/>
                <a:ext cx="1150620" cy="2133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 name="Rectangle 8">
                <a:extLst>
                  <a:ext uri="{FF2B5EF4-FFF2-40B4-BE49-F238E27FC236}">
                    <a16:creationId xmlns:a16="http://schemas.microsoft.com/office/drawing/2014/main" id="{00000000-0008-0000-0000-000009000000}"/>
                  </a:ext>
                </a:extLst>
              </xdr:cNvPr>
              <xdr:cNvSpPr/>
            </xdr:nvSpPr>
            <xdr:spPr>
              <a:xfrm>
                <a:off x="4762500" y="6629400"/>
                <a:ext cx="1272540" cy="11353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1" name="Flèche : droite 10">
              <a:extLst>
                <a:ext uri="{FF2B5EF4-FFF2-40B4-BE49-F238E27FC236}">
                  <a16:creationId xmlns:a16="http://schemas.microsoft.com/office/drawing/2014/main" id="{00000000-0008-0000-0000-00000B000000}"/>
                </a:ext>
              </a:extLst>
            </xdr:cNvPr>
            <xdr:cNvSpPr/>
          </xdr:nvSpPr>
          <xdr:spPr>
            <a:xfrm>
              <a:off x="6332220" y="7010400"/>
              <a:ext cx="381000" cy="251460"/>
            </a:xfrm>
            <a:prstGeom prst="rightArrow">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nvGrpSpPr>
          <xdr:cNvPr id="15" name="Groupe 14">
            <a:extLst>
              <a:ext uri="{FF2B5EF4-FFF2-40B4-BE49-F238E27FC236}">
                <a16:creationId xmlns:a16="http://schemas.microsoft.com/office/drawing/2014/main" id="{00000000-0008-0000-0000-00000F000000}"/>
              </a:ext>
            </a:extLst>
          </xdr:cNvPr>
          <xdr:cNvGrpSpPr/>
        </xdr:nvGrpSpPr>
        <xdr:grpSpPr>
          <a:xfrm>
            <a:off x="6938492" y="6903720"/>
            <a:ext cx="5783417" cy="447552"/>
            <a:chOff x="6938492" y="6903720"/>
            <a:chExt cx="5783417" cy="447552"/>
          </a:xfrm>
        </xdr:grpSpPr>
        <xdr:pic>
          <xdr:nvPicPr>
            <xdr:cNvPr id="13" name="Imag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2"/>
            <a:stretch>
              <a:fillRect/>
            </a:stretch>
          </xdr:blipFill>
          <xdr:spPr>
            <a:xfrm>
              <a:off x="6938492" y="6903720"/>
              <a:ext cx="5783417" cy="447552"/>
            </a:xfrm>
            <a:prstGeom prst="rect">
              <a:avLst/>
            </a:prstGeom>
          </xdr:spPr>
        </xdr:pic>
        <xdr:sp macro="" textlink="">
          <xdr:nvSpPr>
            <xdr:cNvPr id="14" name="Rectangle 13">
              <a:extLst>
                <a:ext uri="{FF2B5EF4-FFF2-40B4-BE49-F238E27FC236}">
                  <a16:creationId xmlns:a16="http://schemas.microsoft.com/office/drawing/2014/main" id="{00000000-0008-0000-0000-00000E000000}"/>
                </a:ext>
              </a:extLst>
            </xdr:cNvPr>
            <xdr:cNvSpPr/>
          </xdr:nvSpPr>
          <xdr:spPr>
            <a:xfrm>
              <a:off x="10812780" y="7162800"/>
              <a:ext cx="1821180" cy="1219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437031</xdr:colOff>
      <xdr:row>0</xdr:row>
      <xdr:rowOff>159683</xdr:rowOff>
    </xdr:from>
    <xdr:to>
      <xdr:col>15</xdr:col>
      <xdr:colOff>206188</xdr:colOff>
      <xdr:row>5</xdr:row>
      <xdr:rowOff>114861</xdr:rowOff>
    </xdr:to>
    <xdr:grpSp>
      <xdr:nvGrpSpPr>
        <xdr:cNvPr id="9" name="Group 8">
          <a:extLst>
            <a:ext uri="{FF2B5EF4-FFF2-40B4-BE49-F238E27FC236}">
              <a16:creationId xmlns:a16="http://schemas.microsoft.com/office/drawing/2014/main" id="{00000000-0008-0000-0100-000009000000}"/>
            </a:ext>
          </a:extLst>
        </xdr:cNvPr>
        <xdr:cNvGrpSpPr/>
      </xdr:nvGrpSpPr>
      <xdr:grpSpPr>
        <a:xfrm>
          <a:off x="6387355" y="159683"/>
          <a:ext cx="7445186" cy="907678"/>
          <a:chOff x="6409767" y="352985"/>
          <a:chExt cx="7451909" cy="907678"/>
        </a:xfrm>
      </xdr:grpSpPr>
      <xdr:sp macro="" textlink="">
        <xdr:nvSpPr>
          <xdr:cNvPr id="8" name="Rectangle 7">
            <a:extLst>
              <a:ext uri="{FF2B5EF4-FFF2-40B4-BE49-F238E27FC236}">
                <a16:creationId xmlns:a16="http://schemas.microsoft.com/office/drawing/2014/main" id="{00000000-0008-0000-0100-000008000000}"/>
              </a:ext>
            </a:extLst>
          </xdr:cNvPr>
          <xdr:cNvSpPr/>
        </xdr:nvSpPr>
        <xdr:spPr>
          <a:xfrm>
            <a:off x="6902824" y="414618"/>
            <a:ext cx="6958852" cy="784412"/>
          </a:xfrm>
          <a:prstGeom prst="rect">
            <a:avLst/>
          </a:prstGeom>
          <a:solidFill>
            <a:srgbClr val="4F81BD">
              <a:alpha val="12941"/>
            </a:srgbClr>
          </a:solidFill>
          <a:ln w="3175">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552765"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Registre des risques</a:t>
            </a:r>
          </a:p>
        </xdr:txBody>
      </xdr:sp>
      <xdr:sp macro="" textlink="">
        <xdr:nvSpPr>
          <xdr:cNvPr id="5" name="Rectangle: Rounded Corners 4">
            <a:hlinkClick xmlns:r="http://schemas.openxmlformats.org/officeDocument/2006/relationships" r:id="rId1" tooltip="Aller à la page Tableau de bord"/>
            <a:extLst>
              <a:ext uri="{FF2B5EF4-FFF2-40B4-BE49-F238E27FC236}">
                <a16:creationId xmlns:a16="http://schemas.microsoft.com/office/drawing/2014/main" id="{00000000-0008-0000-0100-000005000000}"/>
              </a:ext>
            </a:extLst>
          </xdr:cNvPr>
          <xdr:cNvSpPr/>
        </xdr:nvSpPr>
        <xdr:spPr>
          <a:xfrm>
            <a:off x="9665074"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Tableau de Bord</a:t>
            </a:r>
          </a:p>
        </xdr:txBody>
      </xdr:sp>
      <xdr:sp macro="" textlink="">
        <xdr:nvSpPr>
          <xdr:cNvPr id="6" name="Rectangle: Rounded Corners 5">
            <a:hlinkClick xmlns:r="http://schemas.openxmlformats.org/officeDocument/2006/relationships" r:id="rId2" tooltip="Aller à la page paramètres"/>
            <a:extLst>
              <a:ext uri="{FF2B5EF4-FFF2-40B4-BE49-F238E27FC236}">
                <a16:creationId xmlns:a16="http://schemas.microsoft.com/office/drawing/2014/main" id="{00000000-0008-0000-0100-000006000000}"/>
              </a:ext>
            </a:extLst>
          </xdr:cNvPr>
          <xdr:cNvSpPr/>
        </xdr:nvSpPr>
        <xdr:spPr>
          <a:xfrm>
            <a:off x="11777382"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Paramètres</a:t>
            </a:r>
          </a:p>
        </xdr:txBody>
      </xdr:sp>
      <xdr:sp macro="" textlink="">
        <xdr:nvSpPr>
          <xdr:cNvPr id="7" name="Oval 6">
            <a:hlinkClick xmlns:r="http://schemas.openxmlformats.org/officeDocument/2006/relationships" r:id="rId3" tooltip="Retour à la page d'accueil"/>
            <a:extLst>
              <a:ext uri="{FF2B5EF4-FFF2-40B4-BE49-F238E27FC236}">
                <a16:creationId xmlns:a16="http://schemas.microsoft.com/office/drawing/2014/main" id="{00000000-0008-0000-0100-000007000000}"/>
              </a:ext>
            </a:extLst>
          </xdr:cNvPr>
          <xdr:cNvSpPr/>
        </xdr:nvSpPr>
        <xdr:spPr>
          <a:xfrm>
            <a:off x="6409767" y="352985"/>
            <a:ext cx="1019735" cy="907678"/>
          </a:xfrm>
          <a:prstGeom prst="ellipse">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2000" cap="small" baseline="0"/>
              <a:t>Menu</a:t>
            </a:r>
          </a:p>
        </xdr:txBody>
      </xdr:sp>
    </xdr:grpSp>
    <xdr:clientData/>
  </xdr:twoCellAnchor>
  <mc:AlternateContent xmlns:mc="http://schemas.openxmlformats.org/markup-compatibility/2006">
    <mc:Choice xmlns:a14="http://schemas.microsoft.com/office/drawing/2010/main" Requires="a14">
      <xdr:twoCellAnchor>
        <xdr:from>
          <xdr:col>31</xdr:col>
          <xdr:colOff>238125</xdr:colOff>
          <xdr:row>10</xdr:row>
          <xdr:rowOff>390525</xdr:rowOff>
        </xdr:from>
        <xdr:to>
          <xdr:col>31</xdr:col>
          <xdr:colOff>552450</xdr:colOff>
          <xdr:row>10</xdr:row>
          <xdr:rowOff>742950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10</xdr:row>
          <xdr:rowOff>390525</xdr:rowOff>
        </xdr:from>
        <xdr:to>
          <xdr:col>32</xdr:col>
          <xdr:colOff>542925</xdr:colOff>
          <xdr:row>10</xdr:row>
          <xdr:rowOff>742950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12</xdr:row>
          <xdr:rowOff>114300</xdr:rowOff>
        </xdr:from>
        <xdr:to>
          <xdr:col>31</xdr:col>
          <xdr:colOff>552450</xdr:colOff>
          <xdr:row>12</xdr:row>
          <xdr:rowOff>400050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12</xdr:row>
          <xdr:rowOff>114300</xdr:rowOff>
        </xdr:from>
        <xdr:to>
          <xdr:col>32</xdr:col>
          <xdr:colOff>542925</xdr:colOff>
          <xdr:row>12</xdr:row>
          <xdr:rowOff>400050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13</xdr:row>
          <xdr:rowOff>219075</xdr:rowOff>
        </xdr:from>
        <xdr:to>
          <xdr:col>31</xdr:col>
          <xdr:colOff>552450</xdr:colOff>
          <xdr:row>13</xdr:row>
          <xdr:rowOff>571500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13</xdr:row>
          <xdr:rowOff>219075</xdr:rowOff>
        </xdr:from>
        <xdr:to>
          <xdr:col>32</xdr:col>
          <xdr:colOff>542925</xdr:colOff>
          <xdr:row>13</xdr:row>
          <xdr:rowOff>571500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14</xdr:row>
          <xdr:rowOff>276225</xdr:rowOff>
        </xdr:from>
        <xdr:to>
          <xdr:col>31</xdr:col>
          <xdr:colOff>552450</xdr:colOff>
          <xdr:row>14</xdr:row>
          <xdr:rowOff>628650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14</xdr:row>
          <xdr:rowOff>276225</xdr:rowOff>
        </xdr:from>
        <xdr:to>
          <xdr:col>32</xdr:col>
          <xdr:colOff>542925</xdr:colOff>
          <xdr:row>14</xdr:row>
          <xdr:rowOff>628650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15</xdr:row>
          <xdr:rowOff>133350</xdr:rowOff>
        </xdr:from>
        <xdr:to>
          <xdr:col>31</xdr:col>
          <xdr:colOff>552450</xdr:colOff>
          <xdr:row>15</xdr:row>
          <xdr:rowOff>390525</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15</xdr:row>
          <xdr:rowOff>133350</xdr:rowOff>
        </xdr:from>
        <xdr:to>
          <xdr:col>32</xdr:col>
          <xdr:colOff>542925</xdr:colOff>
          <xdr:row>15</xdr:row>
          <xdr:rowOff>390525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16</xdr:row>
          <xdr:rowOff>161925</xdr:rowOff>
        </xdr:from>
        <xdr:to>
          <xdr:col>31</xdr:col>
          <xdr:colOff>552450</xdr:colOff>
          <xdr:row>16</xdr:row>
          <xdr:rowOff>428625</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16</xdr:row>
          <xdr:rowOff>161925</xdr:rowOff>
        </xdr:from>
        <xdr:to>
          <xdr:col>32</xdr:col>
          <xdr:colOff>542925</xdr:colOff>
          <xdr:row>16</xdr:row>
          <xdr:rowOff>428625</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17</xdr:row>
          <xdr:rowOff>238125</xdr:rowOff>
        </xdr:from>
        <xdr:to>
          <xdr:col>31</xdr:col>
          <xdr:colOff>552450</xdr:colOff>
          <xdr:row>17</xdr:row>
          <xdr:rowOff>533400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200-00001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17</xdr:row>
          <xdr:rowOff>238125</xdr:rowOff>
        </xdr:from>
        <xdr:to>
          <xdr:col>32</xdr:col>
          <xdr:colOff>542925</xdr:colOff>
          <xdr:row>17</xdr:row>
          <xdr:rowOff>533400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200-00001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18</xdr:row>
          <xdr:rowOff>123825</xdr:rowOff>
        </xdr:from>
        <xdr:to>
          <xdr:col>31</xdr:col>
          <xdr:colOff>552450</xdr:colOff>
          <xdr:row>18</xdr:row>
          <xdr:rowOff>419100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200-00001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18</xdr:row>
          <xdr:rowOff>123825</xdr:rowOff>
        </xdr:from>
        <xdr:to>
          <xdr:col>32</xdr:col>
          <xdr:colOff>542925</xdr:colOff>
          <xdr:row>18</xdr:row>
          <xdr:rowOff>419100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200-00001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19</xdr:row>
          <xdr:rowOff>390525</xdr:rowOff>
        </xdr:from>
        <xdr:to>
          <xdr:col>31</xdr:col>
          <xdr:colOff>552450</xdr:colOff>
          <xdr:row>19</xdr:row>
          <xdr:rowOff>742950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19</xdr:row>
          <xdr:rowOff>390525</xdr:rowOff>
        </xdr:from>
        <xdr:to>
          <xdr:col>32</xdr:col>
          <xdr:colOff>542925</xdr:colOff>
          <xdr:row>19</xdr:row>
          <xdr:rowOff>742950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200-00001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20</xdr:row>
          <xdr:rowOff>219075</xdr:rowOff>
        </xdr:from>
        <xdr:to>
          <xdr:col>31</xdr:col>
          <xdr:colOff>552450</xdr:colOff>
          <xdr:row>20</xdr:row>
          <xdr:rowOff>447675</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20</xdr:row>
          <xdr:rowOff>219075</xdr:rowOff>
        </xdr:from>
        <xdr:to>
          <xdr:col>32</xdr:col>
          <xdr:colOff>542925</xdr:colOff>
          <xdr:row>20</xdr:row>
          <xdr:rowOff>447675</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21</xdr:row>
          <xdr:rowOff>180975</xdr:rowOff>
        </xdr:from>
        <xdr:to>
          <xdr:col>31</xdr:col>
          <xdr:colOff>552450</xdr:colOff>
          <xdr:row>21</xdr:row>
          <xdr:rowOff>409575</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200-00001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21</xdr:row>
          <xdr:rowOff>180975</xdr:rowOff>
        </xdr:from>
        <xdr:to>
          <xdr:col>32</xdr:col>
          <xdr:colOff>542925</xdr:colOff>
          <xdr:row>21</xdr:row>
          <xdr:rowOff>409575</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22</xdr:row>
          <xdr:rowOff>219075</xdr:rowOff>
        </xdr:from>
        <xdr:to>
          <xdr:col>31</xdr:col>
          <xdr:colOff>552450</xdr:colOff>
          <xdr:row>22</xdr:row>
          <xdr:rowOff>447675</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200-00001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22</xdr:row>
          <xdr:rowOff>219075</xdr:rowOff>
        </xdr:from>
        <xdr:to>
          <xdr:col>32</xdr:col>
          <xdr:colOff>542925</xdr:colOff>
          <xdr:row>22</xdr:row>
          <xdr:rowOff>447675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200-00001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23</xdr:row>
          <xdr:rowOff>209550</xdr:rowOff>
        </xdr:from>
        <xdr:to>
          <xdr:col>31</xdr:col>
          <xdr:colOff>552450</xdr:colOff>
          <xdr:row>23</xdr:row>
          <xdr:rowOff>438150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200-00001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23</xdr:row>
          <xdr:rowOff>209550</xdr:rowOff>
        </xdr:from>
        <xdr:to>
          <xdr:col>32</xdr:col>
          <xdr:colOff>542925</xdr:colOff>
          <xdr:row>23</xdr:row>
          <xdr:rowOff>438150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200-00002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24</xdr:row>
          <xdr:rowOff>390525</xdr:rowOff>
        </xdr:from>
        <xdr:to>
          <xdr:col>31</xdr:col>
          <xdr:colOff>552450</xdr:colOff>
          <xdr:row>24</xdr:row>
          <xdr:rowOff>742950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200-00002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24</xdr:row>
          <xdr:rowOff>390525</xdr:rowOff>
        </xdr:from>
        <xdr:to>
          <xdr:col>32</xdr:col>
          <xdr:colOff>542925</xdr:colOff>
          <xdr:row>24</xdr:row>
          <xdr:rowOff>742950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200-00002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25</xdr:row>
          <xdr:rowOff>390525</xdr:rowOff>
        </xdr:from>
        <xdr:to>
          <xdr:col>31</xdr:col>
          <xdr:colOff>552450</xdr:colOff>
          <xdr:row>25</xdr:row>
          <xdr:rowOff>742950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200-00002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25</xdr:row>
          <xdr:rowOff>390525</xdr:rowOff>
        </xdr:from>
        <xdr:to>
          <xdr:col>32</xdr:col>
          <xdr:colOff>542925</xdr:colOff>
          <xdr:row>25</xdr:row>
          <xdr:rowOff>742950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200-00002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26</xdr:row>
          <xdr:rowOff>390525</xdr:rowOff>
        </xdr:from>
        <xdr:to>
          <xdr:col>31</xdr:col>
          <xdr:colOff>552450</xdr:colOff>
          <xdr:row>26</xdr:row>
          <xdr:rowOff>742950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200-00002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26</xdr:row>
          <xdr:rowOff>390525</xdr:rowOff>
        </xdr:from>
        <xdr:to>
          <xdr:col>32</xdr:col>
          <xdr:colOff>542925</xdr:colOff>
          <xdr:row>26</xdr:row>
          <xdr:rowOff>742950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27</xdr:row>
          <xdr:rowOff>390525</xdr:rowOff>
        </xdr:from>
        <xdr:to>
          <xdr:col>31</xdr:col>
          <xdr:colOff>552450</xdr:colOff>
          <xdr:row>27</xdr:row>
          <xdr:rowOff>742950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200-00002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27</xdr:row>
          <xdr:rowOff>390525</xdr:rowOff>
        </xdr:from>
        <xdr:to>
          <xdr:col>32</xdr:col>
          <xdr:colOff>542925</xdr:colOff>
          <xdr:row>27</xdr:row>
          <xdr:rowOff>742950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200-00002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28</xdr:row>
          <xdr:rowOff>390525</xdr:rowOff>
        </xdr:from>
        <xdr:to>
          <xdr:col>31</xdr:col>
          <xdr:colOff>552450</xdr:colOff>
          <xdr:row>28</xdr:row>
          <xdr:rowOff>742950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200-00002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28</xdr:row>
          <xdr:rowOff>390525</xdr:rowOff>
        </xdr:from>
        <xdr:to>
          <xdr:col>32</xdr:col>
          <xdr:colOff>542925</xdr:colOff>
          <xdr:row>28</xdr:row>
          <xdr:rowOff>742950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200-00002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29</xdr:row>
          <xdr:rowOff>390525</xdr:rowOff>
        </xdr:from>
        <xdr:to>
          <xdr:col>31</xdr:col>
          <xdr:colOff>552450</xdr:colOff>
          <xdr:row>29</xdr:row>
          <xdr:rowOff>742950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200-00002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29</xdr:row>
          <xdr:rowOff>390525</xdr:rowOff>
        </xdr:from>
        <xdr:to>
          <xdr:col>32</xdr:col>
          <xdr:colOff>542925</xdr:colOff>
          <xdr:row>29</xdr:row>
          <xdr:rowOff>742950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200-00002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30</xdr:row>
          <xdr:rowOff>390525</xdr:rowOff>
        </xdr:from>
        <xdr:to>
          <xdr:col>31</xdr:col>
          <xdr:colOff>552450</xdr:colOff>
          <xdr:row>30</xdr:row>
          <xdr:rowOff>742950</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200-00002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30</xdr:row>
          <xdr:rowOff>390525</xdr:rowOff>
        </xdr:from>
        <xdr:to>
          <xdr:col>32</xdr:col>
          <xdr:colOff>542925</xdr:colOff>
          <xdr:row>30</xdr:row>
          <xdr:rowOff>742950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200-00002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31</xdr:row>
          <xdr:rowOff>390525</xdr:rowOff>
        </xdr:from>
        <xdr:to>
          <xdr:col>31</xdr:col>
          <xdr:colOff>552450</xdr:colOff>
          <xdr:row>31</xdr:row>
          <xdr:rowOff>742950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31</xdr:row>
          <xdr:rowOff>390525</xdr:rowOff>
        </xdr:from>
        <xdr:to>
          <xdr:col>32</xdr:col>
          <xdr:colOff>542925</xdr:colOff>
          <xdr:row>31</xdr:row>
          <xdr:rowOff>742950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200-00003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32</xdr:row>
          <xdr:rowOff>390525</xdr:rowOff>
        </xdr:from>
        <xdr:to>
          <xdr:col>31</xdr:col>
          <xdr:colOff>552450</xdr:colOff>
          <xdr:row>32</xdr:row>
          <xdr:rowOff>742950</xdr:rowOff>
        </xdr:to>
        <xdr:sp macro="" textlink="">
          <xdr:nvSpPr>
            <xdr:cNvPr id="2097" name="Button 49" hidden="1">
              <a:extLst>
                <a:ext uri="{63B3BB69-23CF-44E3-9099-C40C66FF867C}">
                  <a14:compatExt spid="_x0000_s2097"/>
                </a:ext>
                <a:ext uri="{FF2B5EF4-FFF2-40B4-BE49-F238E27FC236}">
                  <a16:creationId xmlns:a16="http://schemas.microsoft.com/office/drawing/2014/main" id="{00000000-0008-0000-0200-00003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32</xdr:row>
          <xdr:rowOff>390525</xdr:rowOff>
        </xdr:from>
        <xdr:to>
          <xdr:col>32</xdr:col>
          <xdr:colOff>542925</xdr:colOff>
          <xdr:row>32</xdr:row>
          <xdr:rowOff>742950</xdr:rowOff>
        </xdr:to>
        <xdr:sp macro="" textlink="">
          <xdr:nvSpPr>
            <xdr:cNvPr id="2098" name="Button 50" hidden="1">
              <a:extLst>
                <a:ext uri="{63B3BB69-23CF-44E3-9099-C40C66FF867C}">
                  <a14:compatExt spid="_x0000_s2098"/>
                </a:ext>
                <a:ext uri="{FF2B5EF4-FFF2-40B4-BE49-F238E27FC236}">
                  <a16:creationId xmlns:a16="http://schemas.microsoft.com/office/drawing/2014/main" id="{00000000-0008-0000-0200-00003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33</xdr:row>
          <xdr:rowOff>390525</xdr:rowOff>
        </xdr:from>
        <xdr:to>
          <xdr:col>31</xdr:col>
          <xdr:colOff>552450</xdr:colOff>
          <xdr:row>33</xdr:row>
          <xdr:rowOff>742950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200-00003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33</xdr:row>
          <xdr:rowOff>390525</xdr:rowOff>
        </xdr:from>
        <xdr:to>
          <xdr:col>32</xdr:col>
          <xdr:colOff>542925</xdr:colOff>
          <xdr:row>33</xdr:row>
          <xdr:rowOff>742950</xdr:rowOff>
        </xdr:to>
        <xdr:sp macro="" textlink="">
          <xdr:nvSpPr>
            <xdr:cNvPr id="2100" name="Button 52" hidden="1">
              <a:extLst>
                <a:ext uri="{63B3BB69-23CF-44E3-9099-C40C66FF867C}">
                  <a14:compatExt spid="_x0000_s2100"/>
                </a:ext>
                <a:ext uri="{FF2B5EF4-FFF2-40B4-BE49-F238E27FC236}">
                  <a16:creationId xmlns:a16="http://schemas.microsoft.com/office/drawing/2014/main" id="{00000000-0008-0000-0200-00003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34</xdr:row>
          <xdr:rowOff>390525</xdr:rowOff>
        </xdr:from>
        <xdr:to>
          <xdr:col>31</xdr:col>
          <xdr:colOff>552450</xdr:colOff>
          <xdr:row>34</xdr:row>
          <xdr:rowOff>742950</xdr:rowOff>
        </xdr:to>
        <xdr:sp macro="" textlink="">
          <xdr:nvSpPr>
            <xdr:cNvPr id="2101" name="Button 53" hidden="1">
              <a:extLst>
                <a:ext uri="{63B3BB69-23CF-44E3-9099-C40C66FF867C}">
                  <a14:compatExt spid="_x0000_s2101"/>
                </a:ext>
                <a:ext uri="{FF2B5EF4-FFF2-40B4-BE49-F238E27FC236}">
                  <a16:creationId xmlns:a16="http://schemas.microsoft.com/office/drawing/2014/main" id="{00000000-0008-0000-0200-00003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34</xdr:row>
          <xdr:rowOff>390525</xdr:rowOff>
        </xdr:from>
        <xdr:to>
          <xdr:col>32</xdr:col>
          <xdr:colOff>542925</xdr:colOff>
          <xdr:row>34</xdr:row>
          <xdr:rowOff>742950</xdr:rowOff>
        </xdr:to>
        <xdr:sp macro="" textlink="">
          <xdr:nvSpPr>
            <xdr:cNvPr id="2102" name="Button 54" hidden="1">
              <a:extLst>
                <a:ext uri="{63B3BB69-23CF-44E3-9099-C40C66FF867C}">
                  <a14:compatExt spid="_x0000_s2102"/>
                </a:ext>
                <a:ext uri="{FF2B5EF4-FFF2-40B4-BE49-F238E27FC236}">
                  <a16:creationId xmlns:a16="http://schemas.microsoft.com/office/drawing/2014/main" id="{00000000-0008-0000-0200-00003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35</xdr:row>
          <xdr:rowOff>390525</xdr:rowOff>
        </xdr:from>
        <xdr:to>
          <xdr:col>31</xdr:col>
          <xdr:colOff>552450</xdr:colOff>
          <xdr:row>35</xdr:row>
          <xdr:rowOff>742950</xdr:rowOff>
        </xdr:to>
        <xdr:sp macro="" textlink="">
          <xdr:nvSpPr>
            <xdr:cNvPr id="2103" name="Button 55" hidden="1">
              <a:extLst>
                <a:ext uri="{63B3BB69-23CF-44E3-9099-C40C66FF867C}">
                  <a14:compatExt spid="_x0000_s2103"/>
                </a:ext>
                <a:ext uri="{FF2B5EF4-FFF2-40B4-BE49-F238E27FC236}">
                  <a16:creationId xmlns:a16="http://schemas.microsoft.com/office/drawing/2014/main" id="{00000000-0008-0000-0200-00003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35</xdr:row>
          <xdr:rowOff>390525</xdr:rowOff>
        </xdr:from>
        <xdr:to>
          <xdr:col>32</xdr:col>
          <xdr:colOff>542925</xdr:colOff>
          <xdr:row>35</xdr:row>
          <xdr:rowOff>742950</xdr:rowOff>
        </xdr:to>
        <xdr:sp macro="" textlink="">
          <xdr:nvSpPr>
            <xdr:cNvPr id="2104" name="Button 56" hidden="1">
              <a:extLst>
                <a:ext uri="{63B3BB69-23CF-44E3-9099-C40C66FF867C}">
                  <a14:compatExt spid="_x0000_s2104"/>
                </a:ext>
                <a:ext uri="{FF2B5EF4-FFF2-40B4-BE49-F238E27FC236}">
                  <a16:creationId xmlns:a16="http://schemas.microsoft.com/office/drawing/2014/main" id="{00000000-0008-0000-0200-00003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36</xdr:row>
          <xdr:rowOff>390525</xdr:rowOff>
        </xdr:from>
        <xdr:to>
          <xdr:col>31</xdr:col>
          <xdr:colOff>552450</xdr:colOff>
          <xdr:row>36</xdr:row>
          <xdr:rowOff>742950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200-00003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36</xdr:row>
          <xdr:rowOff>390525</xdr:rowOff>
        </xdr:from>
        <xdr:to>
          <xdr:col>32</xdr:col>
          <xdr:colOff>542925</xdr:colOff>
          <xdr:row>36</xdr:row>
          <xdr:rowOff>742950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200-00003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37</xdr:row>
          <xdr:rowOff>390525</xdr:rowOff>
        </xdr:from>
        <xdr:to>
          <xdr:col>31</xdr:col>
          <xdr:colOff>552450</xdr:colOff>
          <xdr:row>37</xdr:row>
          <xdr:rowOff>742950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200-00003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37</xdr:row>
          <xdr:rowOff>390525</xdr:rowOff>
        </xdr:from>
        <xdr:to>
          <xdr:col>32</xdr:col>
          <xdr:colOff>542925</xdr:colOff>
          <xdr:row>37</xdr:row>
          <xdr:rowOff>742950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200-00003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38</xdr:row>
          <xdr:rowOff>390525</xdr:rowOff>
        </xdr:from>
        <xdr:to>
          <xdr:col>31</xdr:col>
          <xdr:colOff>552450</xdr:colOff>
          <xdr:row>38</xdr:row>
          <xdr:rowOff>742950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200-00003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38</xdr:row>
          <xdr:rowOff>390525</xdr:rowOff>
        </xdr:from>
        <xdr:to>
          <xdr:col>32</xdr:col>
          <xdr:colOff>542925</xdr:colOff>
          <xdr:row>38</xdr:row>
          <xdr:rowOff>742950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200-00003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590550</xdr:colOff>
          <xdr:row>6</xdr:row>
          <xdr:rowOff>104775</xdr:rowOff>
        </xdr:from>
        <xdr:to>
          <xdr:col>3</xdr:col>
          <xdr:colOff>2343150</xdr:colOff>
          <xdr:row>6</xdr:row>
          <xdr:rowOff>447675</xdr:rowOff>
        </xdr:to>
        <xdr:sp macro="" textlink="">
          <xdr:nvSpPr>
            <xdr:cNvPr id="2260" name="TextBox1" hidden="1">
              <a:extLst>
                <a:ext uri="{63B3BB69-23CF-44E3-9099-C40C66FF867C}">
                  <a14:compatExt spid="_x0000_s2260"/>
                </a:ext>
                <a:ext uri="{FF2B5EF4-FFF2-40B4-BE49-F238E27FC236}">
                  <a16:creationId xmlns:a16="http://schemas.microsoft.com/office/drawing/2014/main" id="{00000000-0008-0000-02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866598</xdr:colOff>
      <xdr:row>9</xdr:row>
      <xdr:rowOff>379078</xdr:rowOff>
    </xdr:from>
    <xdr:to>
      <xdr:col>3</xdr:col>
      <xdr:colOff>1078350</xdr:colOff>
      <xdr:row>9</xdr:row>
      <xdr:rowOff>442449</xdr:rowOff>
    </xdr:to>
    <xdr:sp macro="[0]!removeLine" textlink="">
      <xdr:nvSpPr>
        <xdr:cNvPr id="11" name="Rectangle 10">
          <a:extLst>
            <a:ext uri="{FF2B5EF4-FFF2-40B4-BE49-F238E27FC236}">
              <a16:creationId xmlns:a16="http://schemas.microsoft.com/office/drawing/2014/main" id="{00000000-0008-0000-0100-00000B000000}"/>
            </a:ext>
          </a:extLst>
        </xdr:cNvPr>
        <xdr:cNvSpPr/>
      </xdr:nvSpPr>
      <xdr:spPr>
        <a:xfrm>
          <a:off x="2515156" y="2350020"/>
          <a:ext cx="211752" cy="63371"/>
        </a:xfrm>
        <a:prstGeom prst="rect">
          <a:avLst/>
        </a:prstGeom>
        <a:solidFill>
          <a:srgbClr val="F37B9D"/>
        </a:solidFill>
        <a:ln w="3175">
          <a:solidFill>
            <a:srgbClr val="FFC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1336573</xdr:colOff>
      <xdr:row>9</xdr:row>
      <xdr:rowOff>259484</xdr:rowOff>
    </xdr:from>
    <xdr:to>
      <xdr:col>3</xdr:col>
      <xdr:colOff>1639132</xdr:colOff>
      <xdr:row>9</xdr:row>
      <xdr:rowOff>562043</xdr:rowOff>
    </xdr:to>
    <xdr:sp macro="[0]!duplicateLigne" textlink="">
      <xdr:nvSpPr>
        <xdr:cNvPr id="12" name="Plus 11">
          <a:extLst>
            <a:ext uri="{FF2B5EF4-FFF2-40B4-BE49-F238E27FC236}">
              <a16:creationId xmlns:a16="http://schemas.microsoft.com/office/drawing/2014/main" id="{00000000-0008-0000-0100-00000C000000}"/>
            </a:ext>
          </a:extLst>
        </xdr:cNvPr>
        <xdr:cNvSpPr/>
      </xdr:nvSpPr>
      <xdr:spPr>
        <a:xfrm>
          <a:off x="2985131" y="2230426"/>
          <a:ext cx="302559" cy="302559"/>
        </a:xfrm>
        <a:prstGeom prst="mathPlus">
          <a:avLst/>
        </a:prstGeom>
        <a:solidFill>
          <a:srgbClr val="F37B9D"/>
        </a:solidFill>
        <a:ln w="3175">
          <a:solidFill>
            <a:srgbClr val="FFC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31</xdr:col>
          <xdr:colOff>238125</xdr:colOff>
          <xdr:row>11</xdr:row>
          <xdr:rowOff>219075</xdr:rowOff>
        </xdr:from>
        <xdr:to>
          <xdr:col>31</xdr:col>
          <xdr:colOff>552450</xdr:colOff>
          <xdr:row>11</xdr:row>
          <xdr:rowOff>571500</xdr:rowOff>
        </xdr:to>
        <xdr:sp macro="" textlink="">
          <xdr:nvSpPr>
            <xdr:cNvPr id="2275" name="Button 227" hidden="1">
              <a:extLst>
                <a:ext uri="{63B3BB69-23CF-44E3-9099-C40C66FF867C}">
                  <a14:compatExt spid="_x0000_s2275"/>
                </a:ext>
                <a:ext uri="{FF2B5EF4-FFF2-40B4-BE49-F238E27FC236}">
                  <a16:creationId xmlns:a16="http://schemas.microsoft.com/office/drawing/2014/main" id="{00000000-0008-0000-0200-0000E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11</xdr:row>
          <xdr:rowOff>219075</xdr:rowOff>
        </xdr:from>
        <xdr:to>
          <xdr:col>32</xdr:col>
          <xdr:colOff>542925</xdr:colOff>
          <xdr:row>11</xdr:row>
          <xdr:rowOff>571500</xdr:rowOff>
        </xdr:to>
        <xdr:sp macro="" textlink="">
          <xdr:nvSpPr>
            <xdr:cNvPr id="2276" name="Button 228" hidden="1">
              <a:extLst>
                <a:ext uri="{63B3BB69-23CF-44E3-9099-C40C66FF867C}">
                  <a14:compatExt spid="_x0000_s2276"/>
                </a:ext>
                <a:ext uri="{FF2B5EF4-FFF2-40B4-BE49-F238E27FC236}">
                  <a16:creationId xmlns:a16="http://schemas.microsoft.com/office/drawing/2014/main" id="{00000000-0008-0000-0200-0000E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xdr:twoCellAnchor>
    <xdr:from>
      <xdr:col>3</xdr:col>
      <xdr:colOff>1004047</xdr:colOff>
      <xdr:row>1</xdr:row>
      <xdr:rowOff>53789</xdr:rowOff>
    </xdr:from>
    <xdr:to>
      <xdr:col>6</xdr:col>
      <xdr:colOff>17929</xdr:colOff>
      <xdr:row>4</xdr:row>
      <xdr:rowOff>8966</xdr:rowOff>
    </xdr:to>
    <xdr:sp macro="" textlink="">
      <xdr:nvSpPr>
        <xdr:cNvPr id="10" name="ZoneTexte 9">
          <a:extLst>
            <a:ext uri="{FF2B5EF4-FFF2-40B4-BE49-F238E27FC236}">
              <a16:creationId xmlns:a16="http://schemas.microsoft.com/office/drawing/2014/main" id="{00000000-0008-0000-0100-00000A000000}"/>
            </a:ext>
          </a:extLst>
        </xdr:cNvPr>
        <xdr:cNvSpPr txBox="1"/>
      </xdr:nvSpPr>
      <xdr:spPr>
        <a:xfrm>
          <a:off x="2698376" y="233083"/>
          <a:ext cx="3442447" cy="4930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400" b="1">
              <a:latin typeface="Candara" panose="020E0502030303020204" pitchFamily="34" charset="0"/>
            </a:rPr>
            <a:t>REGISTRE DES RISQUES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0</xdr:colOff>
      <xdr:row>15</xdr:row>
      <xdr:rowOff>92106</xdr:rowOff>
    </xdr:from>
    <xdr:to>
      <xdr:col>6</xdr:col>
      <xdr:colOff>1750695</xdr:colOff>
      <xdr:row>34</xdr:row>
      <xdr:rowOff>101392</xdr:rowOff>
    </xdr:to>
    <xdr:graphicFrame macro="">
      <xdr:nvGraphicFramePr>
        <xdr:cNvPr id="6" name="Graphique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30480</xdr:colOff>
      <xdr:row>15</xdr:row>
      <xdr:rowOff>92529</xdr:rowOff>
    </xdr:from>
    <xdr:to>
      <xdr:col>3</xdr:col>
      <xdr:colOff>784860</xdr:colOff>
      <xdr:row>34</xdr:row>
      <xdr:rowOff>93772</xdr:rowOff>
    </xdr:to>
    <xdr:graphicFrame macro="">
      <xdr:nvGraphicFramePr>
        <xdr:cNvPr id="2" name="Graphique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0</xdr:colOff>
      <xdr:row>15</xdr:row>
      <xdr:rowOff>92106</xdr:rowOff>
    </xdr:from>
    <xdr:to>
      <xdr:col>9</xdr:col>
      <xdr:colOff>1160145</xdr:colOff>
      <xdr:row>34</xdr:row>
      <xdr:rowOff>101392</xdr:rowOff>
    </xdr:to>
    <xdr:graphicFrame macro="">
      <xdr:nvGraphicFramePr>
        <xdr:cNvPr id="4" name="Graphique 5">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333375</xdr:colOff>
      <xdr:row>0</xdr:row>
      <xdr:rowOff>180349</xdr:rowOff>
    </xdr:from>
    <xdr:to>
      <xdr:col>2</xdr:col>
      <xdr:colOff>206998</xdr:colOff>
      <xdr:row>0</xdr:row>
      <xdr:rowOff>803529</xdr:rowOff>
    </xdr:to>
    <xdr:pic>
      <xdr:nvPicPr>
        <xdr:cNvPr id="5" name="Image 2">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333375" y="180349"/>
          <a:ext cx="1842123" cy="623180"/>
        </a:xfrm>
        <a:prstGeom prst="rect">
          <a:avLst/>
        </a:prstGeom>
      </xdr:spPr>
    </xdr:pic>
    <xdr:clientData/>
  </xdr:twoCellAnchor>
  <xdr:twoCellAnchor editAs="absolute">
    <xdr:from>
      <xdr:col>2</xdr:col>
      <xdr:colOff>371474</xdr:colOff>
      <xdr:row>0</xdr:row>
      <xdr:rowOff>163997</xdr:rowOff>
    </xdr:from>
    <xdr:to>
      <xdr:col>5</xdr:col>
      <xdr:colOff>954616</xdr:colOff>
      <xdr:row>0</xdr:row>
      <xdr:rowOff>819882</xdr:rowOff>
    </xdr:to>
    <xdr:sp macro="" textlink="">
      <xdr:nvSpPr>
        <xdr:cNvPr id="7" name="Rectangle 6">
          <a:extLst>
            <a:ext uri="{FF2B5EF4-FFF2-40B4-BE49-F238E27FC236}">
              <a16:creationId xmlns:a16="http://schemas.microsoft.com/office/drawing/2014/main" id="{00000000-0008-0000-0200-000007000000}"/>
            </a:ext>
          </a:extLst>
        </xdr:cNvPr>
        <xdr:cNvSpPr/>
      </xdr:nvSpPr>
      <xdr:spPr>
        <a:xfrm>
          <a:off x="2339974" y="163997"/>
          <a:ext cx="3800475" cy="655885"/>
        </a:xfrm>
        <a:prstGeom prst="rect">
          <a:avLst/>
        </a:prstGeom>
        <a:noFill/>
      </xdr:spPr>
      <xdr:txBody>
        <a:bodyPr wrap="square" lIns="91440" tIns="45720" rIns="91440" bIns="45720">
          <a:spAutoFit/>
        </a:bodyPr>
        <a:lstStyle/>
        <a:p>
          <a:pPr algn="ctr"/>
          <a:r>
            <a:rPr lang="en-US" sz="3600" b="0" cap="small" spc="0" baseline="0">
              <a:ln w="0"/>
              <a:solidFill>
                <a:srgbClr val="002060"/>
              </a:solidFill>
              <a:effectLst>
                <a:outerShdw blurRad="50800" dist="38100" dir="8100000" algn="tr" rotWithShape="0">
                  <a:prstClr val="black">
                    <a:alpha val="40000"/>
                  </a:prstClr>
                </a:outerShdw>
              </a:effectLst>
            </a:rPr>
            <a:t>Tableau de bord</a:t>
          </a:r>
        </a:p>
      </xdr:txBody>
    </xdr:sp>
    <xdr:clientData/>
  </xdr:twoCellAnchor>
  <xdr:twoCellAnchor editAs="absolute">
    <xdr:from>
      <xdr:col>5</xdr:col>
      <xdr:colOff>809625</xdr:colOff>
      <xdr:row>0</xdr:row>
      <xdr:rowOff>38100</xdr:rowOff>
    </xdr:from>
    <xdr:to>
      <xdr:col>11</xdr:col>
      <xdr:colOff>72519</xdr:colOff>
      <xdr:row>0</xdr:row>
      <xdr:rowOff>945778</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5981700" y="38100"/>
          <a:ext cx="7454394" cy="907678"/>
          <a:chOff x="6409767" y="352985"/>
          <a:chExt cx="7451909" cy="907678"/>
        </a:xfrm>
      </xdr:grpSpPr>
      <xdr:sp macro="" textlink="">
        <xdr:nvSpPr>
          <xdr:cNvPr id="15" name="Rectangle 14">
            <a:extLst>
              <a:ext uri="{FF2B5EF4-FFF2-40B4-BE49-F238E27FC236}">
                <a16:creationId xmlns:a16="http://schemas.microsoft.com/office/drawing/2014/main" id="{00000000-0008-0000-0200-00000F000000}"/>
              </a:ext>
            </a:extLst>
          </xdr:cNvPr>
          <xdr:cNvSpPr/>
        </xdr:nvSpPr>
        <xdr:spPr>
          <a:xfrm>
            <a:off x="6902824" y="414618"/>
            <a:ext cx="6958852" cy="784412"/>
          </a:xfrm>
          <a:prstGeom prst="rect">
            <a:avLst/>
          </a:prstGeom>
          <a:solidFill>
            <a:srgbClr val="4F81BD">
              <a:alpha val="12941"/>
            </a:srgbClr>
          </a:solidFill>
          <a:ln w="3175">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Rounded Corners 15">
            <a:hlinkClick xmlns:r="http://schemas.openxmlformats.org/officeDocument/2006/relationships" r:id="rId5" tooltip="Aller à la page Registre des risques"/>
            <a:extLst>
              <a:ext uri="{FF2B5EF4-FFF2-40B4-BE49-F238E27FC236}">
                <a16:creationId xmlns:a16="http://schemas.microsoft.com/office/drawing/2014/main" id="{00000000-0008-0000-0200-000010000000}"/>
              </a:ext>
            </a:extLst>
          </xdr:cNvPr>
          <xdr:cNvSpPr/>
        </xdr:nvSpPr>
        <xdr:spPr>
          <a:xfrm>
            <a:off x="7552765"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Registre des risques</a:t>
            </a:r>
          </a:p>
        </xdr:txBody>
      </xdr:sp>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9665074"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Tableau de Bord</a:t>
            </a:r>
          </a:p>
        </xdr:txBody>
      </xdr:sp>
      <xdr:sp macro="" textlink="">
        <xdr:nvSpPr>
          <xdr:cNvPr id="18" name="Rectangle: Rounded Corners 17">
            <a:hlinkClick xmlns:r="http://schemas.openxmlformats.org/officeDocument/2006/relationships" r:id="rId6" tooltip="Aller à la page paramètres"/>
            <a:extLst>
              <a:ext uri="{FF2B5EF4-FFF2-40B4-BE49-F238E27FC236}">
                <a16:creationId xmlns:a16="http://schemas.microsoft.com/office/drawing/2014/main" id="{00000000-0008-0000-0200-000012000000}"/>
              </a:ext>
            </a:extLst>
          </xdr:cNvPr>
          <xdr:cNvSpPr/>
        </xdr:nvSpPr>
        <xdr:spPr>
          <a:xfrm>
            <a:off x="11777382"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Paramètres</a:t>
            </a:r>
          </a:p>
        </xdr:txBody>
      </xdr:sp>
      <xdr:sp macro="" textlink="">
        <xdr:nvSpPr>
          <xdr:cNvPr id="19" name="Oval 18">
            <a:hlinkClick xmlns:r="http://schemas.openxmlformats.org/officeDocument/2006/relationships" r:id="rId7" tooltip="Retour à la page d'accueil"/>
            <a:extLst>
              <a:ext uri="{FF2B5EF4-FFF2-40B4-BE49-F238E27FC236}">
                <a16:creationId xmlns:a16="http://schemas.microsoft.com/office/drawing/2014/main" id="{00000000-0008-0000-0200-000013000000}"/>
              </a:ext>
            </a:extLst>
          </xdr:cNvPr>
          <xdr:cNvSpPr/>
        </xdr:nvSpPr>
        <xdr:spPr>
          <a:xfrm>
            <a:off x="6409767" y="352985"/>
            <a:ext cx="1019735" cy="907678"/>
          </a:xfrm>
          <a:prstGeom prst="ellipse">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2000" cap="small" baseline="0"/>
              <a:t>Menu</a:t>
            </a:r>
          </a:p>
        </xdr:txBody>
      </xdr:sp>
    </xdr:grpSp>
    <xdr:clientData fPrintsWithSheet="0"/>
  </xdr:twoCellAnchor>
  <xdr:oneCellAnchor>
    <xdr:from>
      <xdr:col>0</xdr:col>
      <xdr:colOff>338985</xdr:colOff>
      <xdr:row>0</xdr:row>
      <xdr:rowOff>1002798</xdr:rowOff>
    </xdr:from>
    <xdr:ext cx="2274790" cy="374141"/>
    <xdr:sp macro="" textlink="">
      <xdr:nvSpPr>
        <xdr:cNvPr id="3" name="Rectangle 2">
          <a:extLst>
            <a:ext uri="{FF2B5EF4-FFF2-40B4-BE49-F238E27FC236}">
              <a16:creationId xmlns:a16="http://schemas.microsoft.com/office/drawing/2014/main" id="{00000000-0008-0000-0200-000003000000}"/>
            </a:ext>
          </a:extLst>
        </xdr:cNvPr>
        <xdr:cNvSpPr/>
      </xdr:nvSpPr>
      <xdr:spPr>
        <a:xfrm>
          <a:off x="338985" y="1002798"/>
          <a:ext cx="2274790" cy="374141"/>
        </a:xfrm>
        <a:prstGeom prst="rect">
          <a:avLst/>
        </a:prstGeom>
        <a:noFill/>
      </xdr:spPr>
      <xdr:txBody>
        <a:bodyPr wrap="none" lIns="91440" tIns="45720" rIns="91440" bIns="45720">
          <a:spAutoFit/>
        </a:bodyPr>
        <a:lstStyle/>
        <a:p>
          <a:pPr algn="ctr"/>
          <a:r>
            <a:rPr lang="fr-FR" sz="1800" b="0" cap="none" spc="0">
              <a:ln w="0"/>
              <a:solidFill>
                <a:schemeClr val="tx1"/>
              </a:solidFill>
              <a:effectLst>
                <a:outerShdw blurRad="38100" dist="19050" dir="2700000" algn="tl" rotWithShape="0">
                  <a:schemeClr val="dk1">
                    <a:alpha val="40000"/>
                  </a:schemeClr>
                </a:outerShdw>
              </a:effectLst>
            </a:rPr>
            <a:t>Statistiques par risque</a:t>
          </a:r>
        </a:p>
      </xdr:txBody>
    </xdr:sp>
    <xdr:clientData/>
  </xdr:oneCellAnchor>
  <xdr:oneCellAnchor>
    <xdr:from>
      <xdr:col>5</xdr:col>
      <xdr:colOff>2812</xdr:colOff>
      <xdr:row>0</xdr:row>
      <xdr:rowOff>1002798</xdr:rowOff>
    </xdr:from>
    <xdr:ext cx="2966198" cy="374141"/>
    <xdr:sp macro="" textlink="">
      <xdr:nvSpPr>
        <xdr:cNvPr id="21" name="Rectangle 20">
          <a:extLst>
            <a:ext uri="{FF2B5EF4-FFF2-40B4-BE49-F238E27FC236}">
              <a16:creationId xmlns:a16="http://schemas.microsoft.com/office/drawing/2014/main" id="{00000000-0008-0000-0200-000015000000}"/>
            </a:ext>
          </a:extLst>
        </xdr:cNvPr>
        <xdr:cNvSpPr/>
      </xdr:nvSpPr>
      <xdr:spPr>
        <a:xfrm>
          <a:off x="5174887" y="1002798"/>
          <a:ext cx="2966198" cy="374141"/>
        </a:xfrm>
        <a:prstGeom prst="rect">
          <a:avLst/>
        </a:prstGeom>
        <a:noFill/>
      </xdr:spPr>
      <xdr:txBody>
        <a:bodyPr wrap="none" lIns="91440" tIns="45720" rIns="91440" bIns="45720">
          <a:spAutoFit/>
        </a:bodyPr>
        <a:lstStyle/>
        <a:p>
          <a:pPr algn="ctr"/>
          <a:r>
            <a:rPr lang="fr-FR" sz="1800" b="0" cap="none" spc="0">
              <a:ln w="0"/>
              <a:solidFill>
                <a:schemeClr val="tx1"/>
              </a:solidFill>
              <a:effectLst>
                <a:outerShdw blurRad="38100" dist="19050" dir="2700000" algn="tl" rotWithShape="0">
                  <a:schemeClr val="dk1">
                    <a:alpha val="40000"/>
                  </a:schemeClr>
                </a:outerShdw>
              </a:effectLst>
            </a:rPr>
            <a:t>Analyse croisée Réponse/État</a:t>
          </a:r>
        </a:p>
      </xdr:txBody>
    </xdr:sp>
    <xdr:clientData/>
  </xdr:one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161299</xdr:rowOff>
    </xdr:from>
    <xdr:to>
      <xdr:col>0</xdr:col>
      <xdr:colOff>1835773</xdr:colOff>
      <xdr:row>2</xdr:row>
      <xdr:rowOff>12954</xdr:rowOff>
    </xdr:to>
    <xdr:pic>
      <xdr:nvPicPr>
        <xdr:cNvPr id="2" name="Image 2">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0" y="161299"/>
          <a:ext cx="1835773" cy="623180"/>
        </a:xfrm>
        <a:prstGeom prst="rect">
          <a:avLst/>
        </a:prstGeom>
      </xdr:spPr>
    </xdr:pic>
    <xdr:clientData/>
  </xdr:twoCellAnchor>
  <xdr:twoCellAnchor>
    <xdr:from>
      <xdr:col>0</xdr:col>
      <xdr:colOff>0</xdr:colOff>
      <xdr:row>4</xdr:row>
      <xdr:rowOff>0</xdr:rowOff>
    </xdr:from>
    <xdr:to>
      <xdr:col>1</xdr:col>
      <xdr:colOff>0</xdr:colOff>
      <xdr:row>11</xdr:row>
      <xdr:rowOff>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0" y="762000"/>
          <a:ext cx="1924050" cy="13335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fr-FR" sz="2000" cap="small" baseline="0">
              <a:solidFill>
                <a:srgbClr val="00B0F0"/>
              </a:solidFill>
              <a:latin typeface="+mn-lt"/>
              <a:ea typeface="+mn-ea"/>
              <a:cs typeface="+mn-cs"/>
            </a:rPr>
            <a:t>Les critères d'évalution de l'Impact du risque	</a:t>
          </a:r>
        </a:p>
        <a:p>
          <a:pPr algn="ctr"/>
          <a:endParaRPr lang="fr-FR" sz="2000" cap="small" baseline="0">
            <a:solidFill>
              <a:srgbClr val="00B0F0"/>
            </a:solidFill>
          </a:endParaRPr>
        </a:p>
      </xdr:txBody>
    </xdr:sp>
    <xdr:clientData/>
  </xdr:twoCellAnchor>
  <xdr:twoCellAnchor>
    <xdr:from>
      <xdr:col>0</xdr:col>
      <xdr:colOff>0</xdr:colOff>
      <xdr:row>16</xdr:row>
      <xdr:rowOff>1</xdr:rowOff>
    </xdr:from>
    <xdr:to>
      <xdr:col>1</xdr:col>
      <xdr:colOff>0</xdr:colOff>
      <xdr:row>27</xdr:row>
      <xdr:rowOff>1</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0" y="4214814"/>
          <a:ext cx="1928813" cy="20955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latin typeface="+mn-lt"/>
              <a:ea typeface="+mn-ea"/>
              <a:cs typeface="+mn-cs"/>
            </a:rPr>
            <a:t>Fréquence </a:t>
          </a:r>
        </a:p>
        <a:p>
          <a:pPr algn="ctr"/>
          <a:r>
            <a:rPr lang="fr-FR" sz="2000" cap="small" baseline="0">
              <a:solidFill>
                <a:srgbClr val="00B0F0"/>
              </a:solidFill>
              <a:latin typeface="+mn-lt"/>
              <a:ea typeface="+mn-ea"/>
              <a:cs typeface="+mn-cs"/>
            </a:rPr>
            <a:t>du risque </a:t>
          </a:r>
        </a:p>
        <a:p>
          <a:pPr algn="ctr"/>
          <a:r>
            <a:rPr lang="fr-FR" sz="1800" cap="small" baseline="0">
              <a:solidFill>
                <a:srgbClr val="00B0F0"/>
              </a:solidFill>
              <a:latin typeface="+mn-lt"/>
              <a:ea typeface="+mn-ea"/>
              <a:cs typeface="+mn-cs"/>
            </a:rPr>
            <a:t>(sa probabilité d'occurence)</a:t>
          </a:r>
        </a:p>
      </xdr:txBody>
    </xdr:sp>
    <xdr:clientData/>
  </xdr:twoCellAnchor>
  <xdr:twoCellAnchor>
    <xdr:from>
      <xdr:col>0</xdr:col>
      <xdr:colOff>0</xdr:colOff>
      <xdr:row>28</xdr:row>
      <xdr:rowOff>1</xdr:rowOff>
    </xdr:from>
    <xdr:to>
      <xdr:col>1</xdr:col>
      <xdr:colOff>0</xdr:colOff>
      <xdr:row>39</xdr:row>
      <xdr:rowOff>1</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0" y="2476501"/>
          <a:ext cx="1924050" cy="9525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rPr>
            <a:t>Code d'Impact</a:t>
          </a:r>
        </a:p>
      </xdr:txBody>
    </xdr:sp>
    <xdr:clientData/>
  </xdr:twoCellAnchor>
  <xdr:twoCellAnchor editAs="absolute">
    <xdr:from>
      <xdr:col>1</xdr:col>
      <xdr:colOff>91440</xdr:colOff>
      <xdr:row>0</xdr:row>
      <xdr:rowOff>144947</xdr:rowOff>
    </xdr:from>
    <xdr:to>
      <xdr:col>3</xdr:col>
      <xdr:colOff>1175387</xdr:colOff>
      <xdr:row>2</xdr:row>
      <xdr:rowOff>29307</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a:off x="2015490" y="144947"/>
          <a:ext cx="2350772" cy="655885"/>
        </a:xfrm>
        <a:prstGeom prst="rect">
          <a:avLst/>
        </a:prstGeom>
        <a:noFill/>
      </xdr:spPr>
      <xdr:txBody>
        <a:bodyPr wrap="none" lIns="91440" tIns="45720" rIns="91440" bIns="45720">
          <a:spAutoFit/>
        </a:bodyPr>
        <a:lstStyle/>
        <a:p>
          <a:pPr algn="ctr"/>
          <a:r>
            <a:rPr lang="en-US" sz="3600" b="0" cap="small" spc="0" baseline="0">
              <a:ln w="0"/>
              <a:solidFill>
                <a:srgbClr val="002060"/>
              </a:solidFill>
              <a:effectLst>
                <a:outerShdw blurRad="50800" dist="38100" dir="8100000" algn="tr" rotWithShape="0">
                  <a:prstClr val="black">
                    <a:alpha val="40000"/>
                  </a:prstClr>
                </a:outerShdw>
              </a:effectLst>
            </a:rPr>
            <a:t>Paramètres</a:t>
          </a:r>
        </a:p>
      </xdr:txBody>
    </xdr:sp>
    <xdr:clientData/>
  </xdr:twoCellAnchor>
  <xdr:twoCellAnchor editAs="absolute">
    <xdr:from>
      <xdr:col>3</xdr:col>
      <xdr:colOff>1304925</xdr:colOff>
      <xdr:row>0</xdr:row>
      <xdr:rowOff>19050</xdr:rowOff>
    </xdr:from>
    <xdr:to>
      <xdr:col>9</xdr:col>
      <xdr:colOff>1574984</xdr:colOff>
      <xdr:row>2</xdr:row>
      <xdr:rowOff>155203</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4495800" y="19050"/>
          <a:ext cx="7437622" cy="910059"/>
          <a:chOff x="6409767" y="352985"/>
          <a:chExt cx="7451909" cy="907678"/>
        </a:xfrm>
      </xdr:grpSpPr>
      <xdr:sp macro="" textlink="">
        <xdr:nvSpPr>
          <xdr:cNvPr id="10" name="Rectangle 9">
            <a:extLst>
              <a:ext uri="{FF2B5EF4-FFF2-40B4-BE49-F238E27FC236}">
                <a16:creationId xmlns:a16="http://schemas.microsoft.com/office/drawing/2014/main" id="{00000000-0008-0000-0300-00000A000000}"/>
              </a:ext>
            </a:extLst>
          </xdr:cNvPr>
          <xdr:cNvSpPr/>
        </xdr:nvSpPr>
        <xdr:spPr>
          <a:xfrm>
            <a:off x="6902824" y="414618"/>
            <a:ext cx="6958852" cy="784412"/>
          </a:xfrm>
          <a:prstGeom prst="rect">
            <a:avLst/>
          </a:prstGeom>
          <a:solidFill>
            <a:srgbClr val="4F81BD">
              <a:alpha val="12941"/>
            </a:srgbClr>
          </a:solidFill>
          <a:ln w="3175">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 name="Rectangle: Rounded Corners 10">
            <a:hlinkClick xmlns:r="http://schemas.openxmlformats.org/officeDocument/2006/relationships" r:id="rId2" tooltip="Aller à la page Registre des risques"/>
            <a:extLst>
              <a:ext uri="{FF2B5EF4-FFF2-40B4-BE49-F238E27FC236}">
                <a16:creationId xmlns:a16="http://schemas.microsoft.com/office/drawing/2014/main" id="{00000000-0008-0000-0300-00000B000000}"/>
              </a:ext>
            </a:extLst>
          </xdr:cNvPr>
          <xdr:cNvSpPr/>
        </xdr:nvSpPr>
        <xdr:spPr>
          <a:xfrm>
            <a:off x="7552765"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Registre des risques</a:t>
            </a:r>
          </a:p>
        </xdr:txBody>
      </xdr:sp>
      <xdr:sp macro="" textlink="">
        <xdr:nvSpPr>
          <xdr:cNvPr id="12" name="Rectangle: Rounded Corners 11">
            <a:hlinkClick xmlns:r="http://schemas.openxmlformats.org/officeDocument/2006/relationships" r:id="rId3" tooltip="Aller à la page Tableau de bord"/>
            <a:extLst>
              <a:ext uri="{FF2B5EF4-FFF2-40B4-BE49-F238E27FC236}">
                <a16:creationId xmlns:a16="http://schemas.microsoft.com/office/drawing/2014/main" id="{00000000-0008-0000-0300-00000C000000}"/>
              </a:ext>
            </a:extLst>
          </xdr:cNvPr>
          <xdr:cNvSpPr/>
        </xdr:nvSpPr>
        <xdr:spPr>
          <a:xfrm>
            <a:off x="9665074"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Tableau de Bord</a:t>
            </a:r>
          </a:p>
        </xdr:txBody>
      </xdr:sp>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11777382"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Paramètres</a:t>
            </a:r>
          </a:p>
        </xdr:txBody>
      </xdr:sp>
      <xdr:sp macro="" textlink="">
        <xdr:nvSpPr>
          <xdr:cNvPr id="14" name="Oval 13">
            <a:hlinkClick xmlns:r="http://schemas.openxmlformats.org/officeDocument/2006/relationships" r:id="rId4" tooltip="Retour à la page d'accueil"/>
            <a:extLst>
              <a:ext uri="{FF2B5EF4-FFF2-40B4-BE49-F238E27FC236}">
                <a16:creationId xmlns:a16="http://schemas.microsoft.com/office/drawing/2014/main" id="{00000000-0008-0000-0300-00000E000000}"/>
              </a:ext>
            </a:extLst>
          </xdr:cNvPr>
          <xdr:cNvSpPr/>
        </xdr:nvSpPr>
        <xdr:spPr>
          <a:xfrm>
            <a:off x="6409767" y="352985"/>
            <a:ext cx="1019735" cy="907678"/>
          </a:xfrm>
          <a:prstGeom prst="ellipse">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2000" cap="small" baseline="0"/>
              <a:t>Menu</a:t>
            </a:r>
          </a:p>
        </xdr:txBody>
      </xdr:sp>
    </xdr:grpSp>
    <xdr:clientData/>
  </xdr:twoCellAnchor>
  <xdr:twoCellAnchor>
    <xdr:from>
      <xdr:col>2</xdr:col>
      <xdr:colOff>0</xdr:colOff>
      <xdr:row>3</xdr:row>
      <xdr:rowOff>258854</xdr:rowOff>
    </xdr:from>
    <xdr:to>
      <xdr:col>3</xdr:col>
      <xdr:colOff>1457325</xdr:colOff>
      <xdr:row>3</xdr:row>
      <xdr:rowOff>468404</xdr:rowOff>
    </xdr:to>
    <xdr:sp macro="[0]!ajouterUnCriterImpact" textlink="">
      <xdr:nvSpPr>
        <xdr:cNvPr id="5" name="TextBox 4">
          <a:extLst>
            <a:ext uri="{FF2B5EF4-FFF2-40B4-BE49-F238E27FC236}">
              <a16:creationId xmlns:a16="http://schemas.microsoft.com/office/drawing/2014/main" id="{00000000-0008-0000-0300-000005000000}"/>
            </a:ext>
          </a:extLst>
        </xdr:cNvPr>
        <xdr:cNvSpPr txBox="1"/>
      </xdr:nvSpPr>
      <xdr:spPr>
        <a:xfrm>
          <a:off x="2274794" y="1222560"/>
          <a:ext cx="199520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u="sng">
              <a:solidFill>
                <a:srgbClr val="00B0F0"/>
              </a:solidFill>
            </a:rPr>
            <a:t>Ajouter un critère d'impact</a:t>
          </a:r>
        </a:p>
      </xdr:txBody>
    </xdr:sp>
    <xdr:clientData/>
  </xdr:twoCellAnchor>
  <xdr:twoCellAnchor editAs="oneCell">
    <xdr:from>
      <xdr:col>2</xdr:col>
      <xdr:colOff>302416</xdr:colOff>
      <xdr:row>4</xdr:row>
      <xdr:rowOff>225425</xdr:rowOff>
    </xdr:from>
    <xdr:to>
      <xdr:col>2</xdr:col>
      <xdr:colOff>454816</xdr:colOff>
      <xdr:row>4</xdr:row>
      <xdr:rowOff>288925</xdr:rowOff>
    </xdr:to>
    <xdr:sp macro="macroMinusCritere" textlink="">
      <xdr:nvSpPr>
        <xdr:cNvPr id="27" name="Minus_3">
          <a:extLst>
            <a:ext uri="{FF2B5EF4-FFF2-40B4-BE49-F238E27FC236}">
              <a16:creationId xmlns:a16="http://schemas.microsoft.com/office/drawing/2014/main" id="{00000000-0008-0000-0300-00001B000000}"/>
            </a:ext>
          </a:extLst>
        </xdr:cNvPr>
        <xdr:cNvSpPr/>
      </xdr:nvSpPr>
      <xdr:spPr>
        <a:xfrm>
          <a:off x="2576510" y="1832769"/>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502441</xdr:colOff>
      <xdr:row>4</xdr:row>
      <xdr:rowOff>180975</xdr:rowOff>
    </xdr:from>
    <xdr:to>
      <xdr:col>2</xdr:col>
      <xdr:colOff>654841</xdr:colOff>
      <xdr:row>4</xdr:row>
      <xdr:rowOff>333375</xdr:rowOff>
    </xdr:to>
    <xdr:sp macro="macroAddusCritere" textlink="">
      <xdr:nvSpPr>
        <xdr:cNvPr id="28" name="Addus_3">
          <a:extLst>
            <a:ext uri="{FF2B5EF4-FFF2-40B4-BE49-F238E27FC236}">
              <a16:creationId xmlns:a16="http://schemas.microsoft.com/office/drawing/2014/main" id="{00000000-0008-0000-0300-00001C000000}"/>
            </a:ext>
          </a:extLst>
        </xdr:cNvPr>
        <xdr:cNvSpPr/>
      </xdr:nvSpPr>
      <xdr:spPr>
        <a:xfrm>
          <a:off x="2776535" y="1788319"/>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2262285</xdr:colOff>
      <xdr:row>4</xdr:row>
      <xdr:rowOff>34925</xdr:rowOff>
    </xdr:from>
    <xdr:to>
      <xdr:col>3</xdr:col>
      <xdr:colOff>2706785</xdr:colOff>
      <xdr:row>4</xdr:row>
      <xdr:rowOff>479425</xdr:rowOff>
    </xdr:to>
    <xdr:sp macro="supressionCritereDImpact" textlink="">
      <xdr:nvSpPr>
        <xdr:cNvPr id="29" name="supprImpact_4">
          <a:extLst>
            <a:ext uri="{FF2B5EF4-FFF2-40B4-BE49-F238E27FC236}">
              <a16:creationId xmlns:a16="http://schemas.microsoft.com/office/drawing/2014/main" id="{00000000-0008-0000-0300-00001D000000}"/>
            </a:ext>
          </a:extLst>
        </xdr:cNvPr>
        <xdr:cNvSpPr/>
      </xdr:nvSpPr>
      <xdr:spPr>
        <a:xfrm>
          <a:off x="5074961"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editAs="oneCell">
    <xdr:from>
      <xdr:col>5</xdr:col>
      <xdr:colOff>76200</xdr:colOff>
      <xdr:row>4</xdr:row>
      <xdr:rowOff>225425</xdr:rowOff>
    </xdr:from>
    <xdr:to>
      <xdr:col>5</xdr:col>
      <xdr:colOff>228600</xdr:colOff>
      <xdr:row>4</xdr:row>
      <xdr:rowOff>288925</xdr:rowOff>
    </xdr:to>
    <xdr:sp macro="macroMinusCritere" textlink="">
      <xdr:nvSpPr>
        <xdr:cNvPr id="15" name="Minus_6">
          <a:extLst>
            <a:ext uri="{FF2B5EF4-FFF2-40B4-BE49-F238E27FC236}">
              <a16:creationId xmlns:a16="http://schemas.microsoft.com/office/drawing/2014/main" id="{00000000-0008-0000-0300-00000F000000}"/>
            </a:ext>
          </a:extLst>
        </xdr:cNvPr>
        <xdr:cNvSpPr/>
      </xdr:nvSpPr>
      <xdr:spPr>
        <a:xfrm>
          <a:off x="5934075" y="2254250"/>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304800</xdr:colOff>
      <xdr:row>4</xdr:row>
      <xdr:rowOff>180975</xdr:rowOff>
    </xdr:from>
    <xdr:to>
      <xdr:col>5</xdr:col>
      <xdr:colOff>457200</xdr:colOff>
      <xdr:row>4</xdr:row>
      <xdr:rowOff>333375</xdr:rowOff>
    </xdr:to>
    <xdr:sp macro="macroAddusCritere" textlink="">
      <xdr:nvSpPr>
        <xdr:cNvPr id="16" name="Addus_6">
          <a:extLst>
            <a:ext uri="{FF2B5EF4-FFF2-40B4-BE49-F238E27FC236}">
              <a16:creationId xmlns:a16="http://schemas.microsoft.com/office/drawing/2014/main" id="{00000000-0008-0000-0300-000010000000}"/>
            </a:ext>
          </a:extLst>
        </xdr:cNvPr>
        <xdr:cNvSpPr/>
      </xdr:nvSpPr>
      <xdr:spPr>
        <a:xfrm>
          <a:off x="6162675" y="2209800"/>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6</xdr:col>
      <xdr:colOff>2254439</xdr:colOff>
      <xdr:row>4</xdr:row>
      <xdr:rowOff>34925</xdr:rowOff>
    </xdr:from>
    <xdr:to>
      <xdr:col>6</xdr:col>
      <xdr:colOff>2698939</xdr:colOff>
      <xdr:row>4</xdr:row>
      <xdr:rowOff>479425</xdr:rowOff>
    </xdr:to>
    <xdr:sp macro="supressionCritereDImpact" textlink="">
      <xdr:nvSpPr>
        <xdr:cNvPr id="17" name="supprImpact_7">
          <a:extLst>
            <a:ext uri="{FF2B5EF4-FFF2-40B4-BE49-F238E27FC236}">
              <a16:creationId xmlns:a16="http://schemas.microsoft.com/office/drawing/2014/main" id="{00000000-0008-0000-0300-000011000000}"/>
            </a:ext>
          </a:extLst>
        </xdr:cNvPr>
        <xdr:cNvSpPr/>
      </xdr:nvSpPr>
      <xdr:spPr>
        <a:xfrm>
          <a:off x="8664204"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editAs="oneCell">
    <xdr:from>
      <xdr:col>8</xdr:col>
      <xdr:colOff>76200</xdr:colOff>
      <xdr:row>4</xdr:row>
      <xdr:rowOff>225425</xdr:rowOff>
    </xdr:from>
    <xdr:to>
      <xdr:col>8</xdr:col>
      <xdr:colOff>228600</xdr:colOff>
      <xdr:row>4</xdr:row>
      <xdr:rowOff>288925</xdr:rowOff>
    </xdr:to>
    <xdr:sp macro="macroMinusCritere" textlink="">
      <xdr:nvSpPr>
        <xdr:cNvPr id="18" name="Minus_9">
          <a:extLst>
            <a:ext uri="{FF2B5EF4-FFF2-40B4-BE49-F238E27FC236}">
              <a16:creationId xmlns:a16="http://schemas.microsoft.com/office/drawing/2014/main" id="{00000000-0008-0000-0300-000012000000}"/>
            </a:ext>
          </a:extLst>
        </xdr:cNvPr>
        <xdr:cNvSpPr/>
      </xdr:nvSpPr>
      <xdr:spPr>
        <a:xfrm>
          <a:off x="9525000" y="2254250"/>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8</xdr:col>
      <xdr:colOff>304800</xdr:colOff>
      <xdr:row>4</xdr:row>
      <xdr:rowOff>180975</xdr:rowOff>
    </xdr:from>
    <xdr:to>
      <xdr:col>8</xdr:col>
      <xdr:colOff>457200</xdr:colOff>
      <xdr:row>4</xdr:row>
      <xdr:rowOff>333375</xdr:rowOff>
    </xdr:to>
    <xdr:sp macro="macroAddusCritere" textlink="">
      <xdr:nvSpPr>
        <xdr:cNvPr id="19" name="Addus_9">
          <a:extLst>
            <a:ext uri="{FF2B5EF4-FFF2-40B4-BE49-F238E27FC236}">
              <a16:creationId xmlns:a16="http://schemas.microsoft.com/office/drawing/2014/main" id="{00000000-0008-0000-0300-000013000000}"/>
            </a:ext>
          </a:extLst>
        </xdr:cNvPr>
        <xdr:cNvSpPr/>
      </xdr:nvSpPr>
      <xdr:spPr>
        <a:xfrm>
          <a:off x="9753600" y="2209800"/>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9</xdr:col>
      <xdr:colOff>2254439</xdr:colOff>
      <xdr:row>4</xdr:row>
      <xdr:rowOff>34925</xdr:rowOff>
    </xdr:from>
    <xdr:to>
      <xdr:col>9</xdr:col>
      <xdr:colOff>2698939</xdr:colOff>
      <xdr:row>4</xdr:row>
      <xdr:rowOff>479425</xdr:rowOff>
    </xdr:to>
    <xdr:sp macro="supressionCritereDImpact" textlink="">
      <xdr:nvSpPr>
        <xdr:cNvPr id="20" name="supprImpact_10">
          <a:extLst>
            <a:ext uri="{FF2B5EF4-FFF2-40B4-BE49-F238E27FC236}">
              <a16:creationId xmlns:a16="http://schemas.microsoft.com/office/drawing/2014/main" id="{00000000-0008-0000-0300-000014000000}"/>
            </a:ext>
          </a:extLst>
        </xdr:cNvPr>
        <xdr:cNvSpPr/>
      </xdr:nvSpPr>
      <xdr:spPr>
        <a:xfrm>
          <a:off x="12261292"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editAs="oneCell">
    <xdr:from>
      <xdr:col>11</xdr:col>
      <xdr:colOff>76200</xdr:colOff>
      <xdr:row>4</xdr:row>
      <xdr:rowOff>225425</xdr:rowOff>
    </xdr:from>
    <xdr:to>
      <xdr:col>11</xdr:col>
      <xdr:colOff>228600</xdr:colOff>
      <xdr:row>4</xdr:row>
      <xdr:rowOff>288925</xdr:rowOff>
    </xdr:to>
    <xdr:sp macro="macroMinusCritere" textlink="">
      <xdr:nvSpPr>
        <xdr:cNvPr id="30" name="Minus_12">
          <a:extLst>
            <a:ext uri="{FF2B5EF4-FFF2-40B4-BE49-F238E27FC236}">
              <a16:creationId xmlns:a16="http://schemas.microsoft.com/office/drawing/2014/main" id="{00000000-0008-0000-0300-00001E000000}"/>
            </a:ext>
          </a:extLst>
        </xdr:cNvPr>
        <xdr:cNvSpPr/>
      </xdr:nvSpPr>
      <xdr:spPr>
        <a:xfrm>
          <a:off x="13115925" y="2254250"/>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11</xdr:col>
      <xdr:colOff>304800</xdr:colOff>
      <xdr:row>4</xdr:row>
      <xdr:rowOff>180975</xdr:rowOff>
    </xdr:from>
    <xdr:to>
      <xdr:col>11</xdr:col>
      <xdr:colOff>457200</xdr:colOff>
      <xdr:row>4</xdr:row>
      <xdr:rowOff>333375</xdr:rowOff>
    </xdr:to>
    <xdr:sp macro="macroAddusCritere" textlink="">
      <xdr:nvSpPr>
        <xdr:cNvPr id="31" name="Addus_12">
          <a:extLst>
            <a:ext uri="{FF2B5EF4-FFF2-40B4-BE49-F238E27FC236}">
              <a16:creationId xmlns:a16="http://schemas.microsoft.com/office/drawing/2014/main" id="{00000000-0008-0000-0300-00001F000000}"/>
            </a:ext>
          </a:extLst>
        </xdr:cNvPr>
        <xdr:cNvSpPr/>
      </xdr:nvSpPr>
      <xdr:spPr>
        <a:xfrm>
          <a:off x="13344525" y="2209800"/>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12</xdr:col>
      <xdr:colOff>2232027</xdr:colOff>
      <xdr:row>4</xdr:row>
      <xdr:rowOff>34925</xdr:rowOff>
    </xdr:from>
    <xdr:to>
      <xdr:col>12</xdr:col>
      <xdr:colOff>2676527</xdr:colOff>
      <xdr:row>4</xdr:row>
      <xdr:rowOff>479425</xdr:rowOff>
    </xdr:to>
    <xdr:sp macro="supressionCritereDImpact" textlink="">
      <xdr:nvSpPr>
        <xdr:cNvPr id="32" name="supprImpact_13">
          <a:extLst>
            <a:ext uri="{FF2B5EF4-FFF2-40B4-BE49-F238E27FC236}">
              <a16:creationId xmlns:a16="http://schemas.microsoft.com/office/drawing/2014/main" id="{00000000-0008-0000-0300-000020000000}"/>
            </a:ext>
          </a:extLst>
        </xdr:cNvPr>
        <xdr:cNvSpPr/>
      </xdr:nvSpPr>
      <xdr:spPr>
        <a:xfrm>
          <a:off x="15835968"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0</xdr:col>
      <xdr:colOff>0</xdr:colOff>
      <xdr:row>40</xdr:row>
      <xdr:rowOff>0</xdr:rowOff>
    </xdr:from>
    <xdr:to>
      <xdr:col>1</xdr:col>
      <xdr:colOff>0</xdr:colOff>
      <xdr:row>50</xdr:row>
      <xdr:rowOff>0</xdr:rowOff>
    </xdr:to>
    <xdr:sp macro="" textlink="">
      <xdr:nvSpPr>
        <xdr:cNvPr id="33" name="Rectangle 32">
          <a:extLst>
            <a:ext uri="{FF2B5EF4-FFF2-40B4-BE49-F238E27FC236}">
              <a16:creationId xmlns:a16="http://schemas.microsoft.com/office/drawing/2014/main" id="{00000000-0008-0000-0300-000021000000}"/>
            </a:ext>
          </a:extLst>
        </xdr:cNvPr>
        <xdr:cNvSpPr/>
      </xdr:nvSpPr>
      <xdr:spPr>
        <a:xfrm>
          <a:off x="0" y="8796618"/>
          <a:ext cx="1927412" cy="19050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rPr>
            <a:t>Réponses au risque</a:t>
          </a:r>
        </a:p>
      </xdr:txBody>
    </xdr:sp>
    <xdr:clientData/>
  </xdr:twoCellAnchor>
  <xdr:twoCellAnchor>
    <xdr:from>
      <xdr:col>0</xdr:col>
      <xdr:colOff>0</xdr:colOff>
      <xdr:row>53</xdr:row>
      <xdr:rowOff>0</xdr:rowOff>
    </xdr:from>
    <xdr:to>
      <xdr:col>1</xdr:col>
      <xdr:colOff>0</xdr:colOff>
      <xdr:row>63</xdr:row>
      <xdr:rowOff>0</xdr:rowOff>
    </xdr:to>
    <xdr:sp macro="" textlink="">
      <xdr:nvSpPr>
        <xdr:cNvPr id="36" name="Rectangle 35">
          <a:extLst>
            <a:ext uri="{FF2B5EF4-FFF2-40B4-BE49-F238E27FC236}">
              <a16:creationId xmlns:a16="http://schemas.microsoft.com/office/drawing/2014/main" id="{00000000-0008-0000-0300-000024000000}"/>
            </a:ext>
          </a:extLst>
        </xdr:cNvPr>
        <xdr:cNvSpPr/>
      </xdr:nvSpPr>
      <xdr:spPr>
        <a:xfrm>
          <a:off x="0" y="11273118"/>
          <a:ext cx="1927412" cy="19050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rPr>
            <a:t>État de la Réponse au risque</a:t>
          </a:r>
        </a:p>
      </xdr:txBody>
    </xdr:sp>
    <xdr:clientData/>
  </xdr:twoCellAnchor>
  <xdr:twoCellAnchor>
    <xdr:from>
      <xdr:col>8</xdr:col>
      <xdr:colOff>0</xdr:colOff>
      <xdr:row>14</xdr:row>
      <xdr:rowOff>0</xdr:rowOff>
    </xdr:from>
    <xdr:to>
      <xdr:col>13</xdr:col>
      <xdr:colOff>0</xdr:colOff>
      <xdr:row>16</xdr:row>
      <xdr:rowOff>0</xdr:rowOff>
    </xdr:to>
    <xdr:sp macro="" textlink="">
      <xdr:nvSpPr>
        <xdr:cNvPr id="34" name="Rectangle 33">
          <a:extLst>
            <a:ext uri="{FF2B5EF4-FFF2-40B4-BE49-F238E27FC236}">
              <a16:creationId xmlns:a16="http://schemas.microsoft.com/office/drawing/2014/main" id="{00000000-0008-0000-0300-000022000000}"/>
            </a:ext>
          </a:extLst>
        </xdr:cNvPr>
        <xdr:cNvSpPr/>
      </xdr:nvSpPr>
      <xdr:spPr>
        <a:xfrm>
          <a:off x="9468971" y="6544234"/>
          <a:ext cx="6970058" cy="381001"/>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fr-FR" sz="2000" cap="small" baseline="0">
              <a:solidFill>
                <a:srgbClr val="00B0F0"/>
              </a:solidFill>
              <a:latin typeface="+mn-lt"/>
              <a:ea typeface="+mn-ea"/>
              <a:cs typeface="+mn-cs"/>
            </a:rPr>
            <a:t>Evaluation des Risques </a:t>
          </a:r>
          <a:r>
            <a:rPr lang="fr-FR" sz="1600" cap="small" baseline="0">
              <a:solidFill>
                <a:srgbClr val="00B0F0"/>
              </a:solidFill>
              <a:latin typeface="+mn-lt"/>
              <a:ea typeface="+mn-ea"/>
              <a:cs typeface="+mn-cs"/>
            </a:rPr>
            <a:t>( Impact*frequence=Criticité </a:t>
          </a:r>
          <a:r>
            <a:rPr lang="fr-FR" sz="2000" cap="small" baseline="0">
              <a:solidFill>
                <a:srgbClr val="00B0F0"/>
              </a:solidFill>
              <a:latin typeface="+mn-lt"/>
              <a:ea typeface="+mn-ea"/>
              <a:cs typeface="+mn-cs"/>
            </a:rPr>
            <a:t>)</a:t>
          </a:r>
        </a:p>
      </xdr:txBody>
    </xdr:sp>
    <xdr:clientData/>
  </xdr:twoCellAnchor>
  <xdr:twoCellAnchor>
    <xdr:from>
      <xdr:col>2</xdr:col>
      <xdr:colOff>0</xdr:colOff>
      <xdr:row>14</xdr:row>
      <xdr:rowOff>146799</xdr:rowOff>
    </xdr:from>
    <xdr:to>
      <xdr:col>3</xdr:col>
      <xdr:colOff>1064559</xdr:colOff>
      <xdr:row>15</xdr:row>
      <xdr:rowOff>172299</xdr:rowOff>
    </xdr:to>
    <xdr:sp macro="[0]!ajouterFreq" textlink="">
      <xdr:nvSpPr>
        <xdr:cNvPr id="38" name="TextBox 37">
          <a:extLst>
            <a:ext uri="{FF2B5EF4-FFF2-40B4-BE49-F238E27FC236}">
              <a16:creationId xmlns:a16="http://schemas.microsoft.com/office/drawing/2014/main" id="{00000000-0008-0000-0300-000026000000}"/>
            </a:ext>
          </a:extLst>
        </xdr:cNvPr>
        <xdr:cNvSpPr txBox="1"/>
      </xdr:nvSpPr>
      <xdr:spPr>
        <a:xfrm>
          <a:off x="2274794" y="3990417"/>
          <a:ext cx="1602441"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00B0F0"/>
              </a:solidFill>
            </a:rPr>
            <a:t>Ajouter une</a:t>
          </a:r>
          <a:r>
            <a:rPr lang="fr-FR" sz="1200" u="sng" baseline="0">
              <a:solidFill>
                <a:srgbClr val="00B0F0"/>
              </a:solidFill>
            </a:rPr>
            <a:t> fréquence</a:t>
          </a:r>
          <a:endParaRPr lang="fr-FR" sz="1200" u="sng">
            <a:solidFill>
              <a:srgbClr val="00B0F0"/>
            </a:solidFill>
          </a:endParaRPr>
        </a:p>
      </xdr:txBody>
    </xdr:sp>
    <xdr:clientData/>
  </xdr:twoCellAnchor>
  <xdr:twoCellAnchor>
    <xdr:from>
      <xdr:col>3</xdr:col>
      <xdr:colOff>1232646</xdr:colOff>
      <xdr:row>14</xdr:row>
      <xdr:rowOff>146799</xdr:rowOff>
    </xdr:from>
    <xdr:to>
      <xdr:col>5</xdr:col>
      <xdr:colOff>168647</xdr:colOff>
      <xdr:row>15</xdr:row>
      <xdr:rowOff>172299</xdr:rowOff>
    </xdr:to>
    <xdr:sp macro="[0]!supprFreq" textlink="">
      <xdr:nvSpPr>
        <xdr:cNvPr id="39" name="TextBox 38">
          <a:extLst>
            <a:ext uri="{FF2B5EF4-FFF2-40B4-BE49-F238E27FC236}">
              <a16:creationId xmlns:a16="http://schemas.microsoft.com/office/drawing/2014/main" id="{00000000-0008-0000-0300-000027000000}"/>
            </a:ext>
          </a:extLst>
        </xdr:cNvPr>
        <xdr:cNvSpPr txBox="1"/>
      </xdr:nvSpPr>
      <xdr:spPr>
        <a:xfrm>
          <a:off x="4045322" y="3990417"/>
          <a:ext cx="1995207"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C00000"/>
              </a:solidFill>
            </a:rPr>
            <a:t>Supprimer une</a:t>
          </a:r>
          <a:r>
            <a:rPr lang="fr-FR" sz="1200" u="sng" baseline="0">
              <a:solidFill>
                <a:srgbClr val="C00000"/>
              </a:solidFill>
            </a:rPr>
            <a:t> fréquence</a:t>
          </a:r>
          <a:endParaRPr lang="fr-FR" sz="1200" u="sng">
            <a:solidFill>
              <a:srgbClr val="C00000"/>
            </a:solidFill>
          </a:endParaRPr>
        </a:p>
      </xdr:txBody>
    </xdr:sp>
    <xdr:clientData/>
  </xdr:twoCellAnchor>
  <xdr:twoCellAnchor>
    <xdr:from>
      <xdr:col>1</xdr:col>
      <xdr:colOff>347381</xdr:colOff>
      <xdr:row>26</xdr:row>
      <xdr:rowOff>158005</xdr:rowOff>
    </xdr:from>
    <xdr:to>
      <xdr:col>3</xdr:col>
      <xdr:colOff>1266264</xdr:colOff>
      <xdr:row>27</xdr:row>
      <xdr:rowOff>183505</xdr:rowOff>
    </xdr:to>
    <xdr:sp macro="[0]!ajouterCodeImpact" textlink="">
      <xdr:nvSpPr>
        <xdr:cNvPr id="40" name="TextBox 39">
          <a:extLst>
            <a:ext uri="{FF2B5EF4-FFF2-40B4-BE49-F238E27FC236}">
              <a16:creationId xmlns:a16="http://schemas.microsoft.com/office/drawing/2014/main" id="{00000000-0008-0000-0300-000028000000}"/>
            </a:ext>
          </a:extLst>
        </xdr:cNvPr>
        <xdr:cNvSpPr txBox="1"/>
      </xdr:nvSpPr>
      <xdr:spPr>
        <a:xfrm>
          <a:off x="2274793" y="6287623"/>
          <a:ext cx="1804147"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00B0F0"/>
              </a:solidFill>
            </a:rPr>
            <a:t>Ajouter un</a:t>
          </a:r>
          <a:r>
            <a:rPr lang="fr-FR" sz="1200" u="sng" baseline="0">
              <a:solidFill>
                <a:srgbClr val="00B0F0"/>
              </a:solidFill>
            </a:rPr>
            <a:t> code d'impact</a:t>
          </a:r>
          <a:endParaRPr lang="fr-FR" sz="1200" u="sng">
            <a:solidFill>
              <a:srgbClr val="00B0F0"/>
            </a:solidFill>
          </a:endParaRPr>
        </a:p>
      </xdr:txBody>
    </xdr:sp>
    <xdr:clientData/>
  </xdr:twoCellAnchor>
  <xdr:twoCellAnchor>
    <xdr:from>
      <xdr:col>3</xdr:col>
      <xdr:colOff>1232646</xdr:colOff>
      <xdr:row>26</xdr:row>
      <xdr:rowOff>158005</xdr:rowOff>
    </xdr:from>
    <xdr:to>
      <xdr:col>5</xdr:col>
      <xdr:colOff>168647</xdr:colOff>
      <xdr:row>27</xdr:row>
      <xdr:rowOff>183505</xdr:rowOff>
    </xdr:to>
    <xdr:sp macro="[0]!supprCodeImpact" textlink="">
      <xdr:nvSpPr>
        <xdr:cNvPr id="41" name="TextBox 40">
          <a:extLst>
            <a:ext uri="{FF2B5EF4-FFF2-40B4-BE49-F238E27FC236}">
              <a16:creationId xmlns:a16="http://schemas.microsoft.com/office/drawing/2014/main" id="{00000000-0008-0000-0300-000029000000}"/>
            </a:ext>
          </a:extLst>
        </xdr:cNvPr>
        <xdr:cNvSpPr txBox="1"/>
      </xdr:nvSpPr>
      <xdr:spPr>
        <a:xfrm>
          <a:off x="4045322" y="6287623"/>
          <a:ext cx="1995207"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C00000"/>
              </a:solidFill>
            </a:rPr>
            <a:t>Supprimer un code d'impact</a:t>
          </a:r>
        </a:p>
      </xdr:txBody>
    </xdr:sp>
    <xdr:clientData/>
  </xdr:twoCellAnchor>
  <xdr:twoCellAnchor editAs="oneCell">
    <xdr:from>
      <xdr:col>5</xdr:col>
      <xdr:colOff>0</xdr:colOff>
      <xdr:row>42</xdr:row>
      <xdr:rowOff>127790</xdr:rowOff>
    </xdr:from>
    <xdr:to>
      <xdr:col>5</xdr:col>
      <xdr:colOff>464344</xdr:colOff>
      <xdr:row>43</xdr:row>
      <xdr:rowOff>112755</xdr:rowOff>
    </xdr:to>
    <xdr:sp macro="[0]!supprReponseAuRisque" textlink="">
      <xdr:nvSpPr>
        <xdr:cNvPr id="42" name="minusReponse">
          <a:extLst>
            <a:ext uri="{FF2B5EF4-FFF2-40B4-BE49-F238E27FC236}">
              <a16:creationId xmlns:a16="http://schemas.microsoft.com/office/drawing/2014/main" id="{00000000-0008-0000-0300-00002A000000}"/>
            </a:ext>
          </a:extLst>
        </xdr:cNvPr>
        <xdr:cNvSpPr/>
      </xdr:nvSpPr>
      <xdr:spPr>
        <a:xfrm>
          <a:off x="5857875" y="9295603"/>
          <a:ext cx="464344" cy="175465"/>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8124</xdr:colOff>
      <xdr:row>39</xdr:row>
      <xdr:rowOff>156882</xdr:rowOff>
    </xdr:from>
    <xdr:to>
      <xdr:col>5</xdr:col>
      <xdr:colOff>442593</xdr:colOff>
      <xdr:row>42</xdr:row>
      <xdr:rowOff>6498</xdr:rowOff>
    </xdr:to>
    <xdr:sp macro="[0]!ajouterReponseRisque" textlink="">
      <xdr:nvSpPr>
        <xdr:cNvPr id="43" name="addReponse">
          <a:extLst>
            <a:ext uri="{FF2B5EF4-FFF2-40B4-BE49-F238E27FC236}">
              <a16:creationId xmlns:a16="http://schemas.microsoft.com/office/drawing/2014/main" id="{00000000-0008-0000-0300-00002B000000}"/>
            </a:ext>
          </a:extLst>
        </xdr:cNvPr>
        <xdr:cNvSpPr/>
      </xdr:nvSpPr>
      <xdr:spPr>
        <a:xfrm>
          <a:off x="5865999" y="8753195"/>
          <a:ext cx="434469" cy="421116"/>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0</xdr:colOff>
      <xdr:row>56</xdr:row>
      <xdr:rowOff>26937</xdr:rowOff>
    </xdr:from>
    <xdr:to>
      <xdr:col>5</xdr:col>
      <xdr:colOff>464344</xdr:colOff>
      <xdr:row>57</xdr:row>
      <xdr:rowOff>11902</xdr:rowOff>
    </xdr:to>
    <xdr:sp macro="[0]!supprEtatRep" textlink="">
      <xdr:nvSpPr>
        <xdr:cNvPr id="44" name="minusReponseRisque">
          <a:extLst>
            <a:ext uri="{FF2B5EF4-FFF2-40B4-BE49-F238E27FC236}">
              <a16:creationId xmlns:a16="http://schemas.microsoft.com/office/drawing/2014/main" id="{00000000-0008-0000-0300-00002C000000}"/>
            </a:ext>
          </a:extLst>
        </xdr:cNvPr>
        <xdr:cNvSpPr/>
      </xdr:nvSpPr>
      <xdr:spPr>
        <a:xfrm>
          <a:off x="5857875" y="11861750"/>
          <a:ext cx="464344" cy="175465"/>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8124</xdr:colOff>
      <xdr:row>53</xdr:row>
      <xdr:rowOff>56029</xdr:rowOff>
    </xdr:from>
    <xdr:to>
      <xdr:col>5</xdr:col>
      <xdr:colOff>442593</xdr:colOff>
      <xdr:row>55</xdr:row>
      <xdr:rowOff>96145</xdr:rowOff>
    </xdr:to>
    <xdr:sp macro="[0]!ajouterEtatRep" textlink="">
      <xdr:nvSpPr>
        <xdr:cNvPr id="45" name="addReponseRisque">
          <a:extLst>
            <a:ext uri="{FF2B5EF4-FFF2-40B4-BE49-F238E27FC236}">
              <a16:creationId xmlns:a16="http://schemas.microsoft.com/office/drawing/2014/main" id="{00000000-0008-0000-0300-00002D000000}"/>
            </a:ext>
          </a:extLst>
        </xdr:cNvPr>
        <xdr:cNvSpPr/>
      </xdr:nvSpPr>
      <xdr:spPr>
        <a:xfrm>
          <a:off x="5865999" y="11319342"/>
          <a:ext cx="434469" cy="421116"/>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drawing" Target="../drawings/drawing2.xm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image" Target="../media/image22.emf"/><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vmlDrawing" Target="../drawings/vmlDrawing1.v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2BD8A"/>
  </sheetPr>
  <dimension ref="B1:O25"/>
  <sheetViews>
    <sheetView showGridLines="0" zoomScaleNormal="100" workbookViewId="0"/>
  </sheetViews>
  <sheetFormatPr baseColWidth="10" defaultColWidth="9.140625" defaultRowHeight="15" x14ac:dyDescent="0.25"/>
  <cols>
    <col min="1" max="14" width="9.140625" style="88"/>
    <col min="15" max="15" width="18.140625" style="90" customWidth="1"/>
    <col min="16" max="16384" width="9.140625" style="88"/>
  </cols>
  <sheetData>
    <row r="1" spans="12:15" ht="7.15" customHeight="1" x14ac:dyDescent="0.25"/>
    <row r="2" spans="12:15" x14ac:dyDescent="0.25">
      <c r="L2" s="95" t="s">
        <v>131</v>
      </c>
      <c r="M2" s="98"/>
      <c r="N2" s="98"/>
      <c r="O2" s="99"/>
    </row>
    <row r="3" spans="12:15" x14ac:dyDescent="0.25">
      <c r="L3" s="95" t="s">
        <v>125</v>
      </c>
      <c r="M3" s="96"/>
      <c r="N3" s="97"/>
      <c r="O3" s="91">
        <v>44826</v>
      </c>
    </row>
    <row r="4" spans="12:15" x14ac:dyDescent="0.25">
      <c r="L4" s="95" t="s">
        <v>60</v>
      </c>
      <c r="M4" s="96"/>
      <c r="N4" s="97"/>
      <c r="O4" s="91">
        <v>44839</v>
      </c>
    </row>
    <row r="25" spans="2:2" x14ac:dyDescent="0.25">
      <c r="B25" s="89"/>
    </row>
  </sheetData>
  <mergeCells count="3">
    <mergeCell ref="L3:N3"/>
    <mergeCell ref="L4:N4"/>
    <mergeCell ref="L2:O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gRisques">
    <tabColor rgb="FF62BD8A"/>
    <pageSetUpPr fitToPage="1"/>
  </sheetPr>
  <dimension ref="A6:AH43"/>
  <sheetViews>
    <sheetView tabSelected="1" zoomScale="85" zoomScaleNormal="85" zoomScalePageLayoutView="110" workbookViewId="0">
      <selection activeCell="E17" sqref="E17"/>
    </sheetView>
  </sheetViews>
  <sheetFormatPr baseColWidth="10" defaultColWidth="11.42578125" defaultRowHeight="15" outlineLevelCol="1" x14ac:dyDescent="0.25"/>
  <cols>
    <col min="1" max="1" width="2.140625" style="1" customWidth="1"/>
    <col min="2" max="2" width="2.42578125" style="1" customWidth="1"/>
    <col min="3" max="3" width="20.140625" style="1" customWidth="1"/>
    <col min="4" max="4" width="37" style="1" customWidth="1"/>
    <col min="5" max="5" width="16.140625" style="1" customWidth="1" outlineLevel="1"/>
    <col min="6" max="6" width="11.42578125" style="1" customWidth="1"/>
    <col min="7" max="7" width="16.140625" style="1" customWidth="1" outlineLevel="1"/>
    <col min="8" max="8" width="11.42578125" style="1" customWidth="1"/>
    <col min="9" max="9" width="16.140625" style="1" customWidth="1" outlineLevel="1"/>
    <col min="10" max="10" width="11.42578125" style="1" customWidth="1"/>
    <col min="11" max="11" width="16.140625" style="1" customWidth="1" outlineLevel="1"/>
    <col min="12" max="12" width="11.42578125" style="1" customWidth="1"/>
    <col min="13" max="13" width="9.7109375" style="1" customWidth="1"/>
    <col min="14" max="14" width="10.42578125" style="1" bestFit="1" customWidth="1"/>
    <col min="15" max="15" width="12.28515625" style="1" customWidth="1"/>
    <col min="16" max="16" width="13.7109375" style="1" bestFit="1" customWidth="1"/>
    <col min="17" max="17" width="21.5703125" style="1" customWidth="1"/>
    <col min="18" max="18" width="6" style="1" customWidth="1"/>
    <col min="19" max="19" width="51.7109375" style="1" hidden="1" customWidth="1" outlineLevel="1"/>
    <col min="20" max="20" width="9.42578125" style="1" hidden="1" customWidth="1" collapsed="1"/>
    <col min="21" max="21" width="4.7109375" style="1" hidden="1" customWidth="1"/>
    <col min="22" max="22" width="9.28515625" style="1" hidden="1" customWidth="1"/>
    <col min="23" max="23" width="9" style="1" hidden="1" customWidth="1"/>
    <col min="24" max="24" width="24.7109375" style="1" hidden="1" customWidth="1"/>
    <col min="25" max="25" width="32.42578125" style="1" hidden="1" customWidth="1"/>
    <col min="26" max="26" width="19.28515625" style="1" customWidth="1"/>
    <col min="27" max="27" width="41.140625" style="1" customWidth="1"/>
    <col min="28" max="28" width="13.7109375" style="1" customWidth="1"/>
    <col min="29" max="29" width="10" style="1" bestFit="1" customWidth="1"/>
    <col min="30" max="30" width="10.42578125" style="1" customWidth="1"/>
    <col min="31" max="31" width="28.28515625" style="1" customWidth="1"/>
    <col min="32" max="33" width="11.42578125" style="1"/>
    <col min="34" max="34" width="28.28515625" style="1" customWidth="1"/>
    <col min="35" max="16384" width="11.42578125" style="1"/>
  </cols>
  <sheetData>
    <row r="6" spans="2:34" ht="15.75" x14ac:dyDescent="0.25">
      <c r="B6" s="6"/>
      <c r="C6" s="106" t="s">
        <v>51</v>
      </c>
      <c r="D6" s="106"/>
      <c r="E6" s="7"/>
      <c r="F6" s="7"/>
      <c r="G6" s="7"/>
      <c r="H6" s="7"/>
      <c r="I6" s="7"/>
      <c r="J6" s="7"/>
      <c r="K6" s="7"/>
      <c r="L6" s="7"/>
      <c r="M6" s="7"/>
      <c r="N6" s="7"/>
      <c r="O6" s="7"/>
      <c r="P6" s="105"/>
      <c r="Q6" s="105"/>
      <c r="R6" s="105"/>
      <c r="S6" s="105"/>
      <c r="T6" s="105"/>
      <c r="U6" s="105"/>
      <c r="V6" s="105"/>
      <c r="W6" s="105"/>
      <c r="X6" s="105"/>
      <c r="Y6" s="105"/>
      <c r="Z6" s="105"/>
      <c r="AA6" s="105"/>
      <c r="AB6" s="7"/>
      <c r="AC6" s="7"/>
      <c r="AD6" s="7"/>
      <c r="AE6" s="7"/>
      <c r="AF6" s="7"/>
      <c r="AG6" s="7"/>
    </row>
    <row r="7" spans="2:34" ht="41.25" customHeight="1" thickBot="1" x14ac:dyDescent="0.3">
      <c r="B7" s="6"/>
      <c r="C7" s="107" t="s">
        <v>60</v>
      </c>
      <c r="D7" s="107"/>
      <c r="E7" s="7"/>
      <c r="F7" s="7"/>
      <c r="G7" s="7"/>
      <c r="H7" s="7"/>
      <c r="I7" s="7"/>
      <c r="J7" s="7"/>
      <c r="K7" s="7"/>
      <c r="L7" s="7"/>
      <c r="M7" s="7"/>
      <c r="N7" s="7"/>
      <c r="O7" s="7"/>
      <c r="P7" s="7"/>
      <c r="Q7" s="7"/>
      <c r="R7" s="7"/>
      <c r="S7" s="7"/>
      <c r="T7" s="7"/>
      <c r="U7" s="7"/>
      <c r="V7" s="7"/>
      <c r="W7" s="7"/>
      <c r="X7" s="7"/>
      <c r="Y7" s="7"/>
      <c r="Z7" s="7"/>
      <c r="AA7" s="7"/>
      <c r="AB7" s="7"/>
      <c r="AC7" s="7"/>
      <c r="AD7" s="7"/>
      <c r="AE7" s="7"/>
      <c r="AF7" s="7"/>
      <c r="AG7" s="7"/>
    </row>
    <row r="8" spans="2:34" s="9" customFormat="1" ht="23.25" customHeight="1" thickTop="1" x14ac:dyDescent="0.25">
      <c r="B8" s="8"/>
      <c r="C8" s="110"/>
      <c r="D8" s="100" t="s">
        <v>5</v>
      </c>
      <c r="E8" s="31" t="s">
        <v>91</v>
      </c>
      <c r="F8" s="32"/>
      <c r="G8" s="31"/>
      <c r="H8" s="32"/>
      <c r="I8" s="31"/>
      <c r="J8" s="32"/>
      <c r="K8" s="31"/>
      <c r="L8" s="32"/>
      <c r="M8" s="100" t="s">
        <v>80</v>
      </c>
      <c r="N8" s="108" t="s">
        <v>8</v>
      </c>
      <c r="O8" s="108" t="s">
        <v>6</v>
      </c>
      <c r="P8" s="100" t="s">
        <v>56</v>
      </c>
      <c r="Q8" s="100" t="s">
        <v>9</v>
      </c>
      <c r="R8" s="100"/>
      <c r="S8" s="100"/>
      <c r="T8" s="100"/>
      <c r="U8" s="100"/>
      <c r="V8" s="100"/>
      <c r="W8" s="100"/>
      <c r="X8" s="100"/>
      <c r="Y8" s="100"/>
      <c r="Z8" s="100" t="s">
        <v>4</v>
      </c>
      <c r="AA8" s="100"/>
      <c r="AB8" s="100"/>
      <c r="AC8" s="100"/>
      <c r="AD8" s="100" t="s">
        <v>52</v>
      </c>
      <c r="AE8" s="100" t="s">
        <v>59</v>
      </c>
      <c r="AF8" s="100" t="s">
        <v>55</v>
      </c>
      <c r="AG8" s="100"/>
      <c r="AH8" s="102" t="s">
        <v>54</v>
      </c>
    </row>
    <row r="9" spans="2:34" s="9" customFormat="1" ht="16.149999999999999" hidden="1" customHeight="1" x14ac:dyDescent="0.25">
      <c r="B9" s="8"/>
      <c r="C9" s="111"/>
      <c r="D9" s="101"/>
      <c r="E9" s="29"/>
      <c r="F9" s="30"/>
      <c r="G9" s="29"/>
      <c r="H9" s="30"/>
      <c r="I9" s="29"/>
      <c r="J9" s="30"/>
      <c r="K9" s="29"/>
      <c r="L9" s="30"/>
      <c r="M9" s="101"/>
      <c r="N9" s="109"/>
      <c r="O9" s="109"/>
      <c r="P9" s="101"/>
      <c r="Q9" s="101"/>
      <c r="R9" s="101"/>
      <c r="S9" s="101"/>
      <c r="T9" s="101"/>
      <c r="U9" s="101"/>
      <c r="V9" s="101"/>
      <c r="W9" s="101"/>
      <c r="X9" s="101"/>
      <c r="Y9" s="101"/>
      <c r="Z9" s="101"/>
      <c r="AA9" s="101"/>
      <c r="AB9" s="101"/>
      <c r="AC9" s="101"/>
      <c r="AD9" s="101"/>
      <c r="AE9" s="101"/>
      <c r="AF9" s="101"/>
      <c r="AG9" s="101"/>
      <c r="AH9" s="103"/>
    </row>
    <row r="10" spans="2:34" s="40" customFormat="1" ht="48" customHeight="1" x14ac:dyDescent="0.25">
      <c r="B10" s="39"/>
      <c r="C10" s="111"/>
      <c r="D10" s="101"/>
      <c r="E10" s="10" t="str">
        <f>TRIM(Paramètres!$D$5)</f>
        <v>Image de marque</v>
      </c>
      <c r="F10" s="36" t="s">
        <v>79</v>
      </c>
      <c r="G10" s="10" t="str">
        <f>TRIM(Paramètres!$G$5)</f>
        <v>Aspect financier</v>
      </c>
      <c r="H10" s="36" t="s">
        <v>79</v>
      </c>
      <c r="I10" s="10" t="str">
        <f>TRIM(Paramètres!$J$5)</f>
        <v>Aspect réglementaire</v>
      </c>
      <c r="J10" s="36" t="s">
        <v>79</v>
      </c>
      <c r="K10" s="10" t="str">
        <f>TRIM(Paramètres!$M$5)</f>
        <v>Tiers</v>
      </c>
      <c r="L10" s="36" t="s">
        <v>79</v>
      </c>
      <c r="M10" s="101"/>
      <c r="N10" s="109"/>
      <c r="O10" s="109"/>
      <c r="P10" s="101"/>
      <c r="Q10" s="36" t="s">
        <v>81</v>
      </c>
      <c r="R10" s="36" t="s">
        <v>22</v>
      </c>
      <c r="S10" s="112" t="s">
        <v>44</v>
      </c>
      <c r="T10" s="112"/>
      <c r="U10" s="37" t="s">
        <v>22</v>
      </c>
      <c r="V10" s="37" t="s">
        <v>10</v>
      </c>
      <c r="W10" s="37" t="s">
        <v>10</v>
      </c>
      <c r="X10" s="37" t="s">
        <v>42</v>
      </c>
      <c r="Y10" s="37" t="s">
        <v>45</v>
      </c>
      <c r="Z10" s="36" t="s">
        <v>82</v>
      </c>
      <c r="AA10" s="36" t="s">
        <v>3</v>
      </c>
      <c r="AB10" s="36" t="s">
        <v>0</v>
      </c>
      <c r="AC10" s="36" t="s">
        <v>1</v>
      </c>
      <c r="AD10" s="101"/>
      <c r="AE10" s="101"/>
      <c r="AF10" s="36" t="s">
        <v>41</v>
      </c>
      <c r="AG10" s="36" t="s">
        <v>53</v>
      </c>
      <c r="AH10" s="103"/>
    </row>
    <row r="11" spans="2:34" ht="85.15" customHeight="1" x14ac:dyDescent="0.25">
      <c r="B11" s="6"/>
      <c r="C11" s="104"/>
      <c r="D11" s="11" t="s">
        <v>77</v>
      </c>
      <c r="E11" s="12" t="s">
        <v>104</v>
      </c>
      <c r="F11" s="75">
        <f>IFERROR(INDEX(Paramètres!$C$7:$C$14,MATCH(E11,Paramètres!$D$7:$D$14,0),1),"")</f>
        <v>4</v>
      </c>
      <c r="G11" s="12" t="s">
        <v>27</v>
      </c>
      <c r="H11" s="75">
        <f>IFERROR(INDEX(Paramètres!$F$7:$F$14,MATCH(G11,Paramètres!$G$7:$G$14,0),1),"")</f>
        <v>4</v>
      </c>
      <c r="I11" s="12" t="s">
        <v>47</v>
      </c>
      <c r="J11" s="75">
        <f>IFERROR(INDEX(Paramètres!$I$7:$I$14,MATCH(I11,Paramètres!$J$7:$J$14,0),1),"")</f>
        <v>4</v>
      </c>
      <c r="K11" s="12" t="s">
        <v>99</v>
      </c>
      <c r="L11" s="75">
        <f>IFERROR(INDEX(Paramètres!$L$7:$L$14,MATCH(K11,Paramètres!$M$7:$M$14,0),1),"")</f>
        <v>4</v>
      </c>
      <c r="M11" s="76">
        <f t="shared" ref="M11:M39" ca="1" si="0">IFERROR(AVERAGE(OFFSET(D11,0,1,1,COLUMN()-5)),"")</f>
        <v>4</v>
      </c>
      <c r="N11" s="76" t="str">
        <f ca="1">IFERROR(VLOOKUP('Registre des risques'!M11,Paramètres!$C$30:$G$39,5,TRUE),"")</f>
        <v>D</v>
      </c>
      <c r="O11" s="13" t="s">
        <v>19</v>
      </c>
      <c r="P11" s="75" t="str" cm="1">
        <f t="array" aca="1" ref="P11" ca="1">IFERROR(INDEX(codeProb,MATCH(O11,elementsFreq,0)),"")</f>
        <v>D</v>
      </c>
      <c r="Q11" s="26" t="str">
        <f t="shared" ref="Q11:Q39" ca="1" si="1">IFERROR(VLOOKUP(N11&amp;P11,evalRisque,2,0),"")</f>
        <v>Critique</v>
      </c>
      <c r="R11" s="75">
        <f ca="1">IFERROR(INDEX(Paramètres!$M$18:$M$117,MATCH('Registre des risques'!Q11,Paramètres!$J$18:$J$117,0)),"")</f>
        <v>4</v>
      </c>
      <c r="S11" s="12" t="s">
        <v>49</v>
      </c>
      <c r="T11" s="12" t="str">
        <f>IFERROR(INDEX(#REF!,MATCH('Registre des risques'!S11,#REF!,0)),"")</f>
        <v/>
      </c>
      <c r="U11" s="12" t="str">
        <f>IFERROR(INDEX(#REF!,MATCH('Registre des risques'!T11,#REF!,0)),"")</f>
        <v/>
      </c>
      <c r="V11" s="12" t="str">
        <f ca="1">IFERROR(INDEX(#REF!,MATCH('Registre des risques'!R11&amp;'Registre des risques'!U11,#REF!,0)),"")</f>
        <v/>
      </c>
      <c r="W11" s="12" t="str">
        <f ca="1">IFERROR(INDEX(#REF!,MATCH('Registre des risques'!V11,#REF!,0)),"")</f>
        <v/>
      </c>
      <c r="X11" s="12" t="str">
        <f ca="1">IFERROR(INDEX(#REF!,MATCH('Registre des risques'!R11&amp;'Registre des risques'!U11,#REF!,0))&amp;" "&amp;INDEX(#REF!,MATCH('Registre des risques'!R11&amp;'Registre des risques'!U11,#REF!,0)),"")</f>
        <v/>
      </c>
      <c r="Y11" s="12" t="str">
        <f ca="1">IFERROR(INDEX(#REF!,MATCH('Registre des risques'!X11,#REF!,0)),"")</f>
        <v/>
      </c>
      <c r="Z11" s="13" t="s">
        <v>83</v>
      </c>
      <c r="AA11" s="14" t="s">
        <v>73</v>
      </c>
      <c r="AB11" s="14" t="s">
        <v>58</v>
      </c>
      <c r="AC11" s="15">
        <v>44378</v>
      </c>
      <c r="AD11" s="14" t="s">
        <v>87</v>
      </c>
      <c r="AE11" s="16" t="s">
        <v>65</v>
      </c>
      <c r="AF11" s="74"/>
      <c r="AG11" s="94"/>
      <c r="AH11" s="17"/>
    </row>
    <row r="12" spans="2:34" ht="58.5" customHeight="1" x14ac:dyDescent="0.25">
      <c r="B12" s="6"/>
      <c r="C12" s="104"/>
      <c r="D12" s="11" t="s">
        <v>61</v>
      </c>
      <c r="E12" s="12" t="s">
        <v>29</v>
      </c>
      <c r="F12" s="75">
        <f>IFERROR(INDEX(Paramètres!$C$7:$C$14,MATCH(E12,Paramètres!$D$7:$D$14,0),1),"")</f>
        <v>0</v>
      </c>
      <c r="G12" s="12" t="s">
        <v>26</v>
      </c>
      <c r="H12" s="75">
        <f>IFERROR(INDEX(Paramètres!$F$7:$F$14,MATCH(G12,Paramètres!$G$7:$G$14,0),1),"")</f>
        <v>3</v>
      </c>
      <c r="I12" s="12" t="s">
        <v>29</v>
      </c>
      <c r="J12" s="75">
        <f>IFERROR(INDEX(Paramètres!$I$7:$I$14,MATCH(I12,Paramètres!$J$7:$J$14,0),1),"")</f>
        <v>0</v>
      </c>
      <c r="K12" s="12" t="s">
        <v>99</v>
      </c>
      <c r="L12" s="75">
        <f>IFERROR(INDEX(Paramètres!$L$7:$L$14,MATCH(K12,Paramètres!$M$7:$M$14,0),1),"")</f>
        <v>4</v>
      </c>
      <c r="M12" s="76">
        <f t="shared" ref="M12" ca="1" si="2">IFERROR(AVERAGE(OFFSET(D12,0,1,1,COLUMN()-5)),"")</f>
        <v>1.75</v>
      </c>
      <c r="N12" s="75" t="str">
        <f ca="1">IFERROR(VLOOKUP('Registre des risques'!M12,Paramètres!$C$30:$G$39,5,TRUE),"")</f>
        <v>A</v>
      </c>
      <c r="O12" s="13" t="s">
        <v>7</v>
      </c>
      <c r="P12" s="75" t="str" cm="1">
        <f t="array" aca="1" ref="P12" ca="1">IFERROR(INDEX(codeProb,MATCH(O12,elementsFreq,0)),"")</f>
        <v>B</v>
      </c>
      <c r="Q12" s="25" t="str">
        <f t="shared" ref="Q12" ca="1" si="3">IFERROR(VLOOKUP(N12&amp;P12,evalRisque,2,0),"")</f>
        <v>Modéré</v>
      </c>
      <c r="R12" s="75">
        <f ca="1">IFERROR(INDEX(Paramètres!$M$18:$M$117,MATCH('Registre des risques'!Q12,Paramètres!$J$18:$J$117,0)),"")</f>
        <v>2</v>
      </c>
      <c r="S12" s="12"/>
      <c r="T12" s="12"/>
      <c r="U12" s="12"/>
      <c r="V12" s="12"/>
      <c r="W12" s="12"/>
      <c r="X12" s="12"/>
      <c r="Y12" s="12"/>
      <c r="Z12" s="13" t="s">
        <v>83</v>
      </c>
      <c r="AA12" s="14" t="s">
        <v>78</v>
      </c>
      <c r="AB12" s="14" t="s">
        <v>58</v>
      </c>
      <c r="AC12" s="15" t="s">
        <v>50</v>
      </c>
      <c r="AD12" s="14" t="s">
        <v>127</v>
      </c>
      <c r="AE12" s="16" t="s">
        <v>66</v>
      </c>
      <c r="AF12" s="74"/>
      <c r="AG12" s="74"/>
      <c r="AH12" s="17"/>
    </row>
    <row r="13" spans="2:34" ht="40.9" customHeight="1" x14ac:dyDescent="0.25">
      <c r="B13" s="6"/>
      <c r="C13" s="104"/>
      <c r="D13" s="11" t="s">
        <v>62</v>
      </c>
      <c r="E13" s="12" t="s">
        <v>104</v>
      </c>
      <c r="F13" s="75">
        <f>IFERROR(INDEX(Paramètres!$C$7:$C$14,MATCH(E13,Paramètres!$D$7:$D$14,0),1),"")</f>
        <v>4</v>
      </c>
      <c r="G13" s="12" t="s">
        <v>25</v>
      </c>
      <c r="H13" s="75">
        <f>IFERROR(INDEX(Paramètres!$F$7:$F$14,MATCH(G13,Paramètres!$G$7:$G$14,0),1),"")</f>
        <v>2</v>
      </c>
      <c r="I13" s="12" t="s">
        <v>30</v>
      </c>
      <c r="J13" s="75">
        <f>IFERROR(INDEX(Paramètres!$I$7:$I$14,MATCH(I13,Paramètres!$J$7:$J$14,0),1),"")</f>
        <v>2</v>
      </c>
      <c r="K13" s="12" t="s">
        <v>99</v>
      </c>
      <c r="L13" s="75">
        <f>IFERROR(INDEX(Paramètres!$L$7:$L$14,MATCH(K13,Paramètres!$M$7:$M$14,0),1),"")</f>
        <v>4</v>
      </c>
      <c r="M13" s="76">
        <f t="shared" ca="1" si="0"/>
        <v>3</v>
      </c>
      <c r="N13" s="75" t="str">
        <f ca="1">IFERROR(VLOOKUP('Registre des risques'!M13,Paramètres!$C$30:$G$39,5,TRUE),"")</f>
        <v>C</v>
      </c>
      <c r="O13" s="13" t="s">
        <v>14</v>
      </c>
      <c r="P13" s="75" t="str" cm="1">
        <f t="array" aca="1" ref="P13" ca="1">IFERROR(INDEX(codeProb,MATCH(O13,elementsFreq,0)),"")</f>
        <v>A</v>
      </c>
      <c r="Q13" s="25" t="str">
        <f t="shared" ca="1" si="1"/>
        <v>Elevé</v>
      </c>
      <c r="R13" s="75">
        <f ca="1">IFERROR(INDEX(Paramètres!$M$18:$M$117,MATCH('Registre des risques'!Q13,Paramètres!$J$18:$J$117,0)),"")</f>
        <v>3</v>
      </c>
      <c r="S13" s="12"/>
      <c r="T13" s="12"/>
      <c r="U13" s="12"/>
      <c r="V13" s="12"/>
      <c r="W13" s="12"/>
      <c r="X13" s="12"/>
      <c r="Y13" s="12"/>
      <c r="Z13" s="13" t="s">
        <v>83</v>
      </c>
      <c r="AA13" s="14" t="s">
        <v>67</v>
      </c>
      <c r="AB13" s="14" t="s">
        <v>68</v>
      </c>
      <c r="AC13" s="14" t="s">
        <v>69</v>
      </c>
      <c r="AD13" s="14" t="s">
        <v>88</v>
      </c>
      <c r="AE13" s="16" t="s">
        <v>71</v>
      </c>
      <c r="AF13" s="74"/>
      <c r="AG13" s="74"/>
      <c r="AH13" s="17"/>
    </row>
    <row r="14" spans="2:34" ht="58.5" customHeight="1" x14ac:dyDescent="0.25">
      <c r="B14" s="6"/>
      <c r="C14" s="104"/>
      <c r="D14" s="11" t="s">
        <v>63</v>
      </c>
      <c r="E14" s="12" t="s">
        <v>104</v>
      </c>
      <c r="F14" s="75">
        <f>IFERROR(INDEX(Paramètres!$C$7:$C$14,MATCH(E14,Paramètres!$D$7:$D$14,0),1),"")</f>
        <v>4</v>
      </c>
      <c r="G14" s="12" t="s">
        <v>26</v>
      </c>
      <c r="H14" s="75">
        <f>IFERROR(INDEX(Paramètres!$F$7:$F$14,MATCH(G14,Paramètres!$G$7:$G$14,0),1),"")</f>
        <v>3</v>
      </c>
      <c r="I14" s="12" t="s">
        <v>29</v>
      </c>
      <c r="J14" s="75">
        <f>IFERROR(INDEX(Paramètres!$I$7:$I$14,MATCH(I14,Paramètres!$J$7:$J$14,0),1),"")</f>
        <v>0</v>
      </c>
      <c r="K14" s="12" t="s">
        <v>99</v>
      </c>
      <c r="L14" s="75">
        <f>IFERROR(INDEX(Paramètres!$L$7:$L$14,MATCH(K14,Paramètres!$M$7:$M$14,0),1),"")</f>
        <v>4</v>
      </c>
      <c r="M14" s="76">
        <f t="shared" ca="1" si="0"/>
        <v>2.75</v>
      </c>
      <c r="N14" s="75" t="str">
        <f ca="1">IFERROR(VLOOKUP('Registre des risques'!M14,Paramètres!$C$30:$G$39,5,TRUE),"")</f>
        <v>B</v>
      </c>
      <c r="O14" s="13" t="s">
        <v>7</v>
      </c>
      <c r="P14" s="75" t="str" cm="1">
        <f t="array" aca="1" ref="P14" ca="1">IFERROR(INDEX(codeProb,MATCH(O14,elementsFreq,0)),"")</f>
        <v>B</v>
      </c>
      <c r="Q14" s="25" t="str">
        <f t="shared" ca="1" si="1"/>
        <v>Elevé</v>
      </c>
      <c r="R14" s="75">
        <f ca="1">IFERROR(INDEX(Paramètres!$M$18:$M$117,MATCH('Registre des risques'!Q14,Paramètres!$J$18:$J$117,0)),"")</f>
        <v>3</v>
      </c>
      <c r="S14" s="12"/>
      <c r="T14" s="12"/>
      <c r="U14" s="12"/>
      <c r="V14" s="12"/>
      <c r="W14" s="12"/>
      <c r="X14" s="12"/>
      <c r="Y14" s="12"/>
      <c r="Z14" s="13" t="s">
        <v>85</v>
      </c>
      <c r="AA14" s="14" t="s">
        <v>70</v>
      </c>
      <c r="AB14" s="14" t="s">
        <v>58</v>
      </c>
      <c r="AC14" s="14" t="s">
        <v>69</v>
      </c>
      <c r="AD14" s="14" t="s">
        <v>88</v>
      </c>
      <c r="AE14" s="16" t="s">
        <v>72</v>
      </c>
      <c r="AF14" s="74"/>
      <c r="AG14" s="74"/>
      <c r="AH14" s="17"/>
    </row>
    <row r="15" spans="2:34" ht="66" customHeight="1" x14ac:dyDescent="0.25">
      <c r="B15" s="6"/>
      <c r="C15" s="104"/>
      <c r="D15" s="11" t="s">
        <v>64</v>
      </c>
      <c r="E15" s="12" t="s">
        <v>104</v>
      </c>
      <c r="F15" s="75">
        <f>IFERROR(INDEX(Paramètres!$C$7:$C$14,MATCH(E15,Paramètres!$D$7:$D$14,0),1),"")</f>
        <v>4</v>
      </c>
      <c r="G15" s="12" t="s">
        <v>25</v>
      </c>
      <c r="H15" s="75">
        <f>IFERROR(INDEX(Paramètres!$F$7:$F$14,MATCH(G15,Paramètres!$G$7:$G$14,0),1),"")</f>
        <v>2</v>
      </c>
      <c r="I15" s="12" t="s">
        <v>29</v>
      </c>
      <c r="J15" s="75">
        <f>IFERROR(INDEX(Paramètres!$I$7:$I$14,MATCH(I15,Paramètres!$J$7:$J$14,0),1),"")</f>
        <v>0</v>
      </c>
      <c r="K15" s="12" t="s">
        <v>99</v>
      </c>
      <c r="L15" s="75">
        <f>IFERROR(INDEX(Paramètres!$L$7:$L$14,MATCH(K15,Paramètres!$M$7:$M$14,0),1),"")</f>
        <v>4</v>
      </c>
      <c r="M15" s="76">
        <f t="shared" ca="1" si="0"/>
        <v>2.5</v>
      </c>
      <c r="N15" s="75" t="str">
        <f ca="1">IFERROR(VLOOKUP('Registre des risques'!M15,Paramètres!$C$30:$G$39,5,TRUE),"")</f>
        <v>B</v>
      </c>
      <c r="O15" s="13" t="s">
        <v>14</v>
      </c>
      <c r="P15" s="75" t="str" cm="1">
        <f t="array" aca="1" ref="P15" ca="1">IFERROR(INDEX(codeProb,MATCH(O15,elementsFreq,0)),"")</f>
        <v>A</v>
      </c>
      <c r="Q15" s="25" t="str">
        <f t="shared" ca="1" si="1"/>
        <v>Modéré</v>
      </c>
      <c r="R15" s="75">
        <f ca="1">IFERROR(INDEX(Paramètres!$M$18:$M$117,MATCH('Registre des risques'!Q15,Paramètres!$J$18:$J$117,0)),"")</f>
        <v>2</v>
      </c>
      <c r="S15" s="12"/>
      <c r="T15" s="12"/>
      <c r="U15" s="12"/>
      <c r="V15" s="12"/>
      <c r="W15" s="12"/>
      <c r="X15" s="12"/>
      <c r="Y15" s="12"/>
      <c r="Z15" s="13" t="s">
        <v>83</v>
      </c>
      <c r="AA15" s="14" t="s">
        <v>76</v>
      </c>
      <c r="AB15" s="14" t="s">
        <v>74</v>
      </c>
      <c r="AC15" s="15">
        <v>44469</v>
      </c>
      <c r="AD15" s="14"/>
      <c r="AE15" s="16" t="s">
        <v>75</v>
      </c>
      <c r="AF15" s="74"/>
      <c r="AG15" s="74"/>
      <c r="AH15" s="17"/>
    </row>
    <row r="16" spans="2:34" ht="40.9" customHeight="1" x14ac:dyDescent="0.25">
      <c r="B16" s="6"/>
      <c r="C16" s="104"/>
      <c r="D16" s="11"/>
      <c r="E16" s="12"/>
      <c r="F16" s="75"/>
      <c r="G16" s="12"/>
      <c r="H16" s="75"/>
      <c r="I16" s="12"/>
      <c r="J16" s="75"/>
      <c r="K16" s="12"/>
      <c r="L16" s="75"/>
      <c r="M16" s="76"/>
      <c r="N16" s="75"/>
      <c r="O16" s="13"/>
      <c r="P16" s="75"/>
      <c r="Q16" s="25"/>
      <c r="R16" s="75"/>
      <c r="S16" s="12"/>
      <c r="T16" s="12"/>
      <c r="U16" s="12"/>
      <c r="V16" s="12"/>
      <c r="W16" s="12"/>
      <c r="X16" s="12"/>
      <c r="Y16" s="12"/>
      <c r="Z16" s="13"/>
      <c r="AA16" s="14"/>
      <c r="AB16" s="14"/>
      <c r="AC16" s="14"/>
      <c r="AD16" s="14"/>
      <c r="AE16" s="16"/>
      <c r="AF16" s="74"/>
      <c r="AG16" s="74"/>
      <c r="AH16" s="17"/>
    </row>
    <row r="17" spans="2:34" ht="40.9" customHeight="1" x14ac:dyDescent="0.25">
      <c r="B17" s="6"/>
      <c r="C17" s="104"/>
      <c r="D17" s="11"/>
      <c r="E17" s="12"/>
      <c r="F17" s="75"/>
      <c r="G17" s="12"/>
      <c r="H17" s="75"/>
      <c r="I17" s="12"/>
      <c r="J17" s="75"/>
      <c r="K17" s="12"/>
      <c r="L17" s="75"/>
      <c r="M17" s="76"/>
      <c r="N17" s="75"/>
      <c r="O17" s="13"/>
      <c r="P17" s="75"/>
      <c r="Q17" s="25"/>
      <c r="R17" s="75"/>
      <c r="S17" s="12"/>
      <c r="T17" s="12"/>
      <c r="U17" s="12"/>
      <c r="V17" s="12"/>
      <c r="W17" s="12"/>
      <c r="X17" s="12"/>
      <c r="Y17" s="12"/>
      <c r="Z17" s="13"/>
      <c r="AA17" s="14"/>
      <c r="AB17" s="14"/>
      <c r="AC17" s="14"/>
      <c r="AD17" s="14"/>
      <c r="AE17" s="16"/>
      <c r="AF17" s="74"/>
      <c r="AG17" s="74"/>
      <c r="AH17" s="17"/>
    </row>
    <row r="18" spans="2:34" ht="54" customHeight="1" x14ac:dyDescent="0.25">
      <c r="B18" s="6"/>
      <c r="C18" s="104"/>
      <c r="D18" s="11"/>
      <c r="E18" s="12"/>
      <c r="F18" s="75"/>
      <c r="G18" s="12"/>
      <c r="H18" s="75"/>
      <c r="I18" s="12"/>
      <c r="J18" s="75"/>
      <c r="K18" s="12"/>
      <c r="L18" s="75"/>
      <c r="M18" s="76"/>
      <c r="N18" s="75"/>
      <c r="O18" s="13"/>
      <c r="P18" s="75"/>
      <c r="Q18" s="25"/>
      <c r="R18" s="75"/>
      <c r="S18" s="12"/>
      <c r="T18" s="12"/>
      <c r="U18" s="12"/>
      <c r="V18" s="12"/>
      <c r="W18" s="12"/>
      <c r="X18" s="12"/>
      <c r="Y18" s="12"/>
      <c r="Z18" s="13"/>
      <c r="AA18" s="14"/>
      <c r="AB18" s="14"/>
      <c r="AC18" s="14"/>
      <c r="AD18" s="14"/>
      <c r="AE18" s="16"/>
      <c r="AF18" s="74"/>
      <c r="AG18" s="74"/>
      <c r="AH18" s="17"/>
    </row>
    <row r="19" spans="2:34" ht="43.9" customHeight="1" x14ac:dyDescent="0.25">
      <c r="B19" s="6"/>
      <c r="C19" s="104"/>
      <c r="D19" s="11"/>
      <c r="E19" s="12"/>
      <c r="F19" s="75"/>
      <c r="G19" s="12"/>
      <c r="H19" s="75"/>
      <c r="I19" s="12"/>
      <c r="J19" s="75"/>
      <c r="K19" s="12"/>
      <c r="L19" s="75"/>
      <c r="M19" s="76"/>
      <c r="N19" s="75"/>
      <c r="O19" s="13"/>
      <c r="P19" s="75"/>
      <c r="Q19" s="25"/>
      <c r="R19" s="75"/>
      <c r="S19" s="12"/>
      <c r="T19" s="12"/>
      <c r="U19" s="12"/>
      <c r="V19" s="12"/>
      <c r="W19" s="12"/>
      <c r="X19" s="12"/>
      <c r="Y19" s="12"/>
      <c r="Z19" s="13"/>
      <c r="AA19" s="14"/>
      <c r="AB19" s="14"/>
      <c r="AC19" s="14"/>
      <c r="AD19" s="14"/>
      <c r="AE19" s="16"/>
      <c r="AF19" s="74"/>
      <c r="AG19" s="74"/>
      <c r="AH19" s="17"/>
    </row>
    <row r="20" spans="2:34" ht="85.15" customHeight="1" x14ac:dyDescent="0.25">
      <c r="B20" s="6"/>
      <c r="C20" s="104"/>
      <c r="D20" s="18"/>
      <c r="E20" s="12"/>
      <c r="F20" s="75"/>
      <c r="G20" s="12"/>
      <c r="H20" s="75"/>
      <c r="I20" s="12"/>
      <c r="J20" s="75"/>
      <c r="K20" s="12"/>
      <c r="L20" s="75"/>
      <c r="M20" s="76"/>
      <c r="N20" s="75"/>
      <c r="O20" s="13"/>
      <c r="P20" s="75"/>
      <c r="Q20" s="25"/>
      <c r="R20" s="75"/>
      <c r="S20" s="12"/>
      <c r="T20" s="12"/>
      <c r="U20" s="12"/>
      <c r="V20" s="12"/>
      <c r="W20" s="12"/>
      <c r="X20" s="12"/>
      <c r="Y20" s="12"/>
      <c r="Z20" s="13"/>
      <c r="AA20" s="14"/>
      <c r="AB20" s="14"/>
      <c r="AC20" s="14"/>
      <c r="AD20" s="14"/>
      <c r="AE20" s="12"/>
      <c r="AF20" s="74"/>
      <c r="AG20" s="74"/>
      <c r="AH20" s="17"/>
    </row>
    <row r="21" spans="2:34" ht="49.15" customHeight="1" x14ac:dyDescent="0.25">
      <c r="B21" s="6"/>
      <c r="C21" s="104"/>
      <c r="D21" s="13"/>
      <c r="E21" s="12"/>
      <c r="F21" s="75"/>
      <c r="G21" s="12"/>
      <c r="H21" s="75"/>
      <c r="I21" s="12"/>
      <c r="J21" s="75"/>
      <c r="K21" s="12"/>
      <c r="L21" s="75"/>
      <c r="M21" s="76"/>
      <c r="N21" s="75"/>
      <c r="O21" s="13"/>
      <c r="P21" s="75"/>
      <c r="Q21" s="25"/>
      <c r="R21" s="75"/>
      <c r="S21" s="12"/>
      <c r="T21" s="12"/>
      <c r="U21" s="12"/>
      <c r="V21" s="12"/>
      <c r="W21" s="12"/>
      <c r="X21" s="12"/>
      <c r="Y21" s="12"/>
      <c r="Z21" s="13"/>
      <c r="AA21" s="12"/>
      <c r="AB21" s="12"/>
      <c r="AC21" s="19"/>
      <c r="AD21" s="14"/>
      <c r="AE21" s="12"/>
      <c r="AF21" s="74"/>
      <c r="AG21" s="74"/>
      <c r="AH21" s="17"/>
    </row>
    <row r="22" spans="2:34" ht="49.15" customHeight="1" x14ac:dyDescent="0.25">
      <c r="B22" s="6"/>
      <c r="C22" s="104"/>
      <c r="D22" s="13"/>
      <c r="E22" s="12"/>
      <c r="F22" s="75"/>
      <c r="G22" s="12"/>
      <c r="H22" s="75"/>
      <c r="I22" s="12"/>
      <c r="J22" s="75"/>
      <c r="K22" s="12"/>
      <c r="L22" s="75"/>
      <c r="M22" s="76"/>
      <c r="N22" s="75"/>
      <c r="O22" s="13"/>
      <c r="P22" s="75"/>
      <c r="Q22" s="25"/>
      <c r="R22" s="75"/>
      <c r="S22" s="12"/>
      <c r="T22" s="12"/>
      <c r="U22" s="12"/>
      <c r="V22" s="12"/>
      <c r="W22" s="12"/>
      <c r="X22" s="12"/>
      <c r="Y22" s="12"/>
      <c r="Z22" s="13"/>
      <c r="AA22" s="12"/>
      <c r="AB22" s="12"/>
      <c r="AC22" s="19"/>
      <c r="AD22" s="14"/>
      <c r="AE22" s="12"/>
      <c r="AF22" s="74"/>
      <c r="AG22" s="74"/>
      <c r="AH22" s="17"/>
    </row>
    <row r="23" spans="2:34" ht="49.15" customHeight="1" x14ac:dyDescent="0.25">
      <c r="B23" s="6"/>
      <c r="C23" s="104"/>
      <c r="D23" s="13"/>
      <c r="E23" s="12"/>
      <c r="F23" s="75"/>
      <c r="G23" s="12"/>
      <c r="H23" s="75"/>
      <c r="I23" s="12"/>
      <c r="J23" s="75"/>
      <c r="K23" s="12"/>
      <c r="L23" s="75"/>
      <c r="M23" s="76"/>
      <c r="N23" s="75"/>
      <c r="O23" s="13"/>
      <c r="P23" s="75"/>
      <c r="Q23" s="25"/>
      <c r="R23" s="75"/>
      <c r="S23" s="12"/>
      <c r="T23" s="12"/>
      <c r="U23" s="12"/>
      <c r="V23" s="12"/>
      <c r="W23" s="12"/>
      <c r="X23" s="12"/>
      <c r="Y23" s="12"/>
      <c r="Z23" s="13"/>
      <c r="AA23" s="12"/>
      <c r="AB23" s="12"/>
      <c r="AC23" s="19"/>
      <c r="AD23" s="14"/>
      <c r="AE23" s="12"/>
      <c r="AF23" s="74"/>
      <c r="AG23" s="74"/>
      <c r="AH23" s="17"/>
    </row>
    <row r="24" spans="2:34" ht="49.15" customHeight="1" x14ac:dyDescent="0.25">
      <c r="B24" s="6"/>
      <c r="C24" s="104"/>
      <c r="D24" s="13"/>
      <c r="E24" s="12"/>
      <c r="F24" s="75"/>
      <c r="G24" s="12"/>
      <c r="H24" s="75"/>
      <c r="I24" s="12"/>
      <c r="J24" s="75"/>
      <c r="K24" s="12"/>
      <c r="L24" s="75"/>
      <c r="M24" s="76"/>
      <c r="N24" s="75"/>
      <c r="O24" s="13"/>
      <c r="P24" s="75"/>
      <c r="Q24" s="25"/>
      <c r="R24" s="75"/>
      <c r="S24" s="12"/>
      <c r="T24" s="12"/>
      <c r="U24" s="12"/>
      <c r="V24" s="12"/>
      <c r="W24" s="12"/>
      <c r="X24" s="12"/>
      <c r="Y24" s="12"/>
      <c r="Z24" s="13"/>
      <c r="AA24" s="12"/>
      <c r="AB24" s="12"/>
      <c r="AC24" s="19"/>
      <c r="AD24" s="14"/>
      <c r="AE24" s="12"/>
      <c r="AF24" s="74"/>
      <c r="AG24" s="74"/>
      <c r="AH24" s="17"/>
    </row>
    <row r="25" spans="2:34" s="2" customFormat="1" ht="75" customHeight="1" x14ac:dyDescent="0.25">
      <c r="B25" s="20"/>
      <c r="C25" s="104"/>
      <c r="D25" s="13"/>
      <c r="E25" s="12"/>
      <c r="F25" s="75"/>
      <c r="G25" s="12"/>
      <c r="H25" s="75"/>
      <c r="I25" s="12"/>
      <c r="J25" s="75"/>
      <c r="K25" s="12"/>
      <c r="L25" s="75"/>
      <c r="M25" s="76"/>
      <c r="N25" s="75"/>
      <c r="O25" s="13"/>
      <c r="P25" s="75"/>
      <c r="Q25" s="25"/>
      <c r="R25" s="75"/>
      <c r="S25" s="13"/>
      <c r="T25" s="13"/>
      <c r="U25" s="13"/>
      <c r="V25" s="13"/>
      <c r="W25" s="13"/>
      <c r="X25" s="13"/>
      <c r="Y25" s="13"/>
      <c r="Z25" s="13"/>
      <c r="AA25" s="21"/>
      <c r="AB25" s="21"/>
      <c r="AC25" s="22"/>
      <c r="AD25" s="21"/>
      <c r="AE25" s="13"/>
      <c r="AF25" s="74"/>
      <c r="AG25" s="74"/>
      <c r="AH25" s="23"/>
    </row>
    <row r="26" spans="2:34" s="2" customFormat="1" ht="75" customHeight="1" x14ac:dyDescent="0.25">
      <c r="B26" s="20"/>
      <c r="C26" s="104"/>
      <c r="D26" s="13"/>
      <c r="E26" s="12"/>
      <c r="F26" s="75"/>
      <c r="G26" s="12"/>
      <c r="H26" s="75"/>
      <c r="I26" s="12"/>
      <c r="J26" s="75"/>
      <c r="K26" s="12"/>
      <c r="L26" s="75"/>
      <c r="M26" s="76"/>
      <c r="N26" s="75"/>
      <c r="O26" s="13"/>
      <c r="P26" s="75"/>
      <c r="Q26" s="25"/>
      <c r="R26" s="75"/>
      <c r="S26" s="13"/>
      <c r="T26" s="13"/>
      <c r="U26" s="13"/>
      <c r="V26" s="13"/>
      <c r="W26" s="13"/>
      <c r="X26" s="13"/>
      <c r="Y26" s="13"/>
      <c r="Z26" s="13"/>
      <c r="AA26" s="21"/>
      <c r="AB26" s="21"/>
      <c r="AC26" s="22"/>
      <c r="AD26" s="21"/>
      <c r="AE26" s="13"/>
      <c r="AF26" s="74"/>
      <c r="AG26" s="74"/>
      <c r="AH26" s="23"/>
    </row>
    <row r="27" spans="2:34" s="2" customFormat="1" ht="75" customHeight="1" x14ac:dyDescent="0.25">
      <c r="B27" s="20"/>
      <c r="C27" s="104"/>
      <c r="D27" s="13"/>
      <c r="E27" s="12"/>
      <c r="F27" s="75"/>
      <c r="G27" s="12"/>
      <c r="H27" s="75"/>
      <c r="I27" s="12"/>
      <c r="J27" s="75"/>
      <c r="K27" s="12"/>
      <c r="L27" s="75"/>
      <c r="M27" s="76"/>
      <c r="N27" s="75"/>
      <c r="O27" s="13"/>
      <c r="P27" s="75"/>
      <c r="Q27" s="25"/>
      <c r="R27" s="75"/>
      <c r="S27" s="13"/>
      <c r="T27" s="13"/>
      <c r="U27" s="13"/>
      <c r="V27" s="13"/>
      <c r="W27" s="13"/>
      <c r="X27" s="13"/>
      <c r="Y27" s="13"/>
      <c r="Z27" s="13"/>
      <c r="AA27" s="21"/>
      <c r="AB27" s="21"/>
      <c r="AC27" s="22"/>
      <c r="AD27" s="21"/>
      <c r="AE27" s="13"/>
      <c r="AF27" s="74"/>
      <c r="AG27" s="74"/>
      <c r="AH27" s="23"/>
    </row>
    <row r="28" spans="2:34" s="2" customFormat="1" ht="75" customHeight="1" x14ac:dyDescent="0.25">
      <c r="B28" s="20"/>
      <c r="C28" s="104"/>
      <c r="D28" s="13"/>
      <c r="E28" s="12"/>
      <c r="F28" s="75"/>
      <c r="G28" s="12"/>
      <c r="H28" s="75"/>
      <c r="I28" s="12"/>
      <c r="J28" s="75"/>
      <c r="K28" s="12"/>
      <c r="L28" s="75"/>
      <c r="M28" s="76"/>
      <c r="N28" s="75"/>
      <c r="O28" s="13"/>
      <c r="P28" s="75"/>
      <c r="Q28" s="25"/>
      <c r="R28" s="75"/>
      <c r="S28" s="13"/>
      <c r="T28" s="13"/>
      <c r="U28" s="13"/>
      <c r="V28" s="13"/>
      <c r="W28" s="13"/>
      <c r="X28" s="13"/>
      <c r="Y28" s="13"/>
      <c r="Z28" s="13"/>
      <c r="AA28" s="21"/>
      <c r="AB28" s="21"/>
      <c r="AC28" s="22"/>
      <c r="AD28" s="21"/>
      <c r="AE28" s="13"/>
      <c r="AF28" s="74"/>
      <c r="AG28" s="74"/>
      <c r="AH28" s="23"/>
    </row>
    <row r="29" spans="2:34" s="2" customFormat="1" ht="75" customHeight="1" x14ac:dyDescent="0.25">
      <c r="B29" s="20"/>
      <c r="C29" s="104"/>
      <c r="D29" s="13"/>
      <c r="E29" s="12"/>
      <c r="F29" s="75"/>
      <c r="G29" s="12"/>
      <c r="H29" s="75"/>
      <c r="I29" s="12"/>
      <c r="J29" s="75"/>
      <c r="K29" s="12"/>
      <c r="L29" s="75"/>
      <c r="M29" s="76"/>
      <c r="N29" s="75"/>
      <c r="O29" s="13"/>
      <c r="P29" s="75"/>
      <c r="Q29" s="25"/>
      <c r="R29" s="75"/>
      <c r="S29" s="13"/>
      <c r="T29" s="13"/>
      <c r="U29" s="13"/>
      <c r="V29" s="13"/>
      <c r="W29" s="13"/>
      <c r="X29" s="13"/>
      <c r="Y29" s="13"/>
      <c r="Z29" s="13"/>
      <c r="AA29" s="21"/>
      <c r="AB29" s="21"/>
      <c r="AC29" s="22"/>
      <c r="AD29" s="21"/>
      <c r="AE29" s="13"/>
      <c r="AF29" s="74"/>
      <c r="AG29" s="74"/>
      <c r="AH29" s="23"/>
    </row>
    <row r="30" spans="2:34" s="2" customFormat="1" ht="75" customHeight="1" x14ac:dyDescent="0.25">
      <c r="B30" s="20"/>
      <c r="C30" s="104"/>
      <c r="D30" s="13"/>
      <c r="E30" s="12"/>
      <c r="F30" s="75"/>
      <c r="G30" s="12"/>
      <c r="H30" s="75"/>
      <c r="I30" s="12"/>
      <c r="J30" s="75"/>
      <c r="K30" s="12"/>
      <c r="L30" s="75"/>
      <c r="M30" s="76"/>
      <c r="N30" s="75"/>
      <c r="O30" s="13"/>
      <c r="P30" s="75"/>
      <c r="Q30" s="25"/>
      <c r="R30" s="75"/>
      <c r="S30" s="13"/>
      <c r="T30" s="13"/>
      <c r="U30" s="13"/>
      <c r="V30" s="13"/>
      <c r="W30" s="13"/>
      <c r="X30" s="13"/>
      <c r="Y30" s="13"/>
      <c r="Z30" s="13"/>
      <c r="AA30" s="21"/>
      <c r="AB30" s="21"/>
      <c r="AC30" s="22"/>
      <c r="AD30" s="21"/>
      <c r="AE30" s="13"/>
      <c r="AF30" s="74"/>
      <c r="AG30" s="74"/>
      <c r="AH30" s="23"/>
    </row>
    <row r="31" spans="2:34" s="2" customFormat="1" ht="75" customHeight="1" x14ac:dyDescent="0.25">
      <c r="B31" s="20"/>
      <c r="C31" s="104"/>
      <c r="D31" s="13"/>
      <c r="E31" s="12"/>
      <c r="F31" s="75"/>
      <c r="G31" s="12"/>
      <c r="H31" s="75"/>
      <c r="I31" s="12"/>
      <c r="J31" s="75"/>
      <c r="K31" s="12"/>
      <c r="L31" s="75"/>
      <c r="M31" s="76"/>
      <c r="N31" s="75"/>
      <c r="O31" s="13"/>
      <c r="P31" s="75"/>
      <c r="Q31" s="25"/>
      <c r="R31" s="75"/>
      <c r="S31" s="13"/>
      <c r="T31" s="13"/>
      <c r="U31" s="13"/>
      <c r="V31" s="13"/>
      <c r="W31" s="13"/>
      <c r="X31" s="13"/>
      <c r="Y31" s="13"/>
      <c r="Z31" s="13"/>
      <c r="AA31" s="21"/>
      <c r="AB31" s="21"/>
      <c r="AC31" s="22"/>
      <c r="AD31" s="21"/>
      <c r="AE31" s="13"/>
      <c r="AF31" s="74"/>
      <c r="AG31" s="74"/>
      <c r="AH31" s="23"/>
    </row>
    <row r="32" spans="2:34" s="2" customFormat="1" ht="75" customHeight="1" x14ac:dyDescent="0.25">
      <c r="B32" s="20"/>
      <c r="C32" s="104"/>
      <c r="D32" s="13"/>
      <c r="E32" s="12"/>
      <c r="F32" s="75"/>
      <c r="G32" s="12"/>
      <c r="H32" s="75"/>
      <c r="I32" s="12"/>
      <c r="J32" s="75"/>
      <c r="K32" s="12"/>
      <c r="L32" s="75"/>
      <c r="M32" s="76"/>
      <c r="N32" s="75"/>
      <c r="O32" s="13"/>
      <c r="P32" s="75"/>
      <c r="Q32" s="25"/>
      <c r="R32" s="75"/>
      <c r="S32" s="13"/>
      <c r="T32" s="13"/>
      <c r="U32" s="13"/>
      <c r="V32" s="13"/>
      <c r="W32" s="13"/>
      <c r="X32" s="13"/>
      <c r="Y32" s="13"/>
      <c r="Z32" s="13"/>
      <c r="AA32" s="21"/>
      <c r="AB32" s="21"/>
      <c r="AC32" s="22"/>
      <c r="AD32" s="21"/>
      <c r="AE32" s="13"/>
      <c r="AF32" s="74"/>
      <c r="AG32" s="74"/>
      <c r="AH32" s="23"/>
    </row>
    <row r="33" spans="1:34" s="2" customFormat="1" ht="75" customHeight="1" x14ac:dyDescent="0.25">
      <c r="B33" s="20"/>
      <c r="C33" s="104"/>
      <c r="D33" s="13"/>
      <c r="E33" s="12"/>
      <c r="F33" s="75"/>
      <c r="G33" s="12"/>
      <c r="H33" s="75"/>
      <c r="I33" s="12"/>
      <c r="J33" s="75"/>
      <c r="K33" s="12"/>
      <c r="L33" s="75"/>
      <c r="M33" s="76"/>
      <c r="N33" s="75"/>
      <c r="O33" s="13"/>
      <c r="P33" s="75"/>
      <c r="Q33" s="25"/>
      <c r="R33" s="75"/>
      <c r="S33" s="13"/>
      <c r="T33" s="13"/>
      <c r="U33" s="13"/>
      <c r="V33" s="13"/>
      <c r="W33" s="13"/>
      <c r="X33" s="13"/>
      <c r="Y33" s="13"/>
      <c r="Z33" s="13"/>
      <c r="AA33" s="21"/>
      <c r="AB33" s="21"/>
      <c r="AC33" s="22"/>
      <c r="AD33" s="21"/>
      <c r="AE33" s="13"/>
      <c r="AF33" s="74"/>
      <c r="AG33" s="74"/>
      <c r="AH33" s="23"/>
    </row>
    <row r="34" spans="1:34" s="2" customFormat="1" ht="75" customHeight="1" x14ac:dyDescent="0.25">
      <c r="B34" s="20"/>
      <c r="C34" s="104"/>
      <c r="D34" s="13"/>
      <c r="E34" s="12"/>
      <c r="F34" s="75"/>
      <c r="G34" s="12"/>
      <c r="H34" s="75"/>
      <c r="I34" s="12"/>
      <c r="J34" s="75"/>
      <c r="K34" s="12"/>
      <c r="L34" s="75"/>
      <c r="M34" s="76"/>
      <c r="N34" s="75"/>
      <c r="O34" s="13"/>
      <c r="P34" s="75"/>
      <c r="Q34" s="25"/>
      <c r="R34" s="75"/>
      <c r="S34" s="13"/>
      <c r="T34" s="13"/>
      <c r="U34" s="13"/>
      <c r="V34" s="13"/>
      <c r="W34" s="13"/>
      <c r="X34" s="13"/>
      <c r="Y34" s="13"/>
      <c r="Z34" s="13"/>
      <c r="AA34" s="21"/>
      <c r="AB34" s="21"/>
      <c r="AC34" s="22"/>
      <c r="AD34" s="21"/>
      <c r="AE34" s="13"/>
      <c r="AF34" s="74"/>
      <c r="AG34" s="74"/>
      <c r="AH34" s="23"/>
    </row>
    <row r="35" spans="1:34" s="2" customFormat="1" ht="75" customHeight="1" x14ac:dyDescent="0.25">
      <c r="B35" s="20"/>
      <c r="C35" s="104"/>
      <c r="D35" s="13"/>
      <c r="E35" s="12"/>
      <c r="F35" s="75"/>
      <c r="G35" s="12"/>
      <c r="H35" s="75"/>
      <c r="I35" s="12"/>
      <c r="J35" s="75"/>
      <c r="K35" s="12"/>
      <c r="L35" s="75"/>
      <c r="M35" s="76"/>
      <c r="N35" s="75"/>
      <c r="O35" s="13"/>
      <c r="P35" s="75"/>
      <c r="Q35" s="25"/>
      <c r="R35" s="75"/>
      <c r="S35" s="13"/>
      <c r="T35" s="13"/>
      <c r="U35" s="13"/>
      <c r="V35" s="13"/>
      <c r="W35" s="13"/>
      <c r="X35" s="13"/>
      <c r="Y35" s="13"/>
      <c r="Z35" s="13"/>
      <c r="AA35" s="21"/>
      <c r="AB35" s="21"/>
      <c r="AC35" s="22"/>
      <c r="AD35" s="21"/>
      <c r="AE35" s="13"/>
      <c r="AF35" s="74"/>
      <c r="AG35" s="74"/>
      <c r="AH35" s="23"/>
    </row>
    <row r="36" spans="1:34" s="2" customFormat="1" ht="75" customHeight="1" x14ac:dyDescent="0.25">
      <c r="B36" s="20"/>
      <c r="C36" s="104"/>
      <c r="D36" s="13"/>
      <c r="E36" s="12"/>
      <c r="F36" s="75"/>
      <c r="G36" s="12"/>
      <c r="H36" s="75"/>
      <c r="I36" s="12"/>
      <c r="J36" s="75"/>
      <c r="K36" s="12"/>
      <c r="L36" s="75"/>
      <c r="M36" s="76"/>
      <c r="N36" s="75"/>
      <c r="O36" s="13"/>
      <c r="P36" s="75"/>
      <c r="Q36" s="25"/>
      <c r="R36" s="75"/>
      <c r="S36" s="13"/>
      <c r="T36" s="13"/>
      <c r="U36" s="13"/>
      <c r="V36" s="13"/>
      <c r="W36" s="13"/>
      <c r="X36" s="13"/>
      <c r="Y36" s="13"/>
      <c r="Z36" s="13"/>
      <c r="AA36" s="21"/>
      <c r="AB36" s="21"/>
      <c r="AC36" s="22"/>
      <c r="AD36" s="21"/>
      <c r="AE36" s="13"/>
      <c r="AF36" s="74"/>
      <c r="AG36" s="74"/>
      <c r="AH36" s="23"/>
    </row>
    <row r="37" spans="1:34" s="2" customFormat="1" ht="75" customHeight="1" x14ac:dyDescent="0.25">
      <c r="B37" s="20"/>
      <c r="C37" s="104"/>
      <c r="D37" s="13"/>
      <c r="E37" s="12"/>
      <c r="F37" s="75"/>
      <c r="G37" s="12"/>
      <c r="H37" s="75"/>
      <c r="I37" s="12"/>
      <c r="J37" s="75"/>
      <c r="K37" s="12"/>
      <c r="L37" s="75"/>
      <c r="M37" s="76"/>
      <c r="N37" s="75"/>
      <c r="O37" s="13"/>
      <c r="P37" s="75"/>
      <c r="Q37" s="25"/>
      <c r="R37" s="75"/>
      <c r="S37" s="13"/>
      <c r="T37" s="13"/>
      <c r="U37" s="13"/>
      <c r="V37" s="13"/>
      <c r="W37" s="13"/>
      <c r="X37" s="13"/>
      <c r="Y37" s="13"/>
      <c r="Z37" s="13"/>
      <c r="AA37" s="21"/>
      <c r="AB37" s="21"/>
      <c r="AC37" s="22"/>
      <c r="AD37" s="21"/>
      <c r="AE37" s="13"/>
      <c r="AF37" s="74"/>
      <c r="AG37" s="74"/>
      <c r="AH37" s="23"/>
    </row>
    <row r="38" spans="1:34" s="2" customFormat="1" ht="75" customHeight="1" x14ac:dyDescent="0.25">
      <c r="B38" s="20"/>
      <c r="C38" s="104"/>
      <c r="D38" s="13"/>
      <c r="E38" s="12"/>
      <c r="F38" s="75"/>
      <c r="G38" s="12"/>
      <c r="H38" s="75"/>
      <c r="I38" s="12"/>
      <c r="J38" s="75"/>
      <c r="K38" s="12"/>
      <c r="L38" s="75"/>
      <c r="M38" s="76"/>
      <c r="N38" s="75"/>
      <c r="O38" s="13"/>
      <c r="P38" s="75"/>
      <c r="Q38" s="25"/>
      <c r="R38" s="75"/>
      <c r="S38" s="13"/>
      <c r="T38" s="13"/>
      <c r="U38" s="13"/>
      <c r="V38" s="13"/>
      <c r="W38" s="13"/>
      <c r="X38" s="13"/>
      <c r="Y38" s="13"/>
      <c r="Z38" s="13"/>
      <c r="AA38" s="21"/>
      <c r="AB38" s="21"/>
      <c r="AC38" s="22"/>
      <c r="AD38" s="21"/>
      <c r="AE38" s="13"/>
      <c r="AF38" s="74"/>
      <c r="AG38" s="74"/>
      <c r="AH38" s="23"/>
    </row>
    <row r="39" spans="1:34" s="2" customFormat="1" ht="75" customHeight="1" x14ac:dyDescent="0.25">
      <c r="B39" s="20"/>
      <c r="C39" s="104"/>
      <c r="D39" s="13"/>
      <c r="E39" s="12"/>
      <c r="F39" s="75"/>
      <c r="G39" s="12"/>
      <c r="H39" s="75"/>
      <c r="I39" s="12"/>
      <c r="J39" s="75"/>
      <c r="K39" s="12"/>
      <c r="L39" s="75"/>
      <c r="M39" s="76"/>
      <c r="N39" s="75"/>
      <c r="O39" s="13"/>
      <c r="P39" s="75"/>
      <c r="Q39" s="25"/>
      <c r="R39" s="75"/>
      <c r="S39" s="13"/>
      <c r="T39" s="13"/>
      <c r="U39" s="13"/>
      <c r="V39" s="13"/>
      <c r="W39" s="13"/>
      <c r="X39" s="13"/>
      <c r="Y39" s="13"/>
      <c r="Z39" s="13"/>
      <c r="AA39" s="21"/>
      <c r="AB39" s="21"/>
      <c r="AC39" s="22"/>
      <c r="AD39" s="21"/>
      <c r="AE39" s="13"/>
      <c r="AF39" s="74"/>
      <c r="AG39" s="74"/>
      <c r="AH39" s="23"/>
    </row>
    <row r="40" spans="1:34" x14ac:dyDescent="0.25">
      <c r="A40" s="24"/>
      <c r="B40" s="24"/>
      <c r="C40" s="24"/>
      <c r="D40" s="2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row>
    <row r="41" spans="1:34" x14ac:dyDescent="0.25">
      <c r="A41" s="24"/>
      <c r="B41" s="24"/>
      <c r="C41" s="24"/>
      <c r="D41" s="2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row>
    <row r="42" spans="1:34" x14ac:dyDescent="0.25">
      <c r="A42" s="24"/>
      <c r="B42" s="24"/>
      <c r="C42" s="24"/>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row>
    <row r="43" spans="1:34" x14ac:dyDescent="0.25">
      <c r="A43" s="24"/>
      <c r="B43" s="24"/>
      <c r="C43" s="24"/>
      <c r="D43" s="2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row>
  </sheetData>
  <mergeCells count="20">
    <mergeCell ref="C34:C39"/>
    <mergeCell ref="P6:AA6"/>
    <mergeCell ref="C6:D6"/>
    <mergeCell ref="C7:D7"/>
    <mergeCell ref="N8:N10"/>
    <mergeCell ref="C8:C10"/>
    <mergeCell ref="D8:D10"/>
    <mergeCell ref="M8:M10"/>
    <mergeCell ref="C11:C20"/>
    <mergeCell ref="C21:C25"/>
    <mergeCell ref="O8:O10"/>
    <mergeCell ref="S10:T10"/>
    <mergeCell ref="P8:P10"/>
    <mergeCell ref="Q8:Y9"/>
    <mergeCell ref="Z8:AC9"/>
    <mergeCell ref="AD8:AD10"/>
    <mergeCell ref="AE8:AE10"/>
    <mergeCell ref="AF8:AG9"/>
    <mergeCell ref="AH8:AH10"/>
    <mergeCell ref="C26:C33"/>
  </mergeCells>
  <phoneticPr fontId="7" type="noConversion"/>
  <conditionalFormatting sqref="Q11:Q39">
    <cfRule type="cellIs" dxfId="44" priority="84" operator="equal">
      <formula>"Critique"</formula>
    </cfRule>
    <cfRule type="cellIs" dxfId="43" priority="85" operator="equal">
      <formula>"Elevé"</formula>
    </cfRule>
    <cfRule type="cellIs" dxfId="42" priority="86" operator="equal">
      <formula>"Modéré"</formula>
    </cfRule>
    <cfRule type="cellIs" dxfId="41" priority="87" operator="equal">
      <formula>"Non significatif"</formula>
    </cfRule>
  </conditionalFormatting>
  <conditionalFormatting sqref="Z11:Z39">
    <cfRule type="expression" dxfId="40" priority="1">
      <formula>$Z11="A transférer"</formula>
    </cfRule>
    <cfRule type="expression" dxfId="39" priority="2">
      <formula>$Z11="A éliminer"</formula>
    </cfRule>
    <cfRule type="expression" dxfId="38" priority="3">
      <formula>$Z11="A atténuer"</formula>
    </cfRule>
    <cfRule type="expression" dxfId="37" priority="4">
      <formula>$Z11="Accepter"</formula>
    </cfRule>
  </conditionalFormatting>
  <dataValidations count="8">
    <dataValidation type="list" allowBlank="1" showInputMessage="1" showErrorMessage="1" sqref="O11:O39" xr:uid="{00000000-0002-0000-0100-000001000000}">
      <formula1>elementsFreq</formula1>
    </dataValidation>
    <dataValidation type="list" allowBlank="1" showInputMessage="1" showErrorMessage="1" sqref="AD11:AD39" xr:uid="{00000000-0002-0000-0100-000002000000}">
      <formula1>listEtat</formula1>
    </dataValidation>
    <dataValidation type="list" allowBlank="1" showInputMessage="1" showErrorMessage="1" sqref="Z11:Z39" xr:uid="{00000000-0002-0000-0100-000003000000}">
      <formula1>listReponses</formula1>
    </dataValidation>
    <dataValidation type="list" allowBlank="1" showInputMessage="1" showErrorMessage="1" sqref="E11:E39" xr:uid="{00000000-0002-0000-0100-000004000000}">
      <formula1>plageDynamique1</formula1>
    </dataValidation>
    <dataValidation type="list" allowBlank="1" showInputMessage="1" showErrorMessage="1" sqref="G11:G39" xr:uid="{00000000-0002-0000-0100-000005000000}">
      <formula1>plageDynamique2</formula1>
    </dataValidation>
    <dataValidation type="list" allowBlank="1" showInputMessage="1" showErrorMessage="1" sqref="I11:I39" xr:uid="{00000000-0002-0000-0100-000006000000}">
      <formula1>plageDynamique3</formula1>
    </dataValidation>
    <dataValidation type="list" allowBlank="1" showInputMessage="1" showErrorMessage="1" sqref="K11:K39" xr:uid="{00000000-0002-0000-0100-000007000000}">
      <formula1>plageDynamique4</formula1>
    </dataValidation>
    <dataValidation type="list" allowBlank="1" showInputMessage="1" showErrorMessage="1" sqref="O40:O49 S21:S49" xr:uid="{00000000-0002-0000-0100-000000000000}">
      <formula1>#REF!</formula1>
    </dataValidation>
  </dataValidations>
  <hyperlinks>
    <hyperlink ref="N8:N10" location="Paramètres!A20" tooltip="Aller à la page des paramètres" display="Code Impact" xr:uid="{00000000-0004-0000-0100-000000000000}"/>
    <hyperlink ref="O8:O10" location="Paramètres!A14" tooltip="Aller à la page des paramètres" display="Fréquence" xr:uid="{00000000-0004-0000-0100-000001000000}"/>
    <hyperlink ref="E8" location="Paramètres!A5" tooltip="Aller à la page des Paramètre" display="Critères et leur niveaux d'impact" xr:uid="{D18B27BE-8529-422A-95EB-AB0D031D50E9}"/>
  </hyperlinks>
  <pageMargins left="0.7" right="0.7" top="0.75" bottom="0.75" header="0.3" footer="0.3"/>
  <pageSetup paperSize="9" scale="23" fitToHeight="0" orientation="portrait" r:id="rId1"/>
  <drawing r:id="rId2"/>
  <legacyDrawing r:id="rId3"/>
  <controls>
    <mc:AlternateContent xmlns:mc="http://schemas.openxmlformats.org/markup-compatibility/2006">
      <mc:Choice Requires="x14">
        <control shapeId="2260" r:id="rId4" name="TextBox1">
          <controlPr defaultSize="0" autoLine="0" r:id="rId5">
            <anchor moveWithCells="1">
              <from>
                <xdr:col>3</xdr:col>
                <xdr:colOff>590550</xdr:colOff>
                <xdr:row>6</xdr:row>
                <xdr:rowOff>104775</xdr:rowOff>
              </from>
              <to>
                <xdr:col>3</xdr:col>
                <xdr:colOff>2343150</xdr:colOff>
                <xdr:row>6</xdr:row>
                <xdr:rowOff>447675</xdr:rowOff>
              </to>
            </anchor>
          </controlPr>
        </control>
      </mc:Choice>
      <mc:Fallback>
        <control shapeId="2260" r:id="rId4" name="TextBox1"/>
      </mc:Fallback>
    </mc:AlternateContent>
    <mc:AlternateContent xmlns:mc="http://schemas.openxmlformats.org/markup-compatibility/2006">
      <mc:Choice Requires="x14">
        <control shapeId="2053" r:id="rId6" name="Button 5">
          <controlPr defaultSize="0" print="0" autoFill="0" autoPict="0" macro="[0]!effIcaCE">
            <anchor moveWithCells="1" sizeWithCells="1">
              <from>
                <xdr:col>31</xdr:col>
                <xdr:colOff>238125</xdr:colOff>
                <xdr:row>10</xdr:row>
                <xdr:rowOff>390525</xdr:rowOff>
              </from>
              <to>
                <xdr:col>31</xdr:col>
                <xdr:colOff>552450</xdr:colOff>
                <xdr:row>10</xdr:row>
                <xdr:rowOff>742950</xdr:rowOff>
              </to>
            </anchor>
          </controlPr>
        </control>
      </mc:Choice>
    </mc:AlternateContent>
    <mc:AlternateContent xmlns:mc="http://schemas.openxmlformats.org/markup-compatibility/2006">
      <mc:Choice Requires="x14">
        <control shapeId="2054" r:id="rId7" name="Button 6">
          <controlPr defaultSize="0" print="0" autoFill="0" autoPict="0" macro="[0]!PaseffIcaCE">
            <anchor moveWithCells="1" sizeWithCells="1">
              <from>
                <xdr:col>32</xdr:col>
                <xdr:colOff>228600</xdr:colOff>
                <xdr:row>10</xdr:row>
                <xdr:rowOff>390525</xdr:rowOff>
              </from>
              <to>
                <xdr:col>32</xdr:col>
                <xdr:colOff>542925</xdr:colOff>
                <xdr:row>10</xdr:row>
                <xdr:rowOff>742950</xdr:rowOff>
              </to>
            </anchor>
          </controlPr>
        </control>
      </mc:Choice>
    </mc:AlternateContent>
    <mc:AlternateContent xmlns:mc="http://schemas.openxmlformats.org/markup-compatibility/2006">
      <mc:Choice Requires="x14">
        <control shapeId="2057" r:id="rId8" name="Button 9">
          <controlPr defaultSize="0" print="0" autoFill="0" autoPict="0" macro="[0]!effIcaCE">
            <anchor moveWithCells="1" sizeWithCells="1">
              <from>
                <xdr:col>31</xdr:col>
                <xdr:colOff>238125</xdr:colOff>
                <xdr:row>12</xdr:row>
                <xdr:rowOff>114300</xdr:rowOff>
              </from>
              <to>
                <xdr:col>31</xdr:col>
                <xdr:colOff>552450</xdr:colOff>
                <xdr:row>12</xdr:row>
                <xdr:rowOff>400050</xdr:rowOff>
              </to>
            </anchor>
          </controlPr>
        </control>
      </mc:Choice>
    </mc:AlternateContent>
    <mc:AlternateContent xmlns:mc="http://schemas.openxmlformats.org/markup-compatibility/2006">
      <mc:Choice Requires="x14">
        <control shapeId="2058" r:id="rId9" name="Button 10">
          <controlPr defaultSize="0" print="0" autoFill="0" autoPict="0" macro="[0]!PaseffIcaCE">
            <anchor moveWithCells="1" sizeWithCells="1">
              <from>
                <xdr:col>32</xdr:col>
                <xdr:colOff>228600</xdr:colOff>
                <xdr:row>12</xdr:row>
                <xdr:rowOff>114300</xdr:rowOff>
              </from>
              <to>
                <xdr:col>32</xdr:col>
                <xdr:colOff>542925</xdr:colOff>
                <xdr:row>12</xdr:row>
                <xdr:rowOff>400050</xdr:rowOff>
              </to>
            </anchor>
          </controlPr>
        </control>
      </mc:Choice>
    </mc:AlternateContent>
    <mc:AlternateContent xmlns:mc="http://schemas.openxmlformats.org/markup-compatibility/2006">
      <mc:Choice Requires="x14">
        <control shapeId="2059" r:id="rId10" name="Button 11">
          <controlPr defaultSize="0" print="0" autoFill="0" autoPict="0" macro="[0]!effIcaCE">
            <anchor moveWithCells="1" sizeWithCells="1">
              <from>
                <xdr:col>31</xdr:col>
                <xdr:colOff>238125</xdr:colOff>
                <xdr:row>13</xdr:row>
                <xdr:rowOff>219075</xdr:rowOff>
              </from>
              <to>
                <xdr:col>31</xdr:col>
                <xdr:colOff>552450</xdr:colOff>
                <xdr:row>13</xdr:row>
                <xdr:rowOff>571500</xdr:rowOff>
              </to>
            </anchor>
          </controlPr>
        </control>
      </mc:Choice>
    </mc:AlternateContent>
    <mc:AlternateContent xmlns:mc="http://schemas.openxmlformats.org/markup-compatibility/2006">
      <mc:Choice Requires="x14">
        <control shapeId="2060" r:id="rId11" name="Button 12">
          <controlPr defaultSize="0" print="0" autoFill="0" autoPict="0" macro="[0]!PaseffIcaCE">
            <anchor moveWithCells="1" sizeWithCells="1">
              <from>
                <xdr:col>32</xdr:col>
                <xdr:colOff>228600</xdr:colOff>
                <xdr:row>13</xdr:row>
                <xdr:rowOff>219075</xdr:rowOff>
              </from>
              <to>
                <xdr:col>32</xdr:col>
                <xdr:colOff>542925</xdr:colOff>
                <xdr:row>13</xdr:row>
                <xdr:rowOff>571500</xdr:rowOff>
              </to>
            </anchor>
          </controlPr>
        </control>
      </mc:Choice>
    </mc:AlternateContent>
    <mc:AlternateContent xmlns:mc="http://schemas.openxmlformats.org/markup-compatibility/2006">
      <mc:Choice Requires="x14">
        <control shapeId="2061" r:id="rId12" name="Button 13">
          <controlPr defaultSize="0" print="0" autoFill="0" autoPict="0" macro="[0]!effIcaCE">
            <anchor moveWithCells="1" sizeWithCells="1">
              <from>
                <xdr:col>31</xdr:col>
                <xdr:colOff>238125</xdr:colOff>
                <xdr:row>14</xdr:row>
                <xdr:rowOff>276225</xdr:rowOff>
              </from>
              <to>
                <xdr:col>31</xdr:col>
                <xdr:colOff>552450</xdr:colOff>
                <xdr:row>14</xdr:row>
                <xdr:rowOff>628650</xdr:rowOff>
              </to>
            </anchor>
          </controlPr>
        </control>
      </mc:Choice>
    </mc:AlternateContent>
    <mc:AlternateContent xmlns:mc="http://schemas.openxmlformats.org/markup-compatibility/2006">
      <mc:Choice Requires="x14">
        <control shapeId="2062" r:id="rId13" name="Button 14">
          <controlPr defaultSize="0" print="0" autoFill="0" autoPict="0" macro="[0]!PaseffIcaCE">
            <anchor moveWithCells="1" sizeWithCells="1">
              <from>
                <xdr:col>32</xdr:col>
                <xdr:colOff>228600</xdr:colOff>
                <xdr:row>14</xdr:row>
                <xdr:rowOff>276225</xdr:rowOff>
              </from>
              <to>
                <xdr:col>32</xdr:col>
                <xdr:colOff>542925</xdr:colOff>
                <xdr:row>14</xdr:row>
                <xdr:rowOff>628650</xdr:rowOff>
              </to>
            </anchor>
          </controlPr>
        </control>
      </mc:Choice>
    </mc:AlternateContent>
    <mc:AlternateContent xmlns:mc="http://schemas.openxmlformats.org/markup-compatibility/2006">
      <mc:Choice Requires="x14">
        <control shapeId="2063" r:id="rId14" name="Button 15">
          <controlPr defaultSize="0" print="0" autoFill="0" autoPict="0" macro="[0]!effIcaCE">
            <anchor moveWithCells="1" sizeWithCells="1">
              <from>
                <xdr:col>31</xdr:col>
                <xdr:colOff>238125</xdr:colOff>
                <xdr:row>15</xdr:row>
                <xdr:rowOff>133350</xdr:rowOff>
              </from>
              <to>
                <xdr:col>31</xdr:col>
                <xdr:colOff>552450</xdr:colOff>
                <xdr:row>15</xdr:row>
                <xdr:rowOff>390525</xdr:rowOff>
              </to>
            </anchor>
          </controlPr>
        </control>
      </mc:Choice>
    </mc:AlternateContent>
    <mc:AlternateContent xmlns:mc="http://schemas.openxmlformats.org/markup-compatibility/2006">
      <mc:Choice Requires="x14">
        <control shapeId="2064" r:id="rId15" name="Button 16">
          <controlPr defaultSize="0" print="0" autoFill="0" autoPict="0" macro="[0]!PaseffIcaCE">
            <anchor moveWithCells="1" sizeWithCells="1">
              <from>
                <xdr:col>32</xdr:col>
                <xdr:colOff>228600</xdr:colOff>
                <xdr:row>15</xdr:row>
                <xdr:rowOff>133350</xdr:rowOff>
              </from>
              <to>
                <xdr:col>32</xdr:col>
                <xdr:colOff>542925</xdr:colOff>
                <xdr:row>15</xdr:row>
                <xdr:rowOff>390525</xdr:rowOff>
              </to>
            </anchor>
          </controlPr>
        </control>
      </mc:Choice>
    </mc:AlternateContent>
    <mc:AlternateContent xmlns:mc="http://schemas.openxmlformats.org/markup-compatibility/2006">
      <mc:Choice Requires="x14">
        <control shapeId="2065" r:id="rId16" name="Button 17">
          <controlPr defaultSize="0" print="0" autoFill="0" autoPict="0" macro="[0]!effIcaCE">
            <anchor moveWithCells="1" sizeWithCells="1">
              <from>
                <xdr:col>31</xdr:col>
                <xdr:colOff>238125</xdr:colOff>
                <xdr:row>16</xdr:row>
                <xdr:rowOff>161925</xdr:rowOff>
              </from>
              <to>
                <xdr:col>31</xdr:col>
                <xdr:colOff>552450</xdr:colOff>
                <xdr:row>16</xdr:row>
                <xdr:rowOff>428625</xdr:rowOff>
              </to>
            </anchor>
          </controlPr>
        </control>
      </mc:Choice>
    </mc:AlternateContent>
    <mc:AlternateContent xmlns:mc="http://schemas.openxmlformats.org/markup-compatibility/2006">
      <mc:Choice Requires="x14">
        <control shapeId="2066" r:id="rId17" name="Button 18">
          <controlPr defaultSize="0" print="0" autoFill="0" autoPict="0" macro="[0]!PaseffIcaCE">
            <anchor moveWithCells="1" sizeWithCells="1">
              <from>
                <xdr:col>32</xdr:col>
                <xdr:colOff>228600</xdr:colOff>
                <xdr:row>16</xdr:row>
                <xdr:rowOff>161925</xdr:rowOff>
              </from>
              <to>
                <xdr:col>32</xdr:col>
                <xdr:colOff>542925</xdr:colOff>
                <xdr:row>16</xdr:row>
                <xdr:rowOff>428625</xdr:rowOff>
              </to>
            </anchor>
          </controlPr>
        </control>
      </mc:Choice>
    </mc:AlternateContent>
    <mc:AlternateContent xmlns:mc="http://schemas.openxmlformats.org/markup-compatibility/2006">
      <mc:Choice Requires="x14">
        <control shapeId="2067" r:id="rId18" name="Button 19">
          <controlPr defaultSize="0" print="0" autoFill="0" autoPict="0" macro="[0]!effIcaCE">
            <anchor moveWithCells="1" sizeWithCells="1">
              <from>
                <xdr:col>31</xdr:col>
                <xdr:colOff>238125</xdr:colOff>
                <xdr:row>17</xdr:row>
                <xdr:rowOff>238125</xdr:rowOff>
              </from>
              <to>
                <xdr:col>31</xdr:col>
                <xdr:colOff>552450</xdr:colOff>
                <xdr:row>17</xdr:row>
                <xdr:rowOff>533400</xdr:rowOff>
              </to>
            </anchor>
          </controlPr>
        </control>
      </mc:Choice>
    </mc:AlternateContent>
    <mc:AlternateContent xmlns:mc="http://schemas.openxmlformats.org/markup-compatibility/2006">
      <mc:Choice Requires="x14">
        <control shapeId="2068" r:id="rId19" name="Button 20">
          <controlPr defaultSize="0" print="0" autoFill="0" autoPict="0" macro="[0]!PaseffIcaCE">
            <anchor moveWithCells="1" sizeWithCells="1">
              <from>
                <xdr:col>32</xdr:col>
                <xdr:colOff>228600</xdr:colOff>
                <xdr:row>17</xdr:row>
                <xdr:rowOff>238125</xdr:rowOff>
              </from>
              <to>
                <xdr:col>32</xdr:col>
                <xdr:colOff>542925</xdr:colOff>
                <xdr:row>17</xdr:row>
                <xdr:rowOff>533400</xdr:rowOff>
              </to>
            </anchor>
          </controlPr>
        </control>
      </mc:Choice>
    </mc:AlternateContent>
    <mc:AlternateContent xmlns:mc="http://schemas.openxmlformats.org/markup-compatibility/2006">
      <mc:Choice Requires="x14">
        <control shapeId="2069" r:id="rId20" name="Button 21">
          <controlPr defaultSize="0" print="0" autoFill="0" autoPict="0" macro="[0]!effIcaCE">
            <anchor moveWithCells="1" sizeWithCells="1">
              <from>
                <xdr:col>31</xdr:col>
                <xdr:colOff>238125</xdr:colOff>
                <xdr:row>18</xdr:row>
                <xdr:rowOff>123825</xdr:rowOff>
              </from>
              <to>
                <xdr:col>31</xdr:col>
                <xdr:colOff>552450</xdr:colOff>
                <xdr:row>18</xdr:row>
                <xdr:rowOff>419100</xdr:rowOff>
              </to>
            </anchor>
          </controlPr>
        </control>
      </mc:Choice>
    </mc:AlternateContent>
    <mc:AlternateContent xmlns:mc="http://schemas.openxmlformats.org/markup-compatibility/2006">
      <mc:Choice Requires="x14">
        <control shapeId="2070" r:id="rId21" name="Button 22">
          <controlPr defaultSize="0" print="0" autoFill="0" autoPict="0" macro="[0]!PaseffIcaCE">
            <anchor moveWithCells="1" sizeWithCells="1">
              <from>
                <xdr:col>32</xdr:col>
                <xdr:colOff>228600</xdr:colOff>
                <xdr:row>18</xdr:row>
                <xdr:rowOff>123825</xdr:rowOff>
              </from>
              <to>
                <xdr:col>32</xdr:col>
                <xdr:colOff>542925</xdr:colOff>
                <xdr:row>18</xdr:row>
                <xdr:rowOff>419100</xdr:rowOff>
              </to>
            </anchor>
          </controlPr>
        </control>
      </mc:Choice>
    </mc:AlternateContent>
    <mc:AlternateContent xmlns:mc="http://schemas.openxmlformats.org/markup-compatibility/2006">
      <mc:Choice Requires="x14">
        <control shapeId="2071" r:id="rId22" name="Button 23">
          <controlPr defaultSize="0" print="0" autoFill="0" autoPict="0" macro="[0]!effIcaCE">
            <anchor moveWithCells="1" sizeWithCells="1">
              <from>
                <xdr:col>31</xdr:col>
                <xdr:colOff>238125</xdr:colOff>
                <xdr:row>19</xdr:row>
                <xdr:rowOff>390525</xdr:rowOff>
              </from>
              <to>
                <xdr:col>31</xdr:col>
                <xdr:colOff>552450</xdr:colOff>
                <xdr:row>19</xdr:row>
                <xdr:rowOff>742950</xdr:rowOff>
              </to>
            </anchor>
          </controlPr>
        </control>
      </mc:Choice>
    </mc:AlternateContent>
    <mc:AlternateContent xmlns:mc="http://schemas.openxmlformats.org/markup-compatibility/2006">
      <mc:Choice Requires="x14">
        <control shapeId="2072" r:id="rId23" name="Button 24">
          <controlPr defaultSize="0" print="0" autoFill="0" autoPict="0" macro="[0]!PaseffIcaCE">
            <anchor moveWithCells="1" sizeWithCells="1">
              <from>
                <xdr:col>32</xdr:col>
                <xdr:colOff>228600</xdr:colOff>
                <xdr:row>19</xdr:row>
                <xdr:rowOff>390525</xdr:rowOff>
              </from>
              <to>
                <xdr:col>32</xdr:col>
                <xdr:colOff>542925</xdr:colOff>
                <xdr:row>19</xdr:row>
                <xdr:rowOff>742950</xdr:rowOff>
              </to>
            </anchor>
          </controlPr>
        </control>
      </mc:Choice>
    </mc:AlternateContent>
    <mc:AlternateContent xmlns:mc="http://schemas.openxmlformats.org/markup-compatibility/2006">
      <mc:Choice Requires="x14">
        <control shapeId="2073" r:id="rId24" name="Button 25">
          <controlPr defaultSize="0" print="0" autoFill="0" autoPict="0" macro="[0]!effIcaCE">
            <anchor moveWithCells="1" sizeWithCells="1">
              <from>
                <xdr:col>31</xdr:col>
                <xdr:colOff>238125</xdr:colOff>
                <xdr:row>20</xdr:row>
                <xdr:rowOff>219075</xdr:rowOff>
              </from>
              <to>
                <xdr:col>31</xdr:col>
                <xdr:colOff>552450</xdr:colOff>
                <xdr:row>20</xdr:row>
                <xdr:rowOff>447675</xdr:rowOff>
              </to>
            </anchor>
          </controlPr>
        </control>
      </mc:Choice>
    </mc:AlternateContent>
    <mc:AlternateContent xmlns:mc="http://schemas.openxmlformats.org/markup-compatibility/2006">
      <mc:Choice Requires="x14">
        <control shapeId="2074" r:id="rId25" name="Button 26">
          <controlPr defaultSize="0" print="0" autoFill="0" autoPict="0" macro="[0]!PaseffIcaCE">
            <anchor moveWithCells="1" sizeWithCells="1">
              <from>
                <xdr:col>32</xdr:col>
                <xdr:colOff>228600</xdr:colOff>
                <xdr:row>20</xdr:row>
                <xdr:rowOff>219075</xdr:rowOff>
              </from>
              <to>
                <xdr:col>32</xdr:col>
                <xdr:colOff>542925</xdr:colOff>
                <xdr:row>20</xdr:row>
                <xdr:rowOff>447675</xdr:rowOff>
              </to>
            </anchor>
          </controlPr>
        </control>
      </mc:Choice>
    </mc:AlternateContent>
    <mc:AlternateContent xmlns:mc="http://schemas.openxmlformats.org/markup-compatibility/2006">
      <mc:Choice Requires="x14">
        <control shapeId="2075" r:id="rId26" name="Button 27">
          <controlPr defaultSize="0" print="0" autoFill="0" autoPict="0" macro="[0]!effIcaCE">
            <anchor moveWithCells="1" sizeWithCells="1">
              <from>
                <xdr:col>31</xdr:col>
                <xdr:colOff>238125</xdr:colOff>
                <xdr:row>21</xdr:row>
                <xdr:rowOff>180975</xdr:rowOff>
              </from>
              <to>
                <xdr:col>31</xdr:col>
                <xdr:colOff>552450</xdr:colOff>
                <xdr:row>21</xdr:row>
                <xdr:rowOff>409575</xdr:rowOff>
              </to>
            </anchor>
          </controlPr>
        </control>
      </mc:Choice>
    </mc:AlternateContent>
    <mc:AlternateContent xmlns:mc="http://schemas.openxmlformats.org/markup-compatibility/2006">
      <mc:Choice Requires="x14">
        <control shapeId="2076" r:id="rId27" name="Button 28">
          <controlPr defaultSize="0" print="0" autoFill="0" autoPict="0" macro="[0]!PaseffIcaCE">
            <anchor moveWithCells="1" sizeWithCells="1">
              <from>
                <xdr:col>32</xdr:col>
                <xdr:colOff>228600</xdr:colOff>
                <xdr:row>21</xdr:row>
                <xdr:rowOff>180975</xdr:rowOff>
              </from>
              <to>
                <xdr:col>32</xdr:col>
                <xdr:colOff>542925</xdr:colOff>
                <xdr:row>21</xdr:row>
                <xdr:rowOff>409575</xdr:rowOff>
              </to>
            </anchor>
          </controlPr>
        </control>
      </mc:Choice>
    </mc:AlternateContent>
    <mc:AlternateContent xmlns:mc="http://schemas.openxmlformats.org/markup-compatibility/2006">
      <mc:Choice Requires="x14">
        <control shapeId="2077" r:id="rId28" name="Button 29">
          <controlPr defaultSize="0" print="0" autoFill="0" autoPict="0" macro="[0]!effIcaCE">
            <anchor moveWithCells="1" sizeWithCells="1">
              <from>
                <xdr:col>31</xdr:col>
                <xdr:colOff>238125</xdr:colOff>
                <xdr:row>22</xdr:row>
                <xdr:rowOff>219075</xdr:rowOff>
              </from>
              <to>
                <xdr:col>31</xdr:col>
                <xdr:colOff>552450</xdr:colOff>
                <xdr:row>22</xdr:row>
                <xdr:rowOff>447675</xdr:rowOff>
              </to>
            </anchor>
          </controlPr>
        </control>
      </mc:Choice>
    </mc:AlternateContent>
    <mc:AlternateContent xmlns:mc="http://schemas.openxmlformats.org/markup-compatibility/2006">
      <mc:Choice Requires="x14">
        <control shapeId="2078" r:id="rId29" name="Button 30">
          <controlPr defaultSize="0" print="0" autoFill="0" autoPict="0" macro="[0]!PaseffIcaCE">
            <anchor moveWithCells="1" sizeWithCells="1">
              <from>
                <xdr:col>32</xdr:col>
                <xdr:colOff>228600</xdr:colOff>
                <xdr:row>22</xdr:row>
                <xdr:rowOff>219075</xdr:rowOff>
              </from>
              <to>
                <xdr:col>32</xdr:col>
                <xdr:colOff>542925</xdr:colOff>
                <xdr:row>22</xdr:row>
                <xdr:rowOff>447675</xdr:rowOff>
              </to>
            </anchor>
          </controlPr>
        </control>
      </mc:Choice>
    </mc:AlternateContent>
    <mc:AlternateContent xmlns:mc="http://schemas.openxmlformats.org/markup-compatibility/2006">
      <mc:Choice Requires="x14">
        <control shapeId="2079" r:id="rId30" name="Button 31">
          <controlPr defaultSize="0" print="0" autoFill="0" autoPict="0" macro="[0]!effIcaCE">
            <anchor moveWithCells="1" sizeWithCells="1">
              <from>
                <xdr:col>31</xdr:col>
                <xdr:colOff>238125</xdr:colOff>
                <xdr:row>23</xdr:row>
                <xdr:rowOff>209550</xdr:rowOff>
              </from>
              <to>
                <xdr:col>31</xdr:col>
                <xdr:colOff>552450</xdr:colOff>
                <xdr:row>23</xdr:row>
                <xdr:rowOff>438150</xdr:rowOff>
              </to>
            </anchor>
          </controlPr>
        </control>
      </mc:Choice>
    </mc:AlternateContent>
    <mc:AlternateContent xmlns:mc="http://schemas.openxmlformats.org/markup-compatibility/2006">
      <mc:Choice Requires="x14">
        <control shapeId="2080" r:id="rId31" name="Button 32">
          <controlPr defaultSize="0" print="0" autoFill="0" autoPict="0" macro="[0]!PaseffIcaCE">
            <anchor moveWithCells="1" sizeWithCells="1">
              <from>
                <xdr:col>32</xdr:col>
                <xdr:colOff>228600</xdr:colOff>
                <xdr:row>23</xdr:row>
                <xdr:rowOff>209550</xdr:rowOff>
              </from>
              <to>
                <xdr:col>32</xdr:col>
                <xdr:colOff>542925</xdr:colOff>
                <xdr:row>23</xdr:row>
                <xdr:rowOff>438150</xdr:rowOff>
              </to>
            </anchor>
          </controlPr>
        </control>
      </mc:Choice>
    </mc:AlternateContent>
    <mc:AlternateContent xmlns:mc="http://schemas.openxmlformats.org/markup-compatibility/2006">
      <mc:Choice Requires="x14">
        <control shapeId="2081" r:id="rId32" name="Button 33">
          <controlPr defaultSize="0" print="0" autoFill="0" autoPict="0" macro="[0]!effIcaCE">
            <anchor moveWithCells="1" sizeWithCells="1">
              <from>
                <xdr:col>31</xdr:col>
                <xdr:colOff>238125</xdr:colOff>
                <xdr:row>24</xdr:row>
                <xdr:rowOff>390525</xdr:rowOff>
              </from>
              <to>
                <xdr:col>31</xdr:col>
                <xdr:colOff>552450</xdr:colOff>
                <xdr:row>24</xdr:row>
                <xdr:rowOff>742950</xdr:rowOff>
              </to>
            </anchor>
          </controlPr>
        </control>
      </mc:Choice>
    </mc:AlternateContent>
    <mc:AlternateContent xmlns:mc="http://schemas.openxmlformats.org/markup-compatibility/2006">
      <mc:Choice Requires="x14">
        <control shapeId="2082" r:id="rId33" name="Button 34">
          <controlPr defaultSize="0" print="0" autoFill="0" autoPict="0" macro="[0]!PaseffIcaCE">
            <anchor moveWithCells="1" sizeWithCells="1">
              <from>
                <xdr:col>32</xdr:col>
                <xdr:colOff>228600</xdr:colOff>
                <xdr:row>24</xdr:row>
                <xdr:rowOff>390525</xdr:rowOff>
              </from>
              <to>
                <xdr:col>32</xdr:col>
                <xdr:colOff>542925</xdr:colOff>
                <xdr:row>24</xdr:row>
                <xdr:rowOff>742950</xdr:rowOff>
              </to>
            </anchor>
          </controlPr>
        </control>
      </mc:Choice>
    </mc:AlternateContent>
    <mc:AlternateContent xmlns:mc="http://schemas.openxmlformats.org/markup-compatibility/2006">
      <mc:Choice Requires="x14">
        <control shapeId="2083" r:id="rId34" name="Button 35">
          <controlPr defaultSize="0" print="0" autoFill="0" autoPict="0" macro="[0]!effIcaCE">
            <anchor moveWithCells="1" sizeWithCells="1">
              <from>
                <xdr:col>31</xdr:col>
                <xdr:colOff>238125</xdr:colOff>
                <xdr:row>25</xdr:row>
                <xdr:rowOff>390525</xdr:rowOff>
              </from>
              <to>
                <xdr:col>31</xdr:col>
                <xdr:colOff>552450</xdr:colOff>
                <xdr:row>25</xdr:row>
                <xdr:rowOff>742950</xdr:rowOff>
              </to>
            </anchor>
          </controlPr>
        </control>
      </mc:Choice>
    </mc:AlternateContent>
    <mc:AlternateContent xmlns:mc="http://schemas.openxmlformats.org/markup-compatibility/2006">
      <mc:Choice Requires="x14">
        <control shapeId="2084" r:id="rId35" name="Button 36">
          <controlPr defaultSize="0" print="0" autoFill="0" autoPict="0" macro="[0]!PaseffIcaCE">
            <anchor moveWithCells="1" sizeWithCells="1">
              <from>
                <xdr:col>32</xdr:col>
                <xdr:colOff>228600</xdr:colOff>
                <xdr:row>25</xdr:row>
                <xdr:rowOff>390525</xdr:rowOff>
              </from>
              <to>
                <xdr:col>32</xdr:col>
                <xdr:colOff>542925</xdr:colOff>
                <xdr:row>25</xdr:row>
                <xdr:rowOff>742950</xdr:rowOff>
              </to>
            </anchor>
          </controlPr>
        </control>
      </mc:Choice>
    </mc:AlternateContent>
    <mc:AlternateContent xmlns:mc="http://schemas.openxmlformats.org/markup-compatibility/2006">
      <mc:Choice Requires="x14">
        <control shapeId="2085" r:id="rId36" name="Button 37">
          <controlPr defaultSize="0" print="0" autoFill="0" autoPict="0" macro="[0]!effIcaCE">
            <anchor moveWithCells="1" sizeWithCells="1">
              <from>
                <xdr:col>31</xdr:col>
                <xdr:colOff>238125</xdr:colOff>
                <xdr:row>26</xdr:row>
                <xdr:rowOff>390525</xdr:rowOff>
              </from>
              <to>
                <xdr:col>31</xdr:col>
                <xdr:colOff>552450</xdr:colOff>
                <xdr:row>26</xdr:row>
                <xdr:rowOff>742950</xdr:rowOff>
              </to>
            </anchor>
          </controlPr>
        </control>
      </mc:Choice>
    </mc:AlternateContent>
    <mc:AlternateContent xmlns:mc="http://schemas.openxmlformats.org/markup-compatibility/2006">
      <mc:Choice Requires="x14">
        <control shapeId="2086" r:id="rId37" name="Button 38">
          <controlPr defaultSize="0" print="0" autoFill="0" autoPict="0" macro="[0]!PaseffIcaCE">
            <anchor moveWithCells="1" sizeWithCells="1">
              <from>
                <xdr:col>32</xdr:col>
                <xdr:colOff>228600</xdr:colOff>
                <xdr:row>26</xdr:row>
                <xdr:rowOff>390525</xdr:rowOff>
              </from>
              <to>
                <xdr:col>32</xdr:col>
                <xdr:colOff>542925</xdr:colOff>
                <xdr:row>26</xdr:row>
                <xdr:rowOff>742950</xdr:rowOff>
              </to>
            </anchor>
          </controlPr>
        </control>
      </mc:Choice>
    </mc:AlternateContent>
    <mc:AlternateContent xmlns:mc="http://schemas.openxmlformats.org/markup-compatibility/2006">
      <mc:Choice Requires="x14">
        <control shapeId="2087" r:id="rId38" name="Button 39">
          <controlPr defaultSize="0" print="0" autoFill="0" autoPict="0" macro="[0]!effIcaCE">
            <anchor moveWithCells="1" sizeWithCells="1">
              <from>
                <xdr:col>31</xdr:col>
                <xdr:colOff>238125</xdr:colOff>
                <xdr:row>27</xdr:row>
                <xdr:rowOff>390525</xdr:rowOff>
              </from>
              <to>
                <xdr:col>31</xdr:col>
                <xdr:colOff>552450</xdr:colOff>
                <xdr:row>27</xdr:row>
                <xdr:rowOff>742950</xdr:rowOff>
              </to>
            </anchor>
          </controlPr>
        </control>
      </mc:Choice>
    </mc:AlternateContent>
    <mc:AlternateContent xmlns:mc="http://schemas.openxmlformats.org/markup-compatibility/2006">
      <mc:Choice Requires="x14">
        <control shapeId="2088" r:id="rId39" name="Button 40">
          <controlPr defaultSize="0" print="0" autoFill="0" autoPict="0" macro="[0]!PaseffIcaCE">
            <anchor moveWithCells="1" sizeWithCells="1">
              <from>
                <xdr:col>32</xdr:col>
                <xdr:colOff>228600</xdr:colOff>
                <xdr:row>27</xdr:row>
                <xdr:rowOff>390525</xdr:rowOff>
              </from>
              <to>
                <xdr:col>32</xdr:col>
                <xdr:colOff>542925</xdr:colOff>
                <xdr:row>27</xdr:row>
                <xdr:rowOff>742950</xdr:rowOff>
              </to>
            </anchor>
          </controlPr>
        </control>
      </mc:Choice>
    </mc:AlternateContent>
    <mc:AlternateContent xmlns:mc="http://schemas.openxmlformats.org/markup-compatibility/2006">
      <mc:Choice Requires="x14">
        <control shapeId="2089" r:id="rId40" name="Button 41">
          <controlPr defaultSize="0" print="0" autoFill="0" autoPict="0" macro="[0]!effIcaCE">
            <anchor moveWithCells="1" sizeWithCells="1">
              <from>
                <xdr:col>31</xdr:col>
                <xdr:colOff>238125</xdr:colOff>
                <xdr:row>28</xdr:row>
                <xdr:rowOff>390525</xdr:rowOff>
              </from>
              <to>
                <xdr:col>31</xdr:col>
                <xdr:colOff>552450</xdr:colOff>
                <xdr:row>28</xdr:row>
                <xdr:rowOff>742950</xdr:rowOff>
              </to>
            </anchor>
          </controlPr>
        </control>
      </mc:Choice>
    </mc:AlternateContent>
    <mc:AlternateContent xmlns:mc="http://schemas.openxmlformats.org/markup-compatibility/2006">
      <mc:Choice Requires="x14">
        <control shapeId="2090" r:id="rId41" name="Button 42">
          <controlPr defaultSize="0" print="0" autoFill="0" autoPict="0" macro="[0]!PaseffIcaCE">
            <anchor moveWithCells="1" sizeWithCells="1">
              <from>
                <xdr:col>32</xdr:col>
                <xdr:colOff>228600</xdr:colOff>
                <xdr:row>28</xdr:row>
                <xdr:rowOff>390525</xdr:rowOff>
              </from>
              <to>
                <xdr:col>32</xdr:col>
                <xdr:colOff>542925</xdr:colOff>
                <xdr:row>28</xdr:row>
                <xdr:rowOff>742950</xdr:rowOff>
              </to>
            </anchor>
          </controlPr>
        </control>
      </mc:Choice>
    </mc:AlternateContent>
    <mc:AlternateContent xmlns:mc="http://schemas.openxmlformats.org/markup-compatibility/2006">
      <mc:Choice Requires="x14">
        <control shapeId="2091" r:id="rId42" name="Button 43">
          <controlPr defaultSize="0" print="0" autoFill="0" autoPict="0" macro="[0]!effIcaCE">
            <anchor moveWithCells="1" sizeWithCells="1">
              <from>
                <xdr:col>31</xdr:col>
                <xdr:colOff>238125</xdr:colOff>
                <xdr:row>29</xdr:row>
                <xdr:rowOff>390525</xdr:rowOff>
              </from>
              <to>
                <xdr:col>31</xdr:col>
                <xdr:colOff>552450</xdr:colOff>
                <xdr:row>29</xdr:row>
                <xdr:rowOff>742950</xdr:rowOff>
              </to>
            </anchor>
          </controlPr>
        </control>
      </mc:Choice>
    </mc:AlternateContent>
    <mc:AlternateContent xmlns:mc="http://schemas.openxmlformats.org/markup-compatibility/2006">
      <mc:Choice Requires="x14">
        <control shapeId="2092" r:id="rId43" name="Button 44">
          <controlPr defaultSize="0" print="0" autoFill="0" autoPict="0" macro="[0]!PaseffIcaCE">
            <anchor moveWithCells="1" sizeWithCells="1">
              <from>
                <xdr:col>32</xdr:col>
                <xdr:colOff>228600</xdr:colOff>
                <xdr:row>29</xdr:row>
                <xdr:rowOff>390525</xdr:rowOff>
              </from>
              <to>
                <xdr:col>32</xdr:col>
                <xdr:colOff>542925</xdr:colOff>
                <xdr:row>29</xdr:row>
                <xdr:rowOff>742950</xdr:rowOff>
              </to>
            </anchor>
          </controlPr>
        </control>
      </mc:Choice>
    </mc:AlternateContent>
    <mc:AlternateContent xmlns:mc="http://schemas.openxmlformats.org/markup-compatibility/2006">
      <mc:Choice Requires="x14">
        <control shapeId="2093" r:id="rId44" name="Button 45">
          <controlPr defaultSize="0" print="0" autoFill="0" autoPict="0" macro="[0]!effIcaCE">
            <anchor moveWithCells="1" sizeWithCells="1">
              <from>
                <xdr:col>31</xdr:col>
                <xdr:colOff>238125</xdr:colOff>
                <xdr:row>30</xdr:row>
                <xdr:rowOff>390525</xdr:rowOff>
              </from>
              <to>
                <xdr:col>31</xdr:col>
                <xdr:colOff>552450</xdr:colOff>
                <xdr:row>30</xdr:row>
                <xdr:rowOff>742950</xdr:rowOff>
              </to>
            </anchor>
          </controlPr>
        </control>
      </mc:Choice>
    </mc:AlternateContent>
    <mc:AlternateContent xmlns:mc="http://schemas.openxmlformats.org/markup-compatibility/2006">
      <mc:Choice Requires="x14">
        <control shapeId="2094" r:id="rId45" name="Button 46">
          <controlPr defaultSize="0" print="0" autoFill="0" autoPict="0" macro="[0]!PaseffIcaCE">
            <anchor moveWithCells="1" sizeWithCells="1">
              <from>
                <xdr:col>32</xdr:col>
                <xdr:colOff>228600</xdr:colOff>
                <xdr:row>30</xdr:row>
                <xdr:rowOff>390525</xdr:rowOff>
              </from>
              <to>
                <xdr:col>32</xdr:col>
                <xdr:colOff>542925</xdr:colOff>
                <xdr:row>30</xdr:row>
                <xdr:rowOff>742950</xdr:rowOff>
              </to>
            </anchor>
          </controlPr>
        </control>
      </mc:Choice>
    </mc:AlternateContent>
    <mc:AlternateContent xmlns:mc="http://schemas.openxmlformats.org/markup-compatibility/2006">
      <mc:Choice Requires="x14">
        <control shapeId="2095" r:id="rId46" name="Button 47">
          <controlPr defaultSize="0" print="0" autoFill="0" autoPict="0" macro="[0]!effIcaCE">
            <anchor moveWithCells="1" sizeWithCells="1">
              <from>
                <xdr:col>31</xdr:col>
                <xdr:colOff>238125</xdr:colOff>
                <xdr:row>31</xdr:row>
                <xdr:rowOff>390525</xdr:rowOff>
              </from>
              <to>
                <xdr:col>31</xdr:col>
                <xdr:colOff>552450</xdr:colOff>
                <xdr:row>31</xdr:row>
                <xdr:rowOff>742950</xdr:rowOff>
              </to>
            </anchor>
          </controlPr>
        </control>
      </mc:Choice>
    </mc:AlternateContent>
    <mc:AlternateContent xmlns:mc="http://schemas.openxmlformats.org/markup-compatibility/2006">
      <mc:Choice Requires="x14">
        <control shapeId="2096" r:id="rId47" name="Button 48">
          <controlPr defaultSize="0" print="0" autoFill="0" autoPict="0" macro="[0]!PaseffIcaCE">
            <anchor moveWithCells="1" sizeWithCells="1">
              <from>
                <xdr:col>32</xdr:col>
                <xdr:colOff>228600</xdr:colOff>
                <xdr:row>31</xdr:row>
                <xdr:rowOff>390525</xdr:rowOff>
              </from>
              <to>
                <xdr:col>32</xdr:col>
                <xdr:colOff>542925</xdr:colOff>
                <xdr:row>31</xdr:row>
                <xdr:rowOff>742950</xdr:rowOff>
              </to>
            </anchor>
          </controlPr>
        </control>
      </mc:Choice>
    </mc:AlternateContent>
    <mc:AlternateContent xmlns:mc="http://schemas.openxmlformats.org/markup-compatibility/2006">
      <mc:Choice Requires="x14">
        <control shapeId="2097" r:id="rId48" name="Button 49">
          <controlPr defaultSize="0" print="0" autoFill="0" autoPict="0" macro="[0]!effIcaCE">
            <anchor moveWithCells="1" sizeWithCells="1">
              <from>
                <xdr:col>31</xdr:col>
                <xdr:colOff>238125</xdr:colOff>
                <xdr:row>32</xdr:row>
                <xdr:rowOff>390525</xdr:rowOff>
              </from>
              <to>
                <xdr:col>31</xdr:col>
                <xdr:colOff>552450</xdr:colOff>
                <xdr:row>32</xdr:row>
                <xdr:rowOff>742950</xdr:rowOff>
              </to>
            </anchor>
          </controlPr>
        </control>
      </mc:Choice>
    </mc:AlternateContent>
    <mc:AlternateContent xmlns:mc="http://schemas.openxmlformats.org/markup-compatibility/2006">
      <mc:Choice Requires="x14">
        <control shapeId="2098" r:id="rId49" name="Button 50">
          <controlPr defaultSize="0" print="0" autoFill="0" autoPict="0" macro="[0]!PaseffIcaCE">
            <anchor moveWithCells="1" sizeWithCells="1">
              <from>
                <xdr:col>32</xdr:col>
                <xdr:colOff>228600</xdr:colOff>
                <xdr:row>32</xdr:row>
                <xdr:rowOff>390525</xdr:rowOff>
              </from>
              <to>
                <xdr:col>32</xdr:col>
                <xdr:colOff>542925</xdr:colOff>
                <xdr:row>32</xdr:row>
                <xdr:rowOff>742950</xdr:rowOff>
              </to>
            </anchor>
          </controlPr>
        </control>
      </mc:Choice>
    </mc:AlternateContent>
    <mc:AlternateContent xmlns:mc="http://schemas.openxmlformats.org/markup-compatibility/2006">
      <mc:Choice Requires="x14">
        <control shapeId="2099" r:id="rId50" name="Button 51">
          <controlPr defaultSize="0" print="0" autoFill="0" autoPict="0" macro="[0]!effIcaCE">
            <anchor moveWithCells="1" sizeWithCells="1">
              <from>
                <xdr:col>31</xdr:col>
                <xdr:colOff>238125</xdr:colOff>
                <xdr:row>33</xdr:row>
                <xdr:rowOff>390525</xdr:rowOff>
              </from>
              <to>
                <xdr:col>31</xdr:col>
                <xdr:colOff>552450</xdr:colOff>
                <xdr:row>33</xdr:row>
                <xdr:rowOff>742950</xdr:rowOff>
              </to>
            </anchor>
          </controlPr>
        </control>
      </mc:Choice>
    </mc:AlternateContent>
    <mc:AlternateContent xmlns:mc="http://schemas.openxmlformats.org/markup-compatibility/2006">
      <mc:Choice Requires="x14">
        <control shapeId="2100" r:id="rId51" name="Button 52">
          <controlPr defaultSize="0" print="0" autoFill="0" autoPict="0" macro="[0]!PaseffIcaCE">
            <anchor moveWithCells="1" sizeWithCells="1">
              <from>
                <xdr:col>32</xdr:col>
                <xdr:colOff>228600</xdr:colOff>
                <xdr:row>33</xdr:row>
                <xdr:rowOff>390525</xdr:rowOff>
              </from>
              <to>
                <xdr:col>32</xdr:col>
                <xdr:colOff>542925</xdr:colOff>
                <xdr:row>33</xdr:row>
                <xdr:rowOff>742950</xdr:rowOff>
              </to>
            </anchor>
          </controlPr>
        </control>
      </mc:Choice>
    </mc:AlternateContent>
    <mc:AlternateContent xmlns:mc="http://schemas.openxmlformats.org/markup-compatibility/2006">
      <mc:Choice Requires="x14">
        <control shapeId="2101" r:id="rId52" name="Button 53">
          <controlPr defaultSize="0" print="0" autoFill="0" autoPict="0" macro="[0]!effIcaCE">
            <anchor moveWithCells="1" sizeWithCells="1">
              <from>
                <xdr:col>31</xdr:col>
                <xdr:colOff>238125</xdr:colOff>
                <xdr:row>34</xdr:row>
                <xdr:rowOff>390525</xdr:rowOff>
              </from>
              <to>
                <xdr:col>31</xdr:col>
                <xdr:colOff>552450</xdr:colOff>
                <xdr:row>34</xdr:row>
                <xdr:rowOff>742950</xdr:rowOff>
              </to>
            </anchor>
          </controlPr>
        </control>
      </mc:Choice>
    </mc:AlternateContent>
    <mc:AlternateContent xmlns:mc="http://schemas.openxmlformats.org/markup-compatibility/2006">
      <mc:Choice Requires="x14">
        <control shapeId="2102" r:id="rId53" name="Button 54">
          <controlPr defaultSize="0" print="0" autoFill="0" autoPict="0" macro="[0]!PaseffIcaCE">
            <anchor moveWithCells="1" sizeWithCells="1">
              <from>
                <xdr:col>32</xdr:col>
                <xdr:colOff>228600</xdr:colOff>
                <xdr:row>34</xdr:row>
                <xdr:rowOff>390525</xdr:rowOff>
              </from>
              <to>
                <xdr:col>32</xdr:col>
                <xdr:colOff>542925</xdr:colOff>
                <xdr:row>34</xdr:row>
                <xdr:rowOff>742950</xdr:rowOff>
              </to>
            </anchor>
          </controlPr>
        </control>
      </mc:Choice>
    </mc:AlternateContent>
    <mc:AlternateContent xmlns:mc="http://schemas.openxmlformats.org/markup-compatibility/2006">
      <mc:Choice Requires="x14">
        <control shapeId="2103" r:id="rId54" name="Button 55">
          <controlPr defaultSize="0" print="0" autoFill="0" autoPict="0" macro="[0]!effIcaCE">
            <anchor moveWithCells="1" sizeWithCells="1">
              <from>
                <xdr:col>31</xdr:col>
                <xdr:colOff>238125</xdr:colOff>
                <xdr:row>35</xdr:row>
                <xdr:rowOff>390525</xdr:rowOff>
              </from>
              <to>
                <xdr:col>31</xdr:col>
                <xdr:colOff>552450</xdr:colOff>
                <xdr:row>35</xdr:row>
                <xdr:rowOff>742950</xdr:rowOff>
              </to>
            </anchor>
          </controlPr>
        </control>
      </mc:Choice>
    </mc:AlternateContent>
    <mc:AlternateContent xmlns:mc="http://schemas.openxmlformats.org/markup-compatibility/2006">
      <mc:Choice Requires="x14">
        <control shapeId="2104" r:id="rId55" name="Button 56">
          <controlPr defaultSize="0" print="0" autoFill="0" autoPict="0" macro="[0]!PaseffIcaCE">
            <anchor moveWithCells="1" sizeWithCells="1">
              <from>
                <xdr:col>32</xdr:col>
                <xdr:colOff>228600</xdr:colOff>
                <xdr:row>35</xdr:row>
                <xdr:rowOff>390525</xdr:rowOff>
              </from>
              <to>
                <xdr:col>32</xdr:col>
                <xdr:colOff>542925</xdr:colOff>
                <xdr:row>35</xdr:row>
                <xdr:rowOff>742950</xdr:rowOff>
              </to>
            </anchor>
          </controlPr>
        </control>
      </mc:Choice>
    </mc:AlternateContent>
    <mc:AlternateContent xmlns:mc="http://schemas.openxmlformats.org/markup-compatibility/2006">
      <mc:Choice Requires="x14">
        <control shapeId="2105" r:id="rId56" name="Button 57">
          <controlPr defaultSize="0" print="0" autoFill="0" autoPict="0" macro="[0]!effIcaCE">
            <anchor moveWithCells="1" sizeWithCells="1">
              <from>
                <xdr:col>31</xdr:col>
                <xdr:colOff>238125</xdr:colOff>
                <xdr:row>36</xdr:row>
                <xdr:rowOff>390525</xdr:rowOff>
              </from>
              <to>
                <xdr:col>31</xdr:col>
                <xdr:colOff>552450</xdr:colOff>
                <xdr:row>36</xdr:row>
                <xdr:rowOff>742950</xdr:rowOff>
              </to>
            </anchor>
          </controlPr>
        </control>
      </mc:Choice>
    </mc:AlternateContent>
    <mc:AlternateContent xmlns:mc="http://schemas.openxmlformats.org/markup-compatibility/2006">
      <mc:Choice Requires="x14">
        <control shapeId="2106" r:id="rId57" name="Button 58">
          <controlPr defaultSize="0" print="0" autoFill="0" autoPict="0" macro="[0]!PaseffIcaCE">
            <anchor moveWithCells="1" sizeWithCells="1">
              <from>
                <xdr:col>32</xdr:col>
                <xdr:colOff>228600</xdr:colOff>
                <xdr:row>36</xdr:row>
                <xdr:rowOff>390525</xdr:rowOff>
              </from>
              <to>
                <xdr:col>32</xdr:col>
                <xdr:colOff>542925</xdr:colOff>
                <xdr:row>36</xdr:row>
                <xdr:rowOff>742950</xdr:rowOff>
              </to>
            </anchor>
          </controlPr>
        </control>
      </mc:Choice>
    </mc:AlternateContent>
    <mc:AlternateContent xmlns:mc="http://schemas.openxmlformats.org/markup-compatibility/2006">
      <mc:Choice Requires="x14">
        <control shapeId="2107" r:id="rId58" name="Button 59">
          <controlPr defaultSize="0" print="0" autoFill="0" autoPict="0" macro="[0]!effIcaCE">
            <anchor moveWithCells="1" sizeWithCells="1">
              <from>
                <xdr:col>31</xdr:col>
                <xdr:colOff>238125</xdr:colOff>
                <xdr:row>37</xdr:row>
                <xdr:rowOff>390525</xdr:rowOff>
              </from>
              <to>
                <xdr:col>31</xdr:col>
                <xdr:colOff>552450</xdr:colOff>
                <xdr:row>37</xdr:row>
                <xdr:rowOff>742950</xdr:rowOff>
              </to>
            </anchor>
          </controlPr>
        </control>
      </mc:Choice>
    </mc:AlternateContent>
    <mc:AlternateContent xmlns:mc="http://schemas.openxmlformats.org/markup-compatibility/2006">
      <mc:Choice Requires="x14">
        <control shapeId="2108" r:id="rId59" name="Button 60">
          <controlPr defaultSize="0" print="0" autoFill="0" autoPict="0" macro="[0]!PaseffIcaCE">
            <anchor moveWithCells="1" sizeWithCells="1">
              <from>
                <xdr:col>32</xdr:col>
                <xdr:colOff>228600</xdr:colOff>
                <xdr:row>37</xdr:row>
                <xdr:rowOff>390525</xdr:rowOff>
              </from>
              <to>
                <xdr:col>32</xdr:col>
                <xdr:colOff>542925</xdr:colOff>
                <xdr:row>37</xdr:row>
                <xdr:rowOff>742950</xdr:rowOff>
              </to>
            </anchor>
          </controlPr>
        </control>
      </mc:Choice>
    </mc:AlternateContent>
    <mc:AlternateContent xmlns:mc="http://schemas.openxmlformats.org/markup-compatibility/2006">
      <mc:Choice Requires="x14">
        <control shapeId="2109" r:id="rId60" name="Button 61">
          <controlPr defaultSize="0" print="0" autoFill="0" autoPict="0" macro="[0]!effIcaCE">
            <anchor moveWithCells="1" sizeWithCells="1">
              <from>
                <xdr:col>31</xdr:col>
                <xdr:colOff>238125</xdr:colOff>
                <xdr:row>38</xdr:row>
                <xdr:rowOff>390525</xdr:rowOff>
              </from>
              <to>
                <xdr:col>31</xdr:col>
                <xdr:colOff>552450</xdr:colOff>
                <xdr:row>38</xdr:row>
                <xdr:rowOff>742950</xdr:rowOff>
              </to>
            </anchor>
          </controlPr>
        </control>
      </mc:Choice>
    </mc:AlternateContent>
    <mc:AlternateContent xmlns:mc="http://schemas.openxmlformats.org/markup-compatibility/2006">
      <mc:Choice Requires="x14">
        <control shapeId="2110" r:id="rId61" name="Button 62">
          <controlPr defaultSize="0" print="0" autoFill="0" autoPict="0" macro="[0]!PaseffIcaCE">
            <anchor moveWithCells="1" sizeWithCells="1">
              <from>
                <xdr:col>32</xdr:col>
                <xdr:colOff>228600</xdr:colOff>
                <xdr:row>38</xdr:row>
                <xdr:rowOff>390525</xdr:rowOff>
              </from>
              <to>
                <xdr:col>32</xdr:col>
                <xdr:colOff>542925</xdr:colOff>
                <xdr:row>38</xdr:row>
                <xdr:rowOff>742950</xdr:rowOff>
              </to>
            </anchor>
          </controlPr>
        </control>
      </mc:Choice>
    </mc:AlternateContent>
    <mc:AlternateContent xmlns:mc="http://schemas.openxmlformats.org/markup-compatibility/2006">
      <mc:Choice Requires="x14">
        <control shapeId="2275" r:id="rId62" name="Button 227">
          <controlPr defaultSize="0" print="0" autoFill="0" autoPict="0" macro="[0]!effIcaCE">
            <anchor moveWithCells="1" sizeWithCells="1">
              <from>
                <xdr:col>31</xdr:col>
                <xdr:colOff>238125</xdr:colOff>
                <xdr:row>11</xdr:row>
                <xdr:rowOff>219075</xdr:rowOff>
              </from>
              <to>
                <xdr:col>31</xdr:col>
                <xdr:colOff>552450</xdr:colOff>
                <xdr:row>11</xdr:row>
                <xdr:rowOff>571500</xdr:rowOff>
              </to>
            </anchor>
          </controlPr>
        </control>
      </mc:Choice>
    </mc:AlternateContent>
    <mc:AlternateContent xmlns:mc="http://schemas.openxmlformats.org/markup-compatibility/2006">
      <mc:Choice Requires="x14">
        <control shapeId="2276" r:id="rId63" name="Button 228">
          <controlPr defaultSize="0" print="0" autoFill="0" autoPict="0" macro="[0]!PaseffIcaCE">
            <anchor moveWithCells="1" sizeWithCells="1">
              <from>
                <xdr:col>32</xdr:col>
                <xdr:colOff>228600</xdr:colOff>
                <xdr:row>11</xdr:row>
                <xdr:rowOff>219075</xdr:rowOff>
              </from>
              <to>
                <xdr:col>32</xdr:col>
                <xdr:colOff>542925</xdr:colOff>
                <xdr:row>11</xdr:row>
                <xdr:rowOff>571500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 id="{E0A3ADAC-C9B5-4E0E-A30F-363AF02382CD}">
            <xm:f>$AD11=Paramètres!$D$63</xm:f>
            <x14:dxf>
              <font>
                <color auto="1"/>
              </font>
              <fill>
                <patternFill patternType="none">
                  <bgColor auto="1"/>
                </patternFill>
              </fill>
              <border>
                <left style="thin">
                  <color auto="1"/>
                </left>
                <right style="thin">
                  <color auto="1"/>
                </right>
                <top style="thin">
                  <color auto="1"/>
                </top>
                <bottom style="thin">
                  <color auto="1"/>
                </bottom>
                <vertical/>
                <horizontal/>
              </border>
            </x14:dxf>
          </x14:cfRule>
          <x14:cfRule type="expression" priority="6" id="{F61E1B7E-F560-4C1F-A189-CBA3D53A59AD}">
            <xm:f>$AD11=Paramètres!$D$62</xm:f>
            <x14:dxf>
              <font>
                <color rgb="FFFF0000"/>
              </font>
              <fill>
                <gradientFill degree="270">
                  <stop position="0">
                    <color theme="0"/>
                  </stop>
                  <stop position="1">
                    <color theme="4"/>
                  </stop>
                </gradientFill>
              </fill>
            </x14:dxf>
          </x14:cfRule>
          <x14:cfRule type="expression" priority="8" id="{9946CD71-70AF-402E-80AC-8ED4E3EF1F64}">
            <xm:f>$AD11=Paramètres!$D$61</xm:f>
            <x14:dxf>
              <font>
                <color theme="0"/>
              </font>
              <fill>
                <patternFill>
                  <bgColor rgb="FF002060"/>
                </patternFill>
              </fill>
            </x14:dxf>
          </x14:cfRule>
          <x14:cfRule type="expression" priority="9" id="{F7FBF85F-774C-4EBB-A8C8-A2B2EDF40DCA}">
            <xm:f>$AD11=Paramètres!$D$60</xm:f>
            <x14:dxf>
              <fill>
                <patternFill>
                  <bgColor theme="6" tint="0.39994506668294322"/>
                </patternFill>
              </fill>
            </x14:dxf>
          </x14:cfRule>
          <x14:cfRule type="expression" priority="10" id="{D682E489-BB1F-4E21-9B00-5C96292B6A51}">
            <xm:f>$AD11=Paramètres!$D$59</xm:f>
            <x14:dxf>
              <fill>
                <patternFill>
                  <bgColor theme="4" tint="0.39994506668294322"/>
                </patternFill>
              </fill>
            </x14:dxf>
          </x14:cfRule>
          <x14:cfRule type="expression" priority="11" id="{B848513C-C378-4C1A-8A1A-328A38109DCC}">
            <xm:f>$AD11=Paramètres!$D$58</xm:f>
            <x14:dxf>
              <fill>
                <patternFill>
                  <bgColor theme="5" tint="0.39994506668294322"/>
                </patternFill>
              </fill>
            </x14:dxf>
          </x14:cfRule>
          <x14:cfRule type="expression" priority="12" id="{198C55C9-647F-48EA-B255-6D47A75FDD9C}">
            <xm:f>$AD11=Paramètres!$D$57</xm:f>
            <x14:dxf>
              <font>
                <color theme="0"/>
              </font>
              <fill>
                <patternFill>
                  <bgColor rgb="FF00B0F0"/>
                </patternFill>
              </fill>
            </x14:dxf>
          </x14:cfRule>
          <x14:cfRule type="expression" priority="13" id="{8865FED2-8301-40EE-825C-FA66F1280342}">
            <xm:f>$AD11=Paramètres!$D$56</xm:f>
            <x14:dxf>
              <font>
                <color theme="0"/>
              </font>
              <fill>
                <patternFill>
                  <bgColor rgb="FFFF0000"/>
                </patternFill>
              </fill>
            </x14:dxf>
          </x14:cfRule>
          <x14:cfRule type="expression" priority="14" id="{C67660EA-ADD4-4ECE-9AD9-AE316FF80A44}">
            <xm:f>$AD11=Paramètres!$D$55</xm:f>
            <x14:dxf>
              <fill>
                <patternFill>
                  <bgColor rgb="FFFFFF00"/>
                </patternFill>
              </fill>
            </x14:dxf>
          </x14:cfRule>
          <x14:cfRule type="expression" priority="15" id="{6F054290-E91B-4BEB-9836-88728C2874E5}">
            <xm:f>$AD11=Paramètres!$D$54</xm:f>
            <x14:dxf>
              <font>
                <color theme="0"/>
              </font>
              <fill>
                <patternFill>
                  <bgColor rgb="FF00B050"/>
                </patternFill>
              </fill>
            </x14:dxf>
          </x14:cfRule>
          <xm:sqref>AD11:AD39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9000000}">
          <x14:formula1>
            <xm:f>Dashboard!$F$4:$F$7</xm:f>
          </x14:formula1>
          <xm:sqref>Z1:Z6 Z40:Z1048576</xm:sqref>
        </x14:dataValidation>
        <x14:dataValidation type="list" allowBlank="1" showInputMessage="1" showErrorMessage="1" xr:uid="{00000000-0002-0000-0100-00000A000000}">
          <x14:formula1>
            <xm:f>Paramètres!$D$7:$D$11</xm:f>
          </x14:formula1>
          <xm:sqref>E50 G50 I50 K50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ashBoard">
    <tabColor rgb="FF62BD8A"/>
  </sheetPr>
  <dimension ref="A1:X67"/>
  <sheetViews>
    <sheetView showGridLines="0" showZeros="0" zoomScaleNormal="100" workbookViewId="0"/>
  </sheetViews>
  <sheetFormatPr baseColWidth="10" defaultColWidth="17.5703125" defaultRowHeight="15" x14ac:dyDescent="0.25"/>
  <cols>
    <col min="1" max="1" width="6.28515625" style="1" customWidth="1"/>
    <col min="2" max="3" width="23.140625" style="2" customWidth="1"/>
    <col min="4" max="4" width="21.7109375" style="2" customWidth="1"/>
    <col min="5" max="5" width="3.28515625" style="1" customWidth="1"/>
    <col min="6" max="7" width="26.28515625" style="2" customWidth="1"/>
    <col min="8" max="8" width="17.5703125" style="2" customWidth="1"/>
    <col min="9" max="10" width="17.5703125" style="1" customWidth="1"/>
    <col min="11" max="24" width="17.5703125" style="41"/>
    <col min="25" max="16384" width="17.5703125" style="42"/>
  </cols>
  <sheetData>
    <row r="1" spans="1:24" ht="93.75" customHeight="1" x14ac:dyDescent="0.25"/>
    <row r="2" spans="1:24" s="41" customFormat="1" x14ac:dyDescent="0.25">
      <c r="A2" s="1"/>
      <c r="B2" s="3"/>
      <c r="C2" s="1"/>
      <c r="D2" s="1"/>
      <c r="E2" s="1"/>
      <c r="F2" s="1"/>
      <c r="G2" s="3"/>
      <c r="H2" s="44"/>
      <c r="I2" s="44" t="s">
        <v>89</v>
      </c>
      <c r="J2" s="44"/>
    </row>
    <row r="3" spans="1:24" x14ac:dyDescent="0.25">
      <c r="A3" s="2"/>
      <c r="B3" s="113" t="s">
        <v>57</v>
      </c>
      <c r="C3" s="113"/>
      <c r="D3" s="43" t="s">
        <v>46</v>
      </c>
      <c r="E3" s="2"/>
      <c r="F3" s="44" t="s">
        <v>82</v>
      </c>
      <c r="G3" s="45" t="s">
        <v>46</v>
      </c>
      <c r="H3" s="45" t="s">
        <v>87</v>
      </c>
      <c r="I3" s="45" t="s">
        <v>127</v>
      </c>
      <c r="J3" s="45" t="s">
        <v>88</v>
      </c>
      <c r="K3" s="42"/>
      <c r="L3" s="42"/>
      <c r="M3" s="42"/>
      <c r="N3" s="42"/>
      <c r="O3" s="42"/>
      <c r="P3" s="42"/>
      <c r="Q3" s="42"/>
      <c r="R3" s="42"/>
      <c r="S3" s="42"/>
      <c r="T3" s="42"/>
      <c r="U3" s="42"/>
      <c r="V3" s="42"/>
      <c r="W3" s="42"/>
      <c r="X3" s="42"/>
    </row>
    <row r="4" spans="1:24" x14ac:dyDescent="0.25">
      <c r="B4" s="114" t="s">
        <v>38</v>
      </c>
      <c r="C4" s="114"/>
      <c r="D4" s="73" t="e">
        <f ca="1">IF(COUNTIF('Registre des risques'!$Q$11:$Q$39,B4)=0,#N/A,COUNTIF('Registre des risques'!$Q$11:$Q$39,B4))</f>
        <v>#N/A</v>
      </c>
      <c r="F4" s="92" t="s">
        <v>83</v>
      </c>
      <c r="G4" s="66">
        <f>COUNTIF('Registre des risques'!$Z$11:$Z$39,Dashboard!F4)</f>
        <v>4</v>
      </c>
      <c r="H4" s="66">
        <f>COUNTIFS('Registre des risques'!$Z$11:$Z$39,Dashboard!$F4,'Registre des risques'!$AD$11:$AD$39,Dashboard!H$3)</f>
        <v>1</v>
      </c>
      <c r="I4" s="66">
        <f>COUNTIFS('Registre des risques'!$Z$11:$Z$39,Dashboard!$F4,'Registre des risques'!$AD$11:$AD$39,Dashboard!I$3)</f>
        <v>1</v>
      </c>
      <c r="J4" s="66">
        <f>COUNTIFS('Registre des risques'!$Z$11:$Z$39,Dashboard!$F4,'Registre des risques'!$AD$11:$AD$39,Dashboard!J$3)</f>
        <v>1</v>
      </c>
      <c r="K4" s="67">
        <f>COUNTIFS('Registre des risques'!$Z$11:$Z$39,Dashboard!$F4,'Registre des risques'!$AD$11:$AD$39,Dashboard!K$3)</f>
        <v>0</v>
      </c>
      <c r="L4" s="67">
        <f>COUNTIFS('Registre des risques'!$Z$11:$Z$39,Dashboard!$F4,'Registre des risques'!$AD$11:$AD$39,Dashboard!L$3)</f>
        <v>0</v>
      </c>
      <c r="M4" s="67">
        <f>COUNTIFS('Registre des risques'!$Z$11:$Z$39,Dashboard!$F4,'Registre des risques'!$AD$11:$AD$39,Dashboard!M$3)</f>
        <v>0</v>
      </c>
      <c r="N4" s="67">
        <f>COUNTIFS('Registre des risques'!$Z$11:$Z$39,Dashboard!$F4,'Registre des risques'!$AD$11:$AD$39,Dashboard!N$3)</f>
        <v>0</v>
      </c>
      <c r="O4" s="67">
        <f>COUNTIFS('Registre des risques'!$Z$11:$Z$39,Dashboard!$F4,'Registre des risques'!$AD$11:$AD$39,Dashboard!O$3)</f>
        <v>0</v>
      </c>
      <c r="P4" s="67">
        <f>COUNTIFS('Registre des risques'!$Z$11:$Z$39,Dashboard!$F4,'Registre des risques'!$AD$11:$AD$39,Dashboard!P$3)</f>
        <v>0</v>
      </c>
      <c r="Q4" s="67">
        <f>COUNTIFS('Registre des risques'!$Z$11:$Z$39,Dashboard!$F4,'Registre des risques'!$AD$11:$AD$39,Dashboard!Q$3)</f>
        <v>0</v>
      </c>
    </row>
    <row r="5" spans="1:24" x14ac:dyDescent="0.25">
      <c r="B5" s="114" t="s">
        <v>39</v>
      </c>
      <c r="C5" s="114"/>
      <c r="D5" s="73">
        <f ca="1">IF(COUNTIF('Registre des risques'!$Q$11:$Q$39,B5)=0,#N/A,COUNTIF('Registre des risques'!$Q$11:$Q$39,B5))</f>
        <v>2</v>
      </c>
      <c r="F5" s="92" t="s">
        <v>84</v>
      </c>
      <c r="G5" s="66">
        <f>COUNTIF('Registre des risques'!$Z$11:$Z$39,Dashboard!F5)</f>
        <v>0</v>
      </c>
      <c r="H5" s="66">
        <f>COUNTIFS('Registre des risques'!$Z$11:$Z$39,Dashboard!$F5,'Registre des risques'!$AD$11:$AD$39,Dashboard!H$3)</f>
        <v>0</v>
      </c>
      <c r="I5" s="66">
        <f>COUNTIFS('Registre des risques'!$Z$11:$Z$39,Dashboard!$F5,'Registre des risques'!$AD$11:$AD$39,Dashboard!I$3)</f>
        <v>0</v>
      </c>
      <c r="J5" s="66">
        <f>COUNTIFS('Registre des risques'!$Z$11:$Z$39,Dashboard!$F5,'Registre des risques'!$AD$11:$AD$39,Dashboard!J$3)</f>
        <v>0</v>
      </c>
      <c r="K5" s="67">
        <f>COUNTIFS('Registre des risques'!$Z$11:$Z$39,Dashboard!$F5,'Registre des risques'!$AD$11:$AD$39,Dashboard!K$3)</f>
        <v>0</v>
      </c>
      <c r="L5" s="67">
        <f>COUNTIFS('Registre des risques'!$Z$11:$Z$39,Dashboard!$F5,'Registre des risques'!$AD$11:$AD$39,Dashboard!L$3)</f>
        <v>0</v>
      </c>
      <c r="M5" s="67">
        <f>COUNTIFS('Registre des risques'!$Z$11:$Z$39,Dashboard!$F5,'Registre des risques'!$AD$11:$AD$39,Dashboard!M$3)</f>
        <v>0</v>
      </c>
      <c r="N5" s="67">
        <f>COUNTIFS('Registre des risques'!$Z$11:$Z$39,Dashboard!$F5,'Registre des risques'!$AD$11:$AD$39,Dashboard!N$3)</f>
        <v>0</v>
      </c>
      <c r="O5" s="67">
        <f>COUNTIFS('Registre des risques'!$Z$11:$Z$39,Dashboard!$F5,'Registre des risques'!$AD$11:$AD$39,Dashboard!O$3)</f>
        <v>0</v>
      </c>
      <c r="P5" s="67">
        <f>COUNTIFS('Registre des risques'!$Z$11:$Z$39,Dashboard!$F5,'Registre des risques'!$AD$11:$AD$39,Dashboard!P$3)</f>
        <v>0</v>
      </c>
      <c r="Q5" s="67">
        <f>COUNTIFS('Registre des risques'!$Z$11:$Z$39,Dashboard!$F5,'Registre des risques'!$AD$11:$AD$39,Dashboard!Q$3)</f>
        <v>0</v>
      </c>
    </row>
    <row r="6" spans="1:24" x14ac:dyDescent="0.25">
      <c r="B6" s="114" t="s">
        <v>43</v>
      </c>
      <c r="C6" s="114"/>
      <c r="D6" s="73">
        <f ca="1">IF(COUNTIF('Registre des risques'!$Q$11:$Q$39,B6)=0,#N/A,COUNTIF('Registre des risques'!$Q$11:$Q$39,B6))</f>
        <v>2</v>
      </c>
      <c r="F6" s="92" t="s">
        <v>86</v>
      </c>
      <c r="G6" s="66">
        <f>COUNTIF('Registre des risques'!$Z$11:$Z$39,Dashboard!F6)</f>
        <v>0</v>
      </c>
      <c r="H6" s="66">
        <f>COUNTIFS('Registre des risques'!$Z$11:$Z$39,Dashboard!$F6,'Registre des risques'!$AD$11:$AD$39,Dashboard!H$3)</f>
        <v>0</v>
      </c>
      <c r="I6" s="66">
        <f>COUNTIFS('Registre des risques'!$Z$11:$Z$39,Dashboard!$F6,'Registre des risques'!$AD$11:$AD$39,Dashboard!I$3)</f>
        <v>0</v>
      </c>
      <c r="J6" s="66">
        <f>COUNTIFS('Registre des risques'!$Z$11:$Z$39,Dashboard!$F6,'Registre des risques'!$AD$11:$AD$39,Dashboard!J$3)</f>
        <v>0</v>
      </c>
      <c r="K6" s="67">
        <f>COUNTIFS('Registre des risques'!$Z$11:$Z$39,Dashboard!$F6,'Registre des risques'!$AD$11:$AD$39,Dashboard!K$3)</f>
        <v>0</v>
      </c>
      <c r="L6" s="67">
        <f>COUNTIFS('Registre des risques'!$Z$11:$Z$39,Dashboard!$F6,'Registre des risques'!$AD$11:$AD$39,Dashboard!L$3)</f>
        <v>0</v>
      </c>
      <c r="M6" s="67">
        <f>COUNTIFS('Registre des risques'!$Z$11:$Z$39,Dashboard!$F6,'Registre des risques'!$AD$11:$AD$39,Dashboard!M$3)</f>
        <v>0</v>
      </c>
      <c r="N6" s="67">
        <f>COUNTIFS('Registre des risques'!$Z$11:$Z$39,Dashboard!$F6,'Registre des risques'!$AD$11:$AD$39,Dashboard!N$3)</f>
        <v>0</v>
      </c>
      <c r="O6" s="67">
        <f>COUNTIFS('Registre des risques'!$Z$11:$Z$39,Dashboard!$F6,'Registre des risques'!$AD$11:$AD$39,Dashboard!O$3)</f>
        <v>0</v>
      </c>
      <c r="P6" s="67">
        <f>COUNTIFS('Registre des risques'!$Z$11:$Z$39,Dashboard!$F6,'Registre des risques'!$AD$11:$AD$39,Dashboard!P$3)</f>
        <v>0</v>
      </c>
      <c r="Q6" s="67">
        <f>COUNTIFS('Registre des risques'!$Z$11:$Z$39,Dashboard!$F6,'Registre des risques'!$AD$11:$AD$39,Dashboard!Q$3)</f>
        <v>0</v>
      </c>
    </row>
    <row r="7" spans="1:24" x14ac:dyDescent="0.25">
      <c r="B7" s="114" t="s">
        <v>40</v>
      </c>
      <c r="C7" s="114"/>
      <c r="D7" s="73">
        <f ca="1">IF(COUNTIF('Registre des risques'!$Q$11:$Q$39,B7)=0,#N/A,COUNTIF('Registre des risques'!$Q$11:$Q$39,B7))</f>
        <v>1</v>
      </c>
      <c r="F7" s="92" t="s">
        <v>85</v>
      </c>
      <c r="G7" s="66">
        <f>COUNTIF('Registre des risques'!$Z$11:$Z$39,Dashboard!F7)</f>
        <v>1</v>
      </c>
      <c r="H7" s="66">
        <f>COUNTIFS('Registre des risques'!$Z$11:$Z$39,Dashboard!$F7,'Registre des risques'!$AD$11:$AD$39,Dashboard!H$3)</f>
        <v>0</v>
      </c>
      <c r="I7" s="66">
        <f>COUNTIFS('Registre des risques'!$Z$11:$Z$39,Dashboard!$F7,'Registre des risques'!$AD$11:$AD$39,Dashboard!I$3)</f>
        <v>0</v>
      </c>
      <c r="J7" s="66">
        <f>COUNTIFS('Registre des risques'!$Z$11:$Z$39,Dashboard!$F7,'Registre des risques'!$AD$11:$AD$39,Dashboard!J$3)</f>
        <v>1</v>
      </c>
      <c r="K7" s="67">
        <f>COUNTIFS('Registre des risques'!$Z$11:$Z$39,Dashboard!$F7,'Registre des risques'!$AD$11:$AD$39,Dashboard!K$3)</f>
        <v>0</v>
      </c>
      <c r="L7" s="67">
        <f>COUNTIFS('Registre des risques'!$Z$11:$Z$39,Dashboard!$F7,'Registre des risques'!$AD$11:$AD$39,Dashboard!L$3)</f>
        <v>0</v>
      </c>
      <c r="M7" s="67">
        <f>COUNTIFS('Registre des risques'!$Z$11:$Z$39,Dashboard!$F7,'Registre des risques'!$AD$11:$AD$39,Dashboard!M$3)</f>
        <v>0</v>
      </c>
      <c r="N7" s="67">
        <f>COUNTIFS('Registre des risques'!$Z$11:$Z$39,Dashboard!$F7,'Registre des risques'!$AD$11:$AD$39,Dashboard!N$3)</f>
        <v>0</v>
      </c>
      <c r="O7" s="67">
        <f>COUNTIFS('Registre des risques'!$Z$11:$Z$39,Dashboard!$F7,'Registre des risques'!$AD$11:$AD$39,Dashboard!O$3)</f>
        <v>0</v>
      </c>
      <c r="P7" s="67">
        <f>COUNTIFS('Registre des risques'!$Z$11:$Z$39,Dashboard!$F7,'Registre des risques'!$AD$11:$AD$39,Dashboard!P$3)</f>
        <v>0</v>
      </c>
      <c r="Q7" s="67">
        <f>COUNTIFS('Registre des risques'!$Z$11:$Z$39,Dashboard!$F7,'Registre des risques'!$AD$11:$AD$39,Dashboard!Q$3)</f>
        <v>0</v>
      </c>
    </row>
    <row r="8" spans="1:24" ht="15.75" x14ac:dyDescent="0.25">
      <c r="B8" s="115"/>
      <c r="C8" s="115"/>
      <c r="D8" s="73" t="e">
        <f ca="1">IF(COUNTIF('Registre des risques'!$Q$11:$Q$39,B8)=0,#N/A,COUNTIF('Registre des risques'!$Q$11:$Q$39,B8))</f>
        <v>#N/A</v>
      </c>
      <c r="F8" s="93"/>
      <c r="G8" s="68">
        <f>COUNTIF('Registre des risques'!$Z$11:$Z$39,Dashboard!F8)</f>
        <v>0</v>
      </c>
      <c r="H8" s="68">
        <f>COUNTIFS('Registre des risques'!$Z$11:$Z$39,Dashboard!$F8,'Registre des risques'!$AD$11:$AD$39,Dashboard!H$3)</f>
        <v>0</v>
      </c>
      <c r="I8" s="68">
        <f>COUNTIFS('Registre des risques'!$Z$11:$Z$39,Dashboard!$F8,'Registre des risques'!$AD$11:$AD$39,Dashboard!I$3)</f>
        <v>0</v>
      </c>
      <c r="J8" s="68">
        <f>COUNTIFS('Registre des risques'!$Z$11:$Z$39,Dashboard!$F8,'Registre des risques'!$AD$11:$AD$39,Dashboard!J$3)</f>
        <v>0</v>
      </c>
      <c r="K8" s="67">
        <f>COUNTIFS('Registre des risques'!$Z$11:$Z$39,Dashboard!$F8,'Registre des risques'!$AD$11:$AD$39,Dashboard!K$3)</f>
        <v>0</v>
      </c>
      <c r="L8" s="67">
        <f>COUNTIFS('Registre des risques'!$Z$11:$Z$39,Dashboard!$F8,'Registre des risques'!$AD$11:$AD$39,Dashboard!L$3)</f>
        <v>0</v>
      </c>
      <c r="M8" s="67">
        <f>COUNTIFS('Registre des risques'!$Z$11:$Z$39,Dashboard!$F8,'Registre des risques'!$AD$11:$AD$39,Dashboard!M$3)</f>
        <v>0</v>
      </c>
      <c r="N8" s="67">
        <f>COUNTIFS('Registre des risques'!$Z$11:$Z$39,Dashboard!$F8,'Registre des risques'!$AD$11:$AD$39,Dashboard!N$3)</f>
        <v>0</v>
      </c>
      <c r="O8" s="67">
        <f>COUNTIFS('Registre des risques'!$Z$11:$Z$39,Dashboard!$F8,'Registre des risques'!$AD$11:$AD$39,Dashboard!O$3)</f>
        <v>0</v>
      </c>
      <c r="P8" s="67">
        <f>COUNTIFS('Registre des risques'!$Z$11:$Z$39,Dashboard!$F8,'Registre des risques'!$AD$11:$AD$39,Dashboard!P$3)</f>
        <v>0</v>
      </c>
      <c r="Q8" s="67">
        <f>COUNTIFS('Registre des risques'!$Z$11:$Z$39,Dashboard!$F8,'Registre des risques'!$AD$11:$AD$39,Dashboard!Q$3)</f>
        <v>0</v>
      </c>
    </row>
    <row r="9" spans="1:24" ht="15.75" x14ac:dyDescent="0.25">
      <c r="B9" s="116"/>
      <c r="C9" s="116"/>
      <c r="D9" s="73" t="e">
        <f ca="1">IF(COUNTIF('Registre des risques'!$Q$11:$Q$39,B9)=0,#N/A,COUNTIF('Registre des risques'!$Q$11:$Q$39,B9))</f>
        <v>#N/A</v>
      </c>
      <c r="F9" s="93"/>
      <c r="G9" s="67">
        <f>COUNTIF('Registre des risques'!$Z$11:$Z$39,Dashboard!F9)</f>
        <v>0</v>
      </c>
      <c r="H9" s="69">
        <f>COUNTIFS('Registre des risques'!$Z$11:$Z$39,Dashboard!$F9,'Registre des risques'!$AD$11:$AD$39,Dashboard!H$3)</f>
        <v>0</v>
      </c>
      <c r="I9" s="67">
        <f>COUNTIFS('Registre des risques'!$Z$11:$Z$39,Dashboard!$F9,'Registre des risques'!$AD$11:$AD$39,Dashboard!I$3)</f>
        <v>0</v>
      </c>
      <c r="J9" s="67">
        <f>COUNTIFS('Registre des risques'!$Z$11:$Z$39,Dashboard!$F9,'Registre des risques'!$AD$11:$AD$39,Dashboard!J$3)</f>
        <v>0</v>
      </c>
      <c r="K9" s="67">
        <f>COUNTIFS('Registre des risques'!$Z$11:$Z$39,Dashboard!$F9,'Registre des risques'!$AD$11:$AD$39,Dashboard!K$3)</f>
        <v>0</v>
      </c>
      <c r="L9" s="67">
        <f>COUNTIFS('Registre des risques'!$Z$11:$Z$39,Dashboard!$F9,'Registre des risques'!$AD$11:$AD$39,Dashboard!L$3)</f>
        <v>0</v>
      </c>
      <c r="M9" s="67">
        <f>COUNTIFS('Registre des risques'!$Z$11:$Z$39,Dashboard!$F9,'Registre des risques'!$AD$11:$AD$39,Dashboard!M$3)</f>
        <v>0</v>
      </c>
      <c r="N9" s="67">
        <f>COUNTIFS('Registre des risques'!$Z$11:$Z$39,Dashboard!$F9,'Registre des risques'!$AD$11:$AD$39,Dashboard!N$3)</f>
        <v>0</v>
      </c>
      <c r="O9" s="67">
        <f>COUNTIFS('Registre des risques'!$Z$11:$Z$39,Dashboard!$F9,'Registre des risques'!$AD$11:$AD$39,Dashboard!O$3)</f>
        <v>0</v>
      </c>
      <c r="P9" s="67">
        <f>COUNTIFS('Registre des risques'!$Z$11:$Z$39,Dashboard!$F9,'Registre des risques'!$AD$11:$AD$39,Dashboard!P$3)</f>
        <v>0</v>
      </c>
      <c r="Q9" s="67">
        <f>COUNTIFS('Registre des risques'!$Z$11:$Z$39,Dashboard!$F9,'Registre des risques'!$AD$11:$AD$39,Dashboard!Q$3)</f>
        <v>0</v>
      </c>
    </row>
    <row r="10" spans="1:24" ht="15.75" x14ac:dyDescent="0.25">
      <c r="B10" s="114"/>
      <c r="C10" s="114"/>
      <c r="D10" s="73" t="e">
        <f ca="1">IF(COUNTIF('Registre des risques'!$Q$11:$Q$39,B10)=0,#N/A,COUNTIF('Registre des risques'!$Q$11:$Q$39,B10))</f>
        <v>#N/A</v>
      </c>
      <c r="F10" s="93"/>
      <c r="G10" s="66">
        <f>COUNTIF('Registre des risques'!$Z$11:$Z$39,Dashboard!F10)</f>
        <v>0</v>
      </c>
      <c r="H10" s="67">
        <f>COUNTIFS('Registre des risques'!$Z$11:$Z$39,Dashboard!$F10,'Registre des risques'!$AD$11:$AD$39,Dashboard!H$3)</f>
        <v>0</v>
      </c>
      <c r="I10" s="67">
        <f>COUNTIFS('Registre des risques'!$Z$11:$Z$39,Dashboard!$F10,'Registre des risques'!$AD$11:$AD$39,Dashboard!I$3)</f>
        <v>0</v>
      </c>
      <c r="J10" s="67">
        <f>COUNTIFS('Registre des risques'!$Z$11:$Z$39,Dashboard!$F10,'Registre des risques'!$AD$11:$AD$39,Dashboard!J$3)</f>
        <v>0</v>
      </c>
      <c r="K10" s="67">
        <f>COUNTIFS('Registre des risques'!$Z$11:$Z$39,Dashboard!$F10,'Registre des risques'!$AD$11:$AD$39,Dashboard!K$3)</f>
        <v>0</v>
      </c>
      <c r="L10" s="67">
        <f>COUNTIFS('Registre des risques'!$Z$11:$Z$39,Dashboard!$F10,'Registre des risques'!$AD$11:$AD$39,Dashboard!L$3)</f>
        <v>0</v>
      </c>
      <c r="M10" s="67">
        <f>COUNTIFS('Registre des risques'!$Z$11:$Z$39,Dashboard!$F10,'Registre des risques'!$AD$11:$AD$39,Dashboard!M$3)</f>
        <v>0</v>
      </c>
      <c r="N10" s="67">
        <f>COUNTIFS('Registre des risques'!$Z$11:$Z$39,Dashboard!$F10,'Registre des risques'!$AD$11:$AD$39,Dashboard!N$3)</f>
        <v>0</v>
      </c>
      <c r="O10" s="67">
        <f>COUNTIFS('Registre des risques'!$Z$11:$Z$39,Dashboard!$F10,'Registre des risques'!$AD$11:$AD$39,Dashboard!O$3)</f>
        <v>0</v>
      </c>
      <c r="P10" s="67">
        <f>COUNTIFS('Registre des risques'!$Z$11:$Z$39,Dashboard!$F10,'Registre des risques'!$AD$11:$AD$39,Dashboard!P$3)</f>
        <v>0</v>
      </c>
      <c r="Q10" s="67">
        <f>COUNTIFS('Registre des risques'!$Z$11:$Z$39,Dashboard!$F10,'Registre des risques'!$AD$11:$AD$39,Dashboard!Q$3)</f>
        <v>0</v>
      </c>
    </row>
    <row r="11" spans="1:24" ht="15.75" x14ac:dyDescent="0.25">
      <c r="B11" s="114"/>
      <c r="C11" s="114"/>
      <c r="D11" s="73" t="e">
        <f ca="1">IF(COUNTIF('Registre des risques'!$Q$11:$Q$39,B11)=0,#N/A,COUNTIF('Registre des risques'!$Q$11:$Q$39,B11))</f>
        <v>#N/A</v>
      </c>
      <c r="F11" s="93"/>
      <c r="G11" s="66">
        <f>COUNTIF('Registre des risques'!$Z$11:$Z$39,Dashboard!F11)</f>
        <v>0</v>
      </c>
      <c r="H11" s="67">
        <f>COUNTIFS('Registre des risques'!$Z$11:$Z$39,Dashboard!$F11,'Registre des risques'!$AD$11:$AD$39,Dashboard!H$3)</f>
        <v>0</v>
      </c>
      <c r="I11" s="67">
        <f>COUNTIFS('Registre des risques'!$Z$11:$Z$39,Dashboard!$F11,'Registre des risques'!$AD$11:$AD$39,Dashboard!I$3)</f>
        <v>0</v>
      </c>
      <c r="J11" s="67">
        <f>COUNTIFS('Registre des risques'!$Z$11:$Z$39,Dashboard!$F11,'Registre des risques'!$AD$11:$AD$39,Dashboard!J$3)</f>
        <v>0</v>
      </c>
      <c r="K11" s="67">
        <f>COUNTIFS('Registre des risques'!$Z$11:$Z$39,Dashboard!$F11,'Registre des risques'!$AD$11:$AD$39,Dashboard!K$3)</f>
        <v>0</v>
      </c>
      <c r="L11" s="67">
        <f>COUNTIFS('Registre des risques'!$Z$11:$Z$39,Dashboard!$F11,'Registre des risques'!$AD$11:$AD$39,Dashboard!L$3)</f>
        <v>0</v>
      </c>
      <c r="M11" s="67">
        <f>COUNTIFS('Registre des risques'!$Z$11:$Z$39,Dashboard!$F11,'Registre des risques'!$AD$11:$AD$39,Dashboard!M$3)</f>
        <v>0</v>
      </c>
      <c r="N11" s="67">
        <f>COUNTIFS('Registre des risques'!$Z$11:$Z$39,Dashboard!$F11,'Registre des risques'!$AD$11:$AD$39,Dashboard!N$3)</f>
        <v>0</v>
      </c>
      <c r="O11" s="67">
        <f>COUNTIFS('Registre des risques'!$Z$11:$Z$39,Dashboard!$F11,'Registre des risques'!$AD$11:$AD$39,Dashboard!O$3)</f>
        <v>0</v>
      </c>
      <c r="P11" s="67">
        <f>COUNTIFS('Registre des risques'!$Z$11:$Z$39,Dashboard!$F11,'Registre des risques'!$AD$11:$AD$39,Dashboard!P$3)</f>
        <v>0</v>
      </c>
      <c r="Q11" s="67">
        <f>COUNTIFS('Registre des risques'!$Z$11:$Z$39,Dashboard!$F11,'Registre des risques'!$AD$11:$AD$39,Dashboard!Q$3)</f>
        <v>0</v>
      </c>
    </row>
    <row r="12" spans="1:24" ht="15.75" x14ac:dyDescent="0.25">
      <c r="B12" s="114"/>
      <c r="C12" s="114"/>
      <c r="D12" s="86" t="e">
        <f ca="1">IF(COUNTIF('Registre des risques'!$Q$11:$Q$39,B12)=0,#N/A,COUNTIF('Registre des risques'!$Q$11:$Q$39,B12))</f>
        <v>#N/A</v>
      </c>
      <c r="F12" s="93"/>
      <c r="G12" s="66">
        <f>COUNTIF('Registre des risques'!$Z$11:$Z$39,Dashboard!F12)</f>
        <v>0</v>
      </c>
      <c r="H12" s="67">
        <f>COUNTIFS('Registre des risques'!$Z$11:$Z$39,Dashboard!$F12,'Registre des risques'!$AD$11:$AD$39,Dashboard!H$3)</f>
        <v>0</v>
      </c>
      <c r="I12" s="67">
        <f>COUNTIFS('Registre des risques'!$Z$11:$Z$39,Dashboard!$F12,'Registre des risques'!$AD$11:$AD$39,Dashboard!I$3)</f>
        <v>0</v>
      </c>
      <c r="J12" s="67">
        <f>COUNTIFS('Registre des risques'!$Z$11:$Z$39,Dashboard!$F12,'Registre des risques'!$AD$11:$AD$39,Dashboard!J$3)</f>
        <v>0</v>
      </c>
      <c r="K12" s="67">
        <f>COUNTIFS('Registre des risques'!$Z$11:$Z$39,Dashboard!$F12,'Registre des risques'!$AD$11:$AD$39,Dashboard!K$3)</f>
        <v>0</v>
      </c>
      <c r="L12" s="67">
        <f>COUNTIFS('Registre des risques'!$Z$11:$Z$39,Dashboard!$F12,'Registre des risques'!$AD$11:$AD$39,Dashboard!L$3)</f>
        <v>0</v>
      </c>
      <c r="M12" s="67">
        <f>COUNTIFS('Registre des risques'!$Z$11:$Z$39,Dashboard!$F12,'Registre des risques'!$AD$11:$AD$39,Dashboard!M$3)</f>
        <v>0</v>
      </c>
      <c r="N12" s="67">
        <f>COUNTIFS('Registre des risques'!$Z$11:$Z$39,Dashboard!$F12,'Registre des risques'!$AD$11:$AD$39,Dashboard!N$3)</f>
        <v>0</v>
      </c>
      <c r="O12" s="67">
        <f>COUNTIFS('Registre des risques'!$Z$11:$Z$39,Dashboard!$F12,'Registre des risques'!$AD$11:$AD$39,Dashboard!O$3)</f>
        <v>0</v>
      </c>
      <c r="P12" s="67">
        <f>COUNTIFS('Registre des risques'!$Z$11:$Z$39,Dashboard!$F12,'Registre des risques'!$AD$11:$AD$39,Dashboard!P$3)</f>
        <v>0</v>
      </c>
      <c r="Q12" s="67">
        <f>COUNTIFS('Registre des risques'!$Z$11:$Z$39,Dashboard!$F12,'Registre des risques'!$AD$11:$AD$39,Dashboard!Q$3)</f>
        <v>0</v>
      </c>
    </row>
    <row r="13" spans="1:24" ht="15.75" x14ac:dyDescent="0.25">
      <c r="B13" s="114"/>
      <c r="C13" s="114"/>
      <c r="D13" s="86" t="e">
        <f ca="1">IF(COUNTIF('Registre des risques'!$Q$11:$Q$39,B13)=0,#N/A,COUNTIF('Registre des risques'!$Q$11:$Q$39,B13))</f>
        <v>#N/A</v>
      </c>
      <c r="F13" s="93"/>
      <c r="G13" s="66">
        <f>COUNTIF('Registre des risques'!$Z$11:$Z$39,Dashboard!F13)</f>
        <v>0</v>
      </c>
      <c r="H13" s="67">
        <f>COUNTIFS('Registre des risques'!$Z$11:$Z$39,Dashboard!$F13,'Registre des risques'!$AD$11:$AD$39,Dashboard!H$3)</f>
        <v>0</v>
      </c>
      <c r="I13" s="67">
        <f>COUNTIFS('Registre des risques'!$Z$11:$Z$39,Dashboard!$F13,'Registre des risques'!$AD$11:$AD$39,Dashboard!I$3)</f>
        <v>0</v>
      </c>
      <c r="J13" s="67">
        <f>COUNTIFS('Registre des risques'!$Z$11:$Z$39,Dashboard!$F13,'Registre des risques'!$AD$11:$AD$39,Dashboard!J$3)</f>
        <v>0</v>
      </c>
      <c r="K13" s="67">
        <f>COUNTIFS('Registre des risques'!$Z$11:$Z$39,Dashboard!$F13,'Registre des risques'!$AD$11:$AD$39,Dashboard!K$3)</f>
        <v>0</v>
      </c>
      <c r="L13" s="67">
        <f>COUNTIFS('Registre des risques'!$Z$11:$Z$39,Dashboard!$F13,'Registre des risques'!$AD$11:$AD$39,Dashboard!L$3)</f>
        <v>0</v>
      </c>
      <c r="M13" s="67">
        <f>COUNTIFS('Registre des risques'!$Z$11:$Z$39,Dashboard!$F13,'Registre des risques'!$AD$11:$AD$39,Dashboard!M$3)</f>
        <v>0</v>
      </c>
      <c r="N13" s="67">
        <f>COUNTIFS('Registre des risques'!$Z$11:$Z$39,Dashboard!$F13,'Registre des risques'!$AD$11:$AD$39,Dashboard!N$3)</f>
        <v>0</v>
      </c>
      <c r="O13" s="67">
        <f>COUNTIFS('Registre des risques'!$Z$11:$Z$39,Dashboard!$F13,'Registre des risques'!$AD$11:$AD$39,Dashboard!O$3)</f>
        <v>0</v>
      </c>
      <c r="P13" s="67">
        <f>COUNTIFS('Registre des risques'!$Z$11:$Z$39,Dashboard!$F13,'Registre des risques'!$AD$11:$AD$39,Dashboard!P$3)</f>
        <v>0</v>
      </c>
      <c r="Q13" s="67">
        <f>COUNTIFS('Registre des risques'!$Z$11:$Z$39,Dashboard!$F13,'Registre des risques'!$AD$11:$AD$39,Dashboard!Q$3)</f>
        <v>0</v>
      </c>
    </row>
    <row r="14" spans="1:24" ht="15.75" x14ac:dyDescent="0.25">
      <c r="B14" s="70" t="s">
        <v>123</v>
      </c>
      <c r="C14" s="46" t="s">
        <v>90</v>
      </c>
      <c r="D14" s="71">
        <f ca="1">SUMIF(D4:D11,"&lt;&gt;" &amp;"#N/A")</f>
        <v>5</v>
      </c>
      <c r="F14" s="70" t="s">
        <v>123</v>
      </c>
      <c r="G14" s="71">
        <f t="shared" ref="G14:Q14" si="0">SUM(G4:G13)</f>
        <v>5</v>
      </c>
      <c r="H14" s="72">
        <f t="shared" si="0"/>
        <v>1</v>
      </c>
      <c r="I14" s="72">
        <f t="shared" si="0"/>
        <v>1</v>
      </c>
      <c r="J14" s="72">
        <f t="shared" si="0"/>
        <v>2</v>
      </c>
      <c r="K14" s="72">
        <f t="shared" si="0"/>
        <v>0</v>
      </c>
      <c r="L14" s="72">
        <f t="shared" si="0"/>
        <v>0</v>
      </c>
      <c r="M14" s="72">
        <f t="shared" si="0"/>
        <v>0</v>
      </c>
      <c r="N14" s="72">
        <f t="shared" si="0"/>
        <v>0</v>
      </c>
      <c r="O14" s="72">
        <f t="shared" si="0"/>
        <v>0</v>
      </c>
      <c r="P14" s="72">
        <f t="shared" si="0"/>
        <v>0</v>
      </c>
      <c r="Q14" s="72">
        <f t="shared" si="0"/>
        <v>0</v>
      </c>
    </row>
    <row r="15" spans="1:24" x14ac:dyDescent="0.25">
      <c r="D15" s="1"/>
      <c r="H15" s="1"/>
    </row>
    <row r="16" spans="1:24" x14ac:dyDescent="0.25">
      <c r="D16" s="1"/>
      <c r="H16" s="1"/>
    </row>
    <row r="17" spans="1:10" x14ac:dyDescent="0.25">
      <c r="D17" s="1"/>
      <c r="H17" s="1"/>
    </row>
    <row r="18" spans="1:10" x14ac:dyDescent="0.25">
      <c r="D18" s="1"/>
      <c r="H18" s="1"/>
    </row>
    <row r="19" spans="1:10" x14ac:dyDescent="0.25">
      <c r="D19" s="1"/>
      <c r="H19" s="1"/>
    </row>
    <row r="20" spans="1:10" x14ac:dyDescent="0.25">
      <c r="D20" s="1"/>
      <c r="H20" s="1"/>
    </row>
    <row r="21" spans="1:10" x14ac:dyDescent="0.25">
      <c r="D21" s="1"/>
      <c r="H21" s="1"/>
    </row>
    <row r="22" spans="1:10" x14ac:dyDescent="0.25">
      <c r="D22" s="1"/>
      <c r="H22" s="1"/>
    </row>
    <row r="23" spans="1:10" x14ac:dyDescent="0.25">
      <c r="D23" s="1"/>
      <c r="H23" s="1"/>
    </row>
    <row r="24" spans="1:10" x14ac:dyDescent="0.25">
      <c r="D24" s="1"/>
      <c r="H24" s="1"/>
      <c r="I24" s="1" t="s">
        <v>90</v>
      </c>
    </row>
    <row r="25" spans="1:10" x14ac:dyDescent="0.25">
      <c r="D25" s="1"/>
      <c r="H25" s="1"/>
    </row>
    <row r="26" spans="1:10" x14ac:dyDescent="0.25">
      <c r="D26" s="1"/>
      <c r="H26" s="1"/>
    </row>
    <row r="27" spans="1:10" x14ac:dyDescent="0.25">
      <c r="D27" s="1"/>
      <c r="H27" s="1"/>
    </row>
    <row r="28" spans="1:10" x14ac:dyDescent="0.25">
      <c r="D28" s="1"/>
      <c r="H28" s="1"/>
    </row>
    <row r="29" spans="1:10" x14ac:dyDescent="0.25">
      <c r="D29" s="1"/>
      <c r="H29" s="1"/>
    </row>
    <row r="30" spans="1:10" s="41" customFormat="1" x14ac:dyDescent="0.25">
      <c r="A30" s="1"/>
      <c r="B30" s="1"/>
      <c r="C30" s="1"/>
      <c r="D30" s="1"/>
      <c r="E30" s="1"/>
      <c r="F30" s="1"/>
      <c r="G30" s="1"/>
      <c r="H30" s="1"/>
      <c r="I30" s="1"/>
      <c r="J30" s="1"/>
    </row>
    <row r="31" spans="1:10" s="41" customFormat="1" x14ac:dyDescent="0.25">
      <c r="A31" s="1"/>
      <c r="B31" s="1"/>
      <c r="C31" s="1"/>
      <c r="D31" s="1"/>
      <c r="E31" s="1"/>
      <c r="F31" s="1"/>
      <c r="G31" s="1"/>
      <c r="H31" s="1"/>
      <c r="I31" s="1"/>
      <c r="J31" s="1"/>
    </row>
    <row r="32" spans="1:10" s="41" customFormat="1" x14ac:dyDescent="0.25">
      <c r="A32" s="1"/>
      <c r="B32" s="1"/>
      <c r="C32" s="1"/>
      <c r="D32" s="1"/>
      <c r="E32" s="1"/>
      <c r="F32" s="1"/>
      <c r="G32" s="1"/>
      <c r="H32" s="1"/>
      <c r="I32" s="1"/>
      <c r="J32" s="1"/>
    </row>
    <row r="33" spans="1:10" s="41" customFormat="1" x14ac:dyDescent="0.25">
      <c r="A33" s="1"/>
      <c r="B33" s="1"/>
      <c r="C33" s="1"/>
      <c r="D33" s="1"/>
      <c r="E33" s="1"/>
      <c r="F33" s="1"/>
      <c r="G33" s="1"/>
      <c r="H33" s="1"/>
      <c r="I33" s="1"/>
      <c r="J33" s="1"/>
    </row>
    <row r="34" spans="1:10" s="41" customFormat="1" x14ac:dyDescent="0.25">
      <c r="A34" s="1"/>
      <c r="B34" s="1"/>
      <c r="C34" s="1"/>
      <c r="D34" s="1"/>
      <c r="E34" s="1"/>
      <c r="F34" s="1"/>
      <c r="G34" s="1"/>
      <c r="H34" s="1"/>
      <c r="I34" s="1"/>
      <c r="J34" s="1"/>
    </row>
    <row r="35" spans="1:10" s="41" customFormat="1" x14ac:dyDescent="0.25">
      <c r="A35" s="1"/>
      <c r="B35" s="1"/>
      <c r="C35" s="1"/>
      <c r="D35" s="1"/>
      <c r="E35" s="1"/>
      <c r="F35" s="1"/>
      <c r="G35" s="1"/>
      <c r="H35" s="1"/>
      <c r="I35" s="1"/>
      <c r="J35" s="1"/>
    </row>
    <row r="36" spans="1:10" s="41" customFormat="1" x14ac:dyDescent="0.25">
      <c r="A36" s="1"/>
      <c r="B36" s="1"/>
      <c r="C36" s="1"/>
      <c r="D36" s="1"/>
      <c r="E36" s="1"/>
      <c r="F36" s="1"/>
      <c r="G36" s="1"/>
      <c r="H36" s="1"/>
      <c r="I36" s="1"/>
      <c r="J36" s="1"/>
    </row>
    <row r="37" spans="1:10" s="41" customFormat="1" x14ac:dyDescent="0.25">
      <c r="A37" s="1"/>
      <c r="B37" s="1"/>
      <c r="C37" s="1"/>
      <c r="D37" s="1"/>
      <c r="E37" s="1"/>
      <c r="F37" s="1"/>
      <c r="G37" s="1"/>
      <c r="H37" s="1"/>
      <c r="I37" s="1"/>
      <c r="J37" s="1"/>
    </row>
    <row r="38" spans="1:10" s="41" customFormat="1" x14ac:dyDescent="0.25">
      <c r="A38" s="1"/>
      <c r="B38" s="1"/>
      <c r="C38" s="1"/>
      <c r="D38" s="1"/>
      <c r="E38" s="1"/>
      <c r="F38" s="1"/>
      <c r="G38" s="1"/>
      <c r="H38" s="1"/>
      <c r="I38" s="1"/>
      <c r="J38" s="1"/>
    </row>
    <row r="39" spans="1:10" s="41" customFormat="1" x14ac:dyDescent="0.25">
      <c r="A39" s="1"/>
      <c r="B39" s="1"/>
      <c r="C39" s="1"/>
      <c r="D39" s="1"/>
      <c r="E39" s="1"/>
      <c r="F39" s="1"/>
      <c r="G39" s="1"/>
      <c r="H39" s="1"/>
      <c r="I39" s="1"/>
      <c r="J39" s="1"/>
    </row>
    <row r="40" spans="1:10" s="41" customFormat="1" x14ac:dyDescent="0.25">
      <c r="A40" s="1"/>
      <c r="B40" s="1"/>
      <c r="C40" s="1"/>
      <c r="D40" s="1"/>
      <c r="E40" s="1"/>
      <c r="F40" s="1"/>
      <c r="G40" s="1"/>
      <c r="H40" s="1"/>
      <c r="I40" s="1"/>
      <c r="J40" s="1"/>
    </row>
    <row r="41" spans="1:10" s="41" customFormat="1" x14ac:dyDescent="0.25">
      <c r="A41" s="1"/>
      <c r="B41" s="1"/>
      <c r="C41" s="1"/>
      <c r="D41" s="1"/>
      <c r="E41" s="1"/>
      <c r="F41" s="1"/>
      <c r="G41" s="1"/>
      <c r="H41" s="1"/>
      <c r="I41" s="1"/>
      <c r="J41" s="1"/>
    </row>
    <row r="42" spans="1:10" s="41" customFormat="1" x14ac:dyDescent="0.25">
      <c r="A42" s="1"/>
      <c r="B42" s="1"/>
      <c r="C42" s="1"/>
      <c r="D42" s="1"/>
      <c r="E42" s="1"/>
      <c r="F42" s="1"/>
      <c r="G42" s="1"/>
      <c r="H42" s="1"/>
      <c r="I42" s="1"/>
      <c r="J42" s="1"/>
    </row>
    <row r="43" spans="1:10" s="41" customFormat="1" x14ac:dyDescent="0.25">
      <c r="A43" s="1"/>
      <c r="B43" s="1"/>
      <c r="C43" s="1"/>
      <c r="D43" s="1"/>
      <c r="E43" s="1"/>
      <c r="F43" s="1"/>
      <c r="G43" s="1"/>
      <c r="H43" s="1"/>
      <c r="I43" s="1"/>
      <c r="J43" s="1"/>
    </row>
    <row r="44" spans="1:10" s="41" customFormat="1" x14ac:dyDescent="0.25">
      <c r="A44" s="1"/>
      <c r="B44" s="1"/>
      <c r="C44" s="1"/>
      <c r="D44" s="1"/>
      <c r="E44" s="1"/>
      <c r="F44" s="1"/>
      <c r="G44" s="1"/>
      <c r="H44" s="1"/>
      <c r="I44" s="1"/>
      <c r="J44" s="1"/>
    </row>
    <row r="45" spans="1:10" s="41" customFormat="1" x14ac:dyDescent="0.25">
      <c r="A45" s="1"/>
      <c r="B45" s="1"/>
      <c r="C45" s="1"/>
      <c r="D45" s="1"/>
      <c r="E45" s="1"/>
      <c r="F45" s="1"/>
      <c r="G45" s="1"/>
      <c r="H45" s="1"/>
      <c r="I45" s="1"/>
      <c r="J45" s="1"/>
    </row>
    <row r="46" spans="1:10" s="41" customFormat="1" x14ac:dyDescent="0.25">
      <c r="A46" s="1"/>
      <c r="B46" s="1"/>
      <c r="C46" s="1"/>
      <c r="D46" s="1"/>
      <c r="E46" s="1"/>
      <c r="F46" s="1"/>
      <c r="G46" s="1"/>
      <c r="H46" s="1"/>
      <c r="I46" s="1"/>
      <c r="J46" s="1"/>
    </row>
    <row r="47" spans="1:10" s="41" customFormat="1" x14ac:dyDescent="0.25">
      <c r="A47" s="1"/>
      <c r="B47" s="1"/>
      <c r="C47" s="1"/>
      <c r="D47" s="1"/>
      <c r="E47" s="1"/>
      <c r="F47" s="1"/>
      <c r="G47" s="1"/>
      <c r="H47" s="1"/>
      <c r="I47" s="1"/>
      <c r="J47" s="1"/>
    </row>
    <row r="48" spans="1:10" s="41" customFormat="1" x14ac:dyDescent="0.25">
      <c r="A48" s="1"/>
      <c r="B48" s="1"/>
      <c r="C48" s="1"/>
      <c r="D48" s="1"/>
      <c r="E48" s="1"/>
      <c r="F48" s="1"/>
      <c r="G48" s="1"/>
      <c r="H48" s="1"/>
      <c r="I48" s="1"/>
      <c r="J48" s="1"/>
    </row>
    <row r="49" spans="1:10" s="41" customFormat="1" x14ac:dyDescent="0.25">
      <c r="A49" s="1"/>
      <c r="B49" s="1"/>
      <c r="C49" s="1"/>
      <c r="D49" s="1"/>
      <c r="E49" s="1"/>
      <c r="F49" s="1"/>
      <c r="G49" s="1"/>
      <c r="H49" s="1"/>
      <c r="I49" s="1"/>
      <c r="J49" s="1"/>
    </row>
    <row r="50" spans="1:10" s="41" customFormat="1" x14ac:dyDescent="0.25">
      <c r="A50" s="1"/>
      <c r="B50" s="1"/>
      <c r="C50" s="1"/>
      <c r="D50" s="1"/>
      <c r="E50" s="1"/>
      <c r="F50" s="1"/>
      <c r="G50" s="1"/>
      <c r="H50" s="1"/>
      <c r="I50" s="1"/>
      <c r="J50" s="1"/>
    </row>
    <row r="51" spans="1:10" s="41" customFormat="1" x14ac:dyDescent="0.25">
      <c r="A51" s="1"/>
      <c r="B51" s="1"/>
      <c r="C51" s="1"/>
      <c r="D51" s="1"/>
      <c r="E51" s="1"/>
      <c r="F51" s="1"/>
      <c r="G51" s="1"/>
      <c r="H51" s="1"/>
      <c r="I51" s="1"/>
      <c r="J51" s="1"/>
    </row>
    <row r="52" spans="1:10" s="41" customFormat="1" x14ac:dyDescent="0.25">
      <c r="A52" s="1"/>
      <c r="B52" s="1"/>
      <c r="C52" s="1"/>
      <c r="D52" s="1"/>
      <c r="E52" s="1"/>
      <c r="F52" s="1"/>
      <c r="G52" s="1"/>
      <c r="H52" s="1"/>
      <c r="I52" s="1"/>
      <c r="J52" s="1"/>
    </row>
    <row r="53" spans="1:10" s="41" customFormat="1" x14ac:dyDescent="0.25">
      <c r="A53" s="1"/>
      <c r="B53" s="1"/>
      <c r="C53" s="1"/>
      <c r="D53" s="1"/>
      <c r="E53" s="1"/>
      <c r="F53" s="1"/>
      <c r="G53" s="1"/>
      <c r="H53" s="1"/>
      <c r="I53" s="1"/>
      <c r="J53" s="1"/>
    </row>
    <row r="54" spans="1:10" s="41" customFormat="1" x14ac:dyDescent="0.25">
      <c r="A54" s="1"/>
      <c r="B54" s="1"/>
      <c r="C54" s="1"/>
      <c r="D54" s="1"/>
      <c r="E54" s="1"/>
      <c r="F54" s="1"/>
      <c r="G54" s="1"/>
      <c r="H54" s="1"/>
      <c r="I54" s="1"/>
      <c r="J54" s="1"/>
    </row>
    <row r="55" spans="1:10" s="41" customFormat="1" x14ac:dyDescent="0.25">
      <c r="A55" s="1"/>
      <c r="B55" s="1"/>
      <c r="C55" s="1"/>
      <c r="D55" s="1"/>
      <c r="E55" s="1"/>
      <c r="F55" s="1"/>
      <c r="G55" s="1"/>
      <c r="H55" s="1"/>
      <c r="I55" s="1"/>
      <c r="J55" s="1"/>
    </row>
    <row r="56" spans="1:10" s="41" customFormat="1" x14ac:dyDescent="0.25">
      <c r="A56" s="1"/>
      <c r="B56" s="1"/>
      <c r="C56" s="1"/>
      <c r="D56" s="1"/>
      <c r="E56" s="1"/>
      <c r="F56" s="1"/>
      <c r="G56" s="1"/>
      <c r="H56" s="1"/>
      <c r="I56" s="1"/>
      <c r="J56" s="1"/>
    </row>
    <row r="57" spans="1:10" s="41" customFormat="1" x14ac:dyDescent="0.25">
      <c r="A57" s="1"/>
      <c r="B57" s="1"/>
      <c r="C57" s="1"/>
      <c r="D57" s="1"/>
      <c r="E57" s="1"/>
      <c r="F57" s="1"/>
      <c r="G57" s="1"/>
      <c r="H57" s="1"/>
      <c r="I57" s="1"/>
      <c r="J57" s="1"/>
    </row>
    <row r="58" spans="1:10" s="41" customFormat="1" x14ac:dyDescent="0.25">
      <c r="A58" s="1"/>
      <c r="B58" s="1"/>
      <c r="C58" s="1"/>
      <c r="D58" s="1"/>
      <c r="E58" s="1"/>
      <c r="F58" s="1"/>
      <c r="G58" s="1"/>
      <c r="H58" s="1"/>
      <c r="I58" s="1"/>
      <c r="J58" s="1"/>
    </row>
    <row r="59" spans="1:10" s="41" customFormat="1" x14ac:dyDescent="0.25">
      <c r="A59" s="1"/>
      <c r="B59" s="1"/>
      <c r="C59" s="1"/>
      <c r="D59" s="1"/>
      <c r="E59" s="1"/>
      <c r="F59" s="1"/>
      <c r="G59" s="1"/>
      <c r="H59" s="1"/>
      <c r="I59" s="1"/>
      <c r="J59" s="1"/>
    </row>
    <row r="60" spans="1:10" s="41" customFormat="1" x14ac:dyDescent="0.25">
      <c r="A60" s="1"/>
      <c r="B60" s="1"/>
      <c r="C60" s="1"/>
      <c r="D60" s="1"/>
      <c r="E60" s="1"/>
      <c r="F60" s="1"/>
      <c r="G60" s="1"/>
      <c r="H60" s="1"/>
      <c r="I60" s="1"/>
      <c r="J60" s="1"/>
    </row>
    <row r="61" spans="1:10" s="41" customFormat="1" x14ac:dyDescent="0.25">
      <c r="A61" s="1"/>
      <c r="B61" s="1"/>
      <c r="C61" s="1"/>
      <c r="D61" s="1"/>
      <c r="E61" s="1"/>
      <c r="F61" s="1"/>
      <c r="G61" s="1"/>
      <c r="H61" s="1"/>
      <c r="I61" s="1"/>
      <c r="J61" s="1"/>
    </row>
    <row r="62" spans="1:10" x14ac:dyDescent="0.25">
      <c r="H62" s="1"/>
    </row>
    <row r="63" spans="1:10" x14ac:dyDescent="0.25">
      <c r="H63" s="1"/>
    </row>
    <row r="64" spans="1:10" x14ac:dyDescent="0.25">
      <c r="H64" s="1"/>
    </row>
    <row r="65" spans="8:8" x14ac:dyDescent="0.25">
      <c r="H65" s="1"/>
    </row>
    <row r="66" spans="8:8" x14ac:dyDescent="0.25">
      <c r="H66" s="1"/>
    </row>
    <row r="67" spans="8:8" x14ac:dyDescent="0.25">
      <c r="H67" s="1"/>
    </row>
  </sheetData>
  <mergeCells count="11">
    <mergeCell ref="B13:C13"/>
    <mergeCell ref="B8:C8"/>
    <mergeCell ref="B9:C9"/>
    <mergeCell ref="B10:C10"/>
    <mergeCell ref="B11:C11"/>
    <mergeCell ref="B12:C12"/>
    <mergeCell ref="B3:C3"/>
    <mergeCell ref="B4:C4"/>
    <mergeCell ref="B5:C5"/>
    <mergeCell ref="B6:C6"/>
    <mergeCell ref="B7:C7"/>
  </mergeCells>
  <conditionalFormatting sqref="A3:XFD3">
    <cfRule type="expression" dxfId="26" priority="20">
      <formula>LEN(A$3)&gt;0</formula>
    </cfRule>
  </conditionalFormatting>
  <conditionalFormatting sqref="F14:Q14">
    <cfRule type="expression" dxfId="25" priority="19">
      <formula>F$14&lt;&gt;0</formula>
    </cfRule>
  </conditionalFormatting>
  <conditionalFormatting sqref="B14:C14">
    <cfRule type="expression" dxfId="24" priority="18">
      <formula>B$14&lt;&gt;0</formula>
    </cfRule>
  </conditionalFormatting>
  <conditionalFormatting sqref="D14">
    <cfRule type="expression" dxfId="23" priority="17">
      <formula>D$14&lt;&gt;0</formula>
    </cfRule>
  </conditionalFormatting>
  <conditionalFormatting sqref="B4:D13">
    <cfRule type="expression" dxfId="22" priority="6">
      <formula>COUNTA($B4:$D4)&gt;1</formula>
    </cfRule>
  </conditionalFormatting>
  <conditionalFormatting sqref="G4:Q13">
    <cfRule type="expression" dxfId="21" priority="13">
      <formula>COUNTA(G$3,$F4)=2</formula>
    </cfRule>
  </conditionalFormatting>
  <conditionalFormatting sqref="H2:Q2">
    <cfRule type="expression" dxfId="20" priority="12">
      <formula>LEN(H$3)&gt;0</formula>
    </cfRule>
  </conditionalFormatting>
  <conditionalFormatting sqref="F8:F13">
    <cfRule type="expression" dxfId="19" priority="11">
      <formula>LEN($F8)&gt;0</formula>
    </cfRule>
  </conditionalFormatting>
  <conditionalFormatting sqref="D4:D13">
    <cfRule type="expression" dxfId="18" priority="16">
      <formula>TYPE($D4)=16</formula>
    </cfRule>
  </conditionalFormatting>
  <conditionalFormatting sqref="F4:F13">
    <cfRule type="expression" dxfId="17" priority="1">
      <formula>F4="A transférer"</formula>
    </cfRule>
    <cfRule type="expression" dxfId="16" priority="2">
      <formula>F4="A éliminer"</formula>
    </cfRule>
    <cfRule type="expression" dxfId="15" priority="3">
      <formula>F4="A atténuer"</formula>
    </cfRule>
    <cfRule type="expression" dxfId="14" priority="4">
      <formula>F4="Accepter"</formula>
    </cfRule>
  </conditionalFormatting>
  <pageMargins left="0.25" right="0.25" top="0.75" bottom="0.75" header="0.3" footer="0.3"/>
  <pageSetup paperSize="9" scale="70" orientation="landscape" r:id="rId1"/>
  <ignoredErrors>
    <ignoredError sqref="D7 D9:D12" evalError="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aram"/>
  <dimension ref="C1:AF134"/>
  <sheetViews>
    <sheetView topLeftCell="A16" zoomScale="80" zoomScaleNormal="80" workbookViewId="0">
      <selection activeCell="D42" sqref="D42"/>
    </sheetView>
  </sheetViews>
  <sheetFormatPr baseColWidth="10" defaultColWidth="9.140625" defaultRowHeight="15" x14ac:dyDescent="0.25"/>
  <cols>
    <col min="1" max="1" width="28.85546875" style="4" customWidth="1"/>
    <col min="2" max="2" width="5.140625" style="4" customWidth="1"/>
    <col min="3" max="3" width="13.7109375" style="35" bestFit="1" customWidth="1"/>
    <col min="4" max="4" width="42.5703125" style="4" customWidth="1"/>
    <col min="5" max="5" width="3.28515625" style="35" customWidth="1"/>
    <col min="6" max="6" width="8" style="4" customWidth="1"/>
    <col min="7" max="7" width="42.5703125" style="4" customWidth="1"/>
    <col min="8" max="8" width="3.28515625" style="35" customWidth="1"/>
    <col min="9" max="9" width="8" style="4" customWidth="1"/>
    <col min="10" max="10" width="42.5703125" style="4" customWidth="1"/>
    <col min="11" max="11" width="3.28515625" style="35" customWidth="1"/>
    <col min="12" max="12" width="8" style="35" customWidth="1"/>
    <col min="13" max="13" width="42.5703125" style="4" customWidth="1"/>
    <col min="14" max="14" width="3.28515625" style="35" customWidth="1"/>
    <col min="15" max="15" width="8" style="4" customWidth="1"/>
    <col min="16" max="16" width="42.5703125" style="4" bestFit="1" customWidth="1"/>
    <col min="17" max="17" width="3.28515625" style="35" customWidth="1"/>
    <col min="18" max="18" width="8" style="4" customWidth="1"/>
    <col min="19" max="19" width="42.5703125" style="4" bestFit="1" customWidth="1"/>
    <col min="20" max="20" width="3.28515625" style="35" customWidth="1"/>
    <col min="21" max="21" width="8" style="4" customWidth="1"/>
    <col min="22" max="22" width="42.5703125" style="4" bestFit="1" customWidth="1"/>
    <col min="23" max="23" width="3.28515625" style="35" customWidth="1"/>
    <col min="24" max="24" width="8" style="4" customWidth="1"/>
    <col min="25" max="25" width="42.5703125" style="4" bestFit="1" customWidth="1"/>
    <col min="26" max="26" width="3.28515625" style="35" customWidth="1"/>
    <col min="27" max="27" width="8" style="4" customWidth="1"/>
    <col min="28" max="28" width="42.5703125" style="4" bestFit="1" customWidth="1"/>
    <col min="29" max="29" width="3.28515625" style="35" customWidth="1"/>
    <col min="30" max="30" width="8" style="4" customWidth="1"/>
    <col min="31" max="31" width="42.5703125" style="4" bestFit="1" customWidth="1"/>
    <col min="32" max="32" width="3.28515625" style="35" customWidth="1"/>
    <col min="33" max="33" width="8" style="4" customWidth="1"/>
    <col min="34" max="34" width="42.5703125" style="4" bestFit="1" customWidth="1"/>
    <col min="35" max="35" width="3.28515625" style="4" customWidth="1"/>
    <col min="36" max="36" width="8" style="4" customWidth="1"/>
    <col min="37" max="37" width="42.5703125" style="4" bestFit="1" customWidth="1"/>
    <col min="38" max="38" width="3.28515625" style="4" customWidth="1"/>
    <col min="39" max="39" width="8" style="4" customWidth="1"/>
    <col min="40" max="40" width="42.5703125" style="4" bestFit="1" customWidth="1"/>
    <col min="41" max="41" width="3.28515625" style="4" customWidth="1"/>
    <col min="42" max="42" width="8" style="4" customWidth="1"/>
    <col min="43" max="43" width="42.5703125" style="4" bestFit="1" customWidth="1"/>
    <col min="44" max="44" width="3.28515625" style="4" customWidth="1"/>
    <col min="45" max="45" width="8" style="4" customWidth="1"/>
    <col min="46" max="46" width="42.5703125" style="4" bestFit="1" customWidth="1"/>
    <col min="47" max="47" width="3.28515625" style="4" customWidth="1"/>
    <col min="48" max="48" width="8" style="4" customWidth="1"/>
    <col min="49" max="49" width="42.5703125" style="4" bestFit="1" customWidth="1"/>
    <col min="50" max="50" width="3.28515625" style="4" customWidth="1"/>
    <col min="51" max="51" width="8" style="4" customWidth="1"/>
    <col min="52" max="52" width="42.5703125" style="4" bestFit="1" customWidth="1"/>
    <col min="53" max="53" width="3.28515625" style="4" customWidth="1"/>
    <col min="54" max="54" width="8" style="4" customWidth="1"/>
    <col min="55" max="55" width="42.5703125" style="4" bestFit="1" customWidth="1"/>
    <col min="56" max="56" width="3.28515625" style="4" customWidth="1"/>
    <col min="57" max="57" width="8" style="4" customWidth="1"/>
    <col min="58" max="58" width="42.5703125" style="4" bestFit="1" customWidth="1"/>
    <col min="59" max="59" width="3.28515625" style="4" customWidth="1"/>
    <col min="60" max="60" width="8" style="4" customWidth="1"/>
    <col min="61" max="61" width="42.5703125" style="4" bestFit="1" customWidth="1"/>
    <col min="62" max="62" width="3.28515625" style="4" customWidth="1"/>
    <col min="63" max="63" width="8" style="4" customWidth="1"/>
    <col min="64" max="64" width="42.5703125" style="4" bestFit="1" customWidth="1"/>
    <col min="65" max="65" width="3.28515625" style="4" customWidth="1"/>
    <col min="66" max="66" width="8" style="4" customWidth="1"/>
    <col min="67" max="67" width="42.5703125" style="4" bestFit="1" customWidth="1"/>
    <col min="68" max="68" width="3.28515625" style="4" customWidth="1"/>
    <col min="69" max="69" width="8" style="4" customWidth="1"/>
    <col min="70" max="70" width="42.5703125" style="4" bestFit="1" customWidth="1"/>
    <col min="71" max="71" width="3.28515625" style="4" customWidth="1"/>
    <col min="72" max="72" width="8" style="4" customWidth="1"/>
    <col min="73" max="73" width="42.5703125" style="4" bestFit="1" customWidth="1"/>
    <col min="74" max="74" width="3.28515625" style="4" customWidth="1"/>
    <col min="75" max="75" width="8" style="4" customWidth="1"/>
    <col min="76" max="76" width="42.5703125" style="4" bestFit="1" customWidth="1"/>
    <col min="77" max="77" width="3.28515625" style="4" customWidth="1"/>
    <col min="78" max="78" width="8" style="4" customWidth="1"/>
    <col min="79" max="79" width="42.5703125" style="4" bestFit="1" customWidth="1"/>
    <col min="80" max="80" width="3.28515625" style="4" customWidth="1"/>
    <col min="81" max="81" width="8" style="4" customWidth="1"/>
    <col min="82" max="82" width="42.5703125" style="4" bestFit="1" customWidth="1"/>
    <col min="83" max="83" width="3.28515625" style="4" customWidth="1"/>
    <col min="84" max="84" width="8" style="4" customWidth="1"/>
    <col min="85" max="85" width="42.5703125" style="4" bestFit="1" customWidth="1"/>
    <col min="86" max="86" width="3.28515625" style="4" customWidth="1"/>
    <col min="87" max="87" width="8" style="4" customWidth="1"/>
    <col min="88" max="88" width="42.5703125" style="4" bestFit="1" customWidth="1"/>
    <col min="89" max="89" width="3.28515625" style="4" customWidth="1"/>
    <col min="90" max="90" width="8" style="4" customWidth="1"/>
    <col min="91" max="91" width="42.5703125" style="4" bestFit="1" customWidth="1"/>
    <col min="92" max="92" width="3.28515625" style="4" customWidth="1"/>
    <col min="93" max="93" width="8" style="4" customWidth="1"/>
    <col min="94" max="94" width="42.5703125" style="4" bestFit="1" customWidth="1"/>
    <col min="95" max="95" width="3.28515625" style="4" customWidth="1"/>
    <col min="96" max="96" width="8" style="4" customWidth="1"/>
    <col min="97" max="97" width="42.5703125" style="4" bestFit="1" customWidth="1"/>
    <col min="98" max="98" width="3.28515625" style="4" customWidth="1"/>
    <col min="99" max="99" width="8" style="4" customWidth="1"/>
    <col min="100" max="100" width="42.5703125" style="4" bestFit="1" customWidth="1"/>
    <col min="101" max="101" width="3.28515625" style="4" customWidth="1"/>
    <col min="102" max="102" width="8" style="4" customWidth="1"/>
    <col min="103" max="103" width="42.5703125" style="4" bestFit="1" customWidth="1"/>
    <col min="104" max="104" width="3.28515625" style="4" customWidth="1"/>
    <col min="105" max="105" width="8" style="4" customWidth="1"/>
    <col min="106" max="106" width="42.5703125" style="4" bestFit="1" customWidth="1"/>
    <col min="107" max="107" width="3.28515625" style="4" customWidth="1"/>
    <col min="108" max="108" width="8" style="4" customWidth="1"/>
    <col min="109" max="109" width="42.5703125" style="4" bestFit="1" customWidth="1"/>
    <col min="110" max="110" width="3.28515625" style="4" customWidth="1"/>
    <col min="111" max="111" width="8" style="4" customWidth="1"/>
    <col min="112" max="112" width="42.5703125" style="4" bestFit="1" customWidth="1"/>
    <col min="113" max="113" width="3.28515625" style="4" customWidth="1"/>
    <col min="114" max="114" width="8" style="4" customWidth="1"/>
    <col min="115" max="115" width="42.5703125" style="4" bestFit="1" customWidth="1"/>
    <col min="116" max="116" width="3.28515625" style="4" customWidth="1"/>
    <col min="117" max="117" width="8" style="4" customWidth="1"/>
    <col min="118" max="118" width="42.5703125" style="4" bestFit="1" customWidth="1"/>
    <col min="119" max="119" width="3.28515625" style="4" customWidth="1"/>
    <col min="120" max="120" width="8" style="4" customWidth="1"/>
    <col min="121" max="121" width="42.5703125" style="4" bestFit="1" customWidth="1"/>
    <col min="122" max="122" width="3.28515625" style="4" customWidth="1"/>
    <col min="123" max="123" width="8" style="4" customWidth="1"/>
    <col min="124" max="124" width="42.5703125" style="4" bestFit="1" customWidth="1"/>
    <col min="125" max="125" width="3.28515625" style="4" customWidth="1"/>
    <col min="126" max="126" width="8" style="4" customWidth="1"/>
    <col min="127" max="127" width="42.5703125" style="4" bestFit="1" customWidth="1"/>
    <col min="128" max="128" width="3.28515625" style="4" customWidth="1"/>
    <col min="129" max="129" width="8" style="4" customWidth="1"/>
    <col min="130" max="130" width="42.5703125" style="4" bestFit="1" customWidth="1"/>
    <col min="131" max="131" width="3.28515625" style="4" customWidth="1"/>
    <col min="132" max="132" width="8" style="4" customWidth="1"/>
    <col min="133" max="133" width="42.5703125" style="4" bestFit="1" customWidth="1"/>
    <col min="134" max="134" width="3.28515625" style="4" customWidth="1"/>
    <col min="135" max="135" width="8" style="4" customWidth="1"/>
    <col min="136" max="136" width="42.5703125" style="4" bestFit="1" customWidth="1"/>
    <col min="137" max="137" width="3.28515625" style="4" customWidth="1"/>
    <col min="138" max="138" width="8" style="4" customWidth="1"/>
    <col min="139" max="139" width="42.5703125" style="4" bestFit="1" customWidth="1"/>
    <col min="140" max="140" width="3.28515625" style="4" customWidth="1"/>
    <col min="141" max="141" width="8" style="4" customWidth="1"/>
    <col min="142" max="142" width="42.5703125" style="4" bestFit="1" customWidth="1"/>
    <col min="143" max="143" width="3.28515625" style="4" customWidth="1"/>
    <col min="144" max="144" width="8" style="4" customWidth="1"/>
    <col min="145" max="145" width="42.5703125" style="4" bestFit="1" customWidth="1"/>
    <col min="146" max="146" width="3.28515625" style="4" customWidth="1"/>
    <col min="147" max="147" width="8" style="4" customWidth="1"/>
    <col min="148" max="148" width="42.5703125" style="4" bestFit="1" customWidth="1"/>
    <col min="149" max="149" width="3.28515625" style="4" customWidth="1"/>
    <col min="150" max="150" width="8" style="4" customWidth="1"/>
    <col min="151" max="151" width="42.5703125" style="4" bestFit="1" customWidth="1"/>
    <col min="152" max="152" width="3.28515625" style="4" customWidth="1"/>
    <col min="153" max="153" width="8" style="4" customWidth="1"/>
    <col min="154" max="154" width="42.5703125" style="4" bestFit="1" customWidth="1"/>
    <col min="155" max="155" width="3.28515625" style="4" customWidth="1"/>
    <col min="156" max="156" width="8" style="4" customWidth="1"/>
    <col min="157" max="157" width="42.5703125" style="4" bestFit="1" customWidth="1"/>
    <col min="158" max="158" width="3.28515625" style="4" customWidth="1"/>
    <col min="159" max="159" width="8" style="4" customWidth="1"/>
    <col min="160" max="160" width="42.5703125" style="4" bestFit="1" customWidth="1"/>
    <col min="161" max="161" width="3.28515625" style="4" customWidth="1"/>
    <col min="162" max="162" width="8" style="4" customWidth="1"/>
    <col min="163" max="163" width="42.5703125" style="4" bestFit="1" customWidth="1"/>
    <col min="164" max="164" width="3.28515625" style="4" customWidth="1"/>
    <col min="165" max="165" width="8" style="4" customWidth="1"/>
    <col min="166" max="166" width="42.5703125" style="4" bestFit="1" customWidth="1"/>
    <col min="167" max="167" width="3.28515625" style="4" customWidth="1"/>
    <col min="168" max="168" width="8" style="4" customWidth="1"/>
    <col min="169" max="169" width="42.5703125" style="4" bestFit="1" customWidth="1"/>
    <col min="170" max="170" width="3.28515625" style="4" customWidth="1"/>
    <col min="171" max="171" width="8" style="4" customWidth="1"/>
    <col min="172" max="172" width="42.5703125" style="4" bestFit="1" customWidth="1"/>
    <col min="173" max="173" width="3.28515625" style="4" customWidth="1"/>
    <col min="174" max="174" width="8" style="4" customWidth="1"/>
    <col min="175" max="175" width="42.5703125" style="4" bestFit="1" customWidth="1"/>
    <col min="176" max="176" width="3.28515625" style="4" customWidth="1"/>
    <col min="177" max="177" width="8" style="4" customWidth="1"/>
    <col min="178" max="178" width="42.5703125" style="4" bestFit="1" customWidth="1"/>
    <col min="179" max="179" width="3.28515625" style="4" customWidth="1"/>
    <col min="180" max="180" width="8" style="4" customWidth="1"/>
    <col min="181" max="181" width="42.5703125" style="4" bestFit="1" customWidth="1"/>
    <col min="182" max="182" width="3.28515625" style="4" customWidth="1"/>
    <col min="183" max="183" width="8" style="4" customWidth="1"/>
    <col min="184" max="184" width="42.5703125" style="4" bestFit="1" customWidth="1"/>
    <col min="185" max="185" width="3.28515625" style="4" customWidth="1"/>
    <col min="186" max="186" width="8" style="4" customWidth="1"/>
    <col min="187" max="187" width="42.5703125" style="4" bestFit="1" customWidth="1"/>
    <col min="188" max="188" width="3.28515625" style="4" customWidth="1"/>
    <col min="189" max="189" width="8" style="4" customWidth="1"/>
    <col min="190" max="190" width="42.5703125" style="4" bestFit="1" customWidth="1"/>
    <col min="191" max="191" width="3.28515625" style="4" customWidth="1"/>
    <col min="192" max="192" width="8" style="4" customWidth="1"/>
    <col min="193" max="193" width="42.5703125" style="4" bestFit="1" customWidth="1"/>
    <col min="194" max="194" width="3.28515625" style="4" customWidth="1"/>
    <col min="195" max="195" width="8" style="4" customWidth="1"/>
    <col min="196" max="196" width="42.5703125" style="4" bestFit="1" customWidth="1"/>
    <col min="197" max="197" width="3.28515625" style="4" customWidth="1"/>
    <col min="198" max="198" width="8" style="4" customWidth="1"/>
    <col min="199" max="199" width="42.5703125" style="4" bestFit="1" customWidth="1"/>
    <col min="200" max="200" width="3.28515625" style="4" customWidth="1"/>
    <col min="201" max="201" width="8" style="4" customWidth="1"/>
    <col min="202" max="202" width="42.5703125" style="4" bestFit="1" customWidth="1"/>
    <col min="203" max="203" width="3.28515625" style="4" customWidth="1"/>
    <col min="204" max="204" width="8" style="4" customWidth="1"/>
    <col min="205" max="205" width="42.5703125" style="4" bestFit="1" customWidth="1"/>
    <col min="206" max="206" width="3.28515625" style="4" customWidth="1"/>
    <col min="207" max="207" width="8" style="4" customWidth="1"/>
    <col min="208" max="208" width="42.5703125" style="4" bestFit="1" customWidth="1"/>
    <col min="209" max="209" width="3.28515625" style="4" customWidth="1"/>
    <col min="210" max="210" width="8" style="4" customWidth="1"/>
    <col min="211" max="211" width="42.5703125" style="4" bestFit="1" customWidth="1"/>
    <col min="212" max="212" width="3.28515625" style="4" customWidth="1"/>
    <col min="213" max="213" width="8" style="4" customWidth="1"/>
    <col min="214" max="214" width="42.5703125" style="4" bestFit="1" customWidth="1"/>
    <col min="215" max="215" width="3.28515625" style="4" customWidth="1"/>
    <col min="216" max="216" width="8" style="4" customWidth="1"/>
    <col min="217" max="217" width="42.5703125" style="4" bestFit="1" customWidth="1"/>
    <col min="218" max="218" width="3.28515625" style="4" customWidth="1"/>
    <col min="219" max="219" width="8" style="4" customWidth="1"/>
    <col min="220" max="220" width="42.5703125" style="4" bestFit="1" customWidth="1"/>
    <col min="221" max="221" width="3.28515625" style="4" customWidth="1"/>
    <col min="222" max="222" width="8" style="4" customWidth="1"/>
    <col min="223" max="223" width="42.5703125" style="4" bestFit="1" customWidth="1"/>
    <col min="224" max="224" width="3.28515625" style="4" customWidth="1"/>
    <col min="225" max="225" width="8" style="4" customWidth="1"/>
    <col min="226" max="226" width="42.5703125" style="4" bestFit="1" customWidth="1"/>
    <col min="227" max="227" width="3.28515625" style="4" customWidth="1"/>
    <col min="228" max="228" width="8" style="4" customWidth="1"/>
    <col min="229" max="229" width="42.5703125" style="4" bestFit="1" customWidth="1"/>
    <col min="230" max="230" width="3.28515625" style="4" customWidth="1"/>
    <col min="231" max="231" width="8" style="4" customWidth="1"/>
    <col min="232" max="232" width="42.5703125" style="4" bestFit="1" customWidth="1"/>
    <col min="233" max="233" width="3.28515625" style="4" customWidth="1"/>
    <col min="234" max="234" width="8" style="4" customWidth="1"/>
    <col min="235" max="235" width="42.5703125" style="4" bestFit="1" customWidth="1"/>
    <col min="236" max="236" width="3.28515625" style="4" customWidth="1"/>
    <col min="237" max="237" width="8" style="4" customWidth="1"/>
    <col min="238" max="238" width="42.5703125" style="4" bestFit="1" customWidth="1"/>
    <col min="239" max="239" width="3.28515625" style="4" customWidth="1"/>
    <col min="240" max="240" width="8" style="4" customWidth="1"/>
    <col min="241" max="241" width="42.5703125" style="4" bestFit="1" customWidth="1"/>
    <col min="242" max="242" width="3.28515625" style="4" customWidth="1"/>
    <col min="243" max="243" width="8" style="4" customWidth="1"/>
    <col min="244" max="244" width="42.5703125" style="4" bestFit="1" customWidth="1"/>
    <col min="245" max="245" width="3.28515625" style="4" customWidth="1"/>
    <col min="246" max="246" width="8" style="4" customWidth="1"/>
    <col min="247" max="247" width="42.5703125" style="4" bestFit="1" customWidth="1"/>
    <col min="248" max="248" width="3.28515625" style="4" customWidth="1"/>
    <col min="249" max="249" width="8" style="4" customWidth="1"/>
    <col min="250" max="250" width="42.5703125" style="4" bestFit="1" customWidth="1"/>
    <col min="251" max="251" width="3.28515625" style="4" customWidth="1"/>
    <col min="252" max="252" width="8" style="4" customWidth="1"/>
    <col min="253" max="253" width="42.5703125" style="4" bestFit="1" customWidth="1"/>
    <col min="254" max="254" width="3.28515625" style="4" customWidth="1"/>
    <col min="255" max="255" width="8" style="4" customWidth="1"/>
    <col min="256" max="256" width="42.5703125" style="4" bestFit="1" customWidth="1"/>
    <col min="257" max="257" width="3.28515625" style="4" customWidth="1"/>
    <col min="258" max="258" width="8" style="4" customWidth="1"/>
    <col min="259" max="259" width="42.5703125" style="4" bestFit="1" customWidth="1"/>
    <col min="260" max="260" width="3.28515625" style="4" customWidth="1"/>
    <col min="261" max="261" width="8" style="4" customWidth="1"/>
    <col min="262" max="262" width="42.5703125" style="4" bestFit="1" customWidth="1"/>
    <col min="263" max="263" width="3.28515625" style="4" customWidth="1"/>
    <col min="264" max="264" width="8" style="4" customWidth="1"/>
    <col min="265" max="265" width="42.5703125" style="4" bestFit="1" customWidth="1"/>
    <col min="266" max="266" width="3.28515625" style="4" customWidth="1"/>
    <col min="267" max="267" width="8" style="4" customWidth="1"/>
    <col min="268" max="268" width="42.5703125" style="4" bestFit="1" customWidth="1"/>
    <col min="269" max="269" width="3.28515625" style="4" customWidth="1"/>
    <col min="270" max="270" width="8" style="4" customWidth="1"/>
    <col min="271" max="271" width="42.5703125" style="4" bestFit="1" customWidth="1"/>
    <col min="272" max="272" width="3.28515625" style="4" customWidth="1"/>
    <col min="273" max="273" width="8" style="4" customWidth="1"/>
    <col min="274" max="274" width="42.5703125" style="4" bestFit="1" customWidth="1"/>
    <col min="275" max="275" width="3.28515625" style="4" customWidth="1"/>
    <col min="276" max="276" width="8" style="4" customWidth="1"/>
    <col min="277" max="277" width="42.5703125" style="4" bestFit="1" customWidth="1"/>
    <col min="278" max="278" width="3.28515625" style="4" customWidth="1"/>
    <col min="279" max="279" width="8" style="4" customWidth="1"/>
    <col min="280" max="280" width="42.5703125" style="4" bestFit="1" customWidth="1"/>
    <col min="281" max="281" width="3.28515625" style="4" customWidth="1"/>
    <col min="282" max="282" width="8" style="4" customWidth="1"/>
    <col min="283" max="283" width="42.5703125" style="4" bestFit="1" customWidth="1"/>
    <col min="284" max="284" width="3.28515625" style="4" customWidth="1"/>
    <col min="285" max="285" width="8" style="4" customWidth="1"/>
    <col min="286" max="286" width="42.5703125" style="4" bestFit="1" customWidth="1"/>
    <col min="287" max="287" width="3.28515625" style="4" customWidth="1"/>
    <col min="288" max="288" width="8" style="4" customWidth="1"/>
    <col min="289" max="289" width="42.5703125" style="4" bestFit="1" customWidth="1"/>
    <col min="290" max="290" width="3.28515625" style="4" customWidth="1"/>
    <col min="291" max="291" width="8" style="4" customWidth="1"/>
    <col min="292" max="292" width="42.5703125" style="4" bestFit="1" customWidth="1"/>
    <col min="293" max="293" width="3.28515625" style="4" customWidth="1"/>
    <col min="294" max="294" width="8" style="4" customWidth="1"/>
    <col min="295" max="295" width="42.5703125" style="4" bestFit="1" customWidth="1"/>
    <col min="296" max="296" width="3.28515625" style="4" customWidth="1"/>
    <col min="297" max="297" width="8" style="4" customWidth="1"/>
    <col min="298" max="298" width="42.5703125" style="4" bestFit="1" customWidth="1"/>
    <col min="299" max="299" width="3.28515625" style="4" customWidth="1"/>
    <col min="300" max="300" width="8" style="4" customWidth="1"/>
    <col min="301" max="301" width="42.5703125" style="4" bestFit="1" customWidth="1"/>
    <col min="302" max="302" width="3.28515625" style="4" customWidth="1"/>
    <col min="303" max="303" width="8" style="4" customWidth="1"/>
    <col min="304" max="304" width="42.5703125" style="4" bestFit="1" customWidth="1"/>
    <col min="305" max="305" width="3.28515625" style="4" customWidth="1"/>
    <col min="306" max="306" width="8" style="4" customWidth="1"/>
    <col min="307" max="307" width="42.5703125" style="4" bestFit="1" customWidth="1"/>
    <col min="308" max="308" width="3.28515625" style="4" customWidth="1"/>
    <col min="309" max="309" width="8" style="4" customWidth="1"/>
    <col min="310" max="310" width="42.5703125" style="4" bestFit="1" customWidth="1"/>
    <col min="311" max="311" width="3.28515625" style="4" customWidth="1"/>
    <col min="312" max="312" width="8" style="4" customWidth="1"/>
    <col min="313" max="313" width="42.5703125" style="4" bestFit="1" customWidth="1"/>
    <col min="314" max="314" width="3.28515625" style="4" customWidth="1"/>
    <col min="315" max="315" width="8" style="4" customWidth="1"/>
    <col min="316" max="316" width="42.5703125" style="4" bestFit="1" customWidth="1"/>
    <col min="317" max="317" width="3.28515625" style="4" customWidth="1"/>
    <col min="318" max="318" width="8" style="4" customWidth="1"/>
    <col min="319" max="319" width="42.5703125" style="4" bestFit="1" customWidth="1"/>
    <col min="320" max="320" width="3.28515625" style="4" customWidth="1"/>
    <col min="321" max="321" width="8" style="4" customWidth="1"/>
    <col min="322" max="322" width="42.5703125" style="4" bestFit="1" customWidth="1"/>
    <col min="323" max="323" width="3.28515625" style="4" customWidth="1"/>
    <col min="324" max="324" width="8" style="4" customWidth="1"/>
    <col min="325" max="325" width="42.5703125" style="4" bestFit="1" customWidth="1"/>
    <col min="326" max="326" width="3.28515625" style="4" customWidth="1"/>
    <col min="327" max="327" width="8" style="4" customWidth="1"/>
    <col min="328" max="328" width="42.5703125" style="4" bestFit="1" customWidth="1"/>
    <col min="329" max="329" width="3.28515625" style="4" customWidth="1"/>
    <col min="330" max="330" width="8" style="4" customWidth="1"/>
    <col min="331" max="331" width="42.5703125" style="4" bestFit="1" customWidth="1"/>
    <col min="332" max="332" width="3.28515625" style="4" customWidth="1"/>
    <col min="333" max="333" width="8" style="4" customWidth="1"/>
    <col min="334" max="334" width="42.5703125" style="4" bestFit="1" customWidth="1"/>
    <col min="335" max="335" width="3.28515625" style="4" customWidth="1"/>
    <col min="336" max="336" width="8" style="4" customWidth="1"/>
    <col min="337" max="337" width="42.5703125" style="4" bestFit="1" customWidth="1"/>
    <col min="338" max="338" width="3.28515625" style="4" customWidth="1"/>
    <col min="339" max="339" width="8" style="4" customWidth="1"/>
    <col min="340" max="340" width="42.5703125" style="4" bestFit="1" customWidth="1"/>
    <col min="341" max="341" width="3.28515625" style="4" customWidth="1"/>
    <col min="342" max="342" width="8" style="4" customWidth="1"/>
    <col min="343" max="343" width="42.5703125" style="4" bestFit="1" customWidth="1"/>
    <col min="344" max="344" width="3.28515625" style="4" customWidth="1"/>
    <col min="345" max="345" width="8" style="4" customWidth="1"/>
    <col min="346" max="346" width="42.5703125" style="4" bestFit="1" customWidth="1"/>
    <col min="347" max="347" width="3.28515625" style="4" customWidth="1"/>
    <col min="348" max="348" width="8" style="4" customWidth="1"/>
    <col min="349" max="349" width="42.5703125" style="4" bestFit="1" customWidth="1"/>
    <col min="350" max="350" width="3.28515625" style="4" customWidth="1"/>
    <col min="351" max="351" width="8" style="4" customWidth="1"/>
    <col min="352" max="352" width="42.5703125" style="4" bestFit="1" customWidth="1"/>
    <col min="353" max="353" width="3.28515625" style="4" customWidth="1"/>
    <col min="354" max="354" width="8" style="4" customWidth="1"/>
    <col min="355" max="355" width="42.5703125" style="4" bestFit="1" customWidth="1"/>
    <col min="356" max="356" width="3.28515625" style="4" customWidth="1"/>
    <col min="357" max="357" width="8" style="4" customWidth="1"/>
    <col min="358" max="358" width="42.5703125" style="4" bestFit="1" customWidth="1"/>
    <col min="359" max="359" width="3.28515625" style="4" customWidth="1"/>
    <col min="360" max="360" width="8" style="4" customWidth="1"/>
    <col min="361" max="361" width="42.5703125" style="4" bestFit="1" customWidth="1"/>
    <col min="362" max="362" width="3.28515625" style="4" customWidth="1"/>
    <col min="363" max="363" width="8" style="4" customWidth="1"/>
    <col min="364" max="364" width="42.5703125" style="4" bestFit="1" customWidth="1"/>
    <col min="365" max="365" width="3.28515625" style="4" customWidth="1"/>
    <col min="366" max="366" width="8" style="4" customWidth="1"/>
    <col min="367" max="367" width="42.5703125" style="4" bestFit="1" customWidth="1"/>
    <col min="368" max="368" width="3.28515625" style="4" customWidth="1"/>
    <col min="369" max="369" width="8" style="4" customWidth="1"/>
    <col min="370" max="370" width="42.5703125" style="4" bestFit="1" customWidth="1"/>
    <col min="371" max="371" width="3.28515625" style="4" customWidth="1"/>
    <col min="372" max="372" width="8" style="4" customWidth="1"/>
    <col min="373" max="373" width="42.5703125" style="4" bestFit="1" customWidth="1"/>
    <col min="374" max="374" width="3.28515625" style="4" customWidth="1"/>
    <col min="375" max="375" width="8" style="4" customWidth="1"/>
    <col min="376" max="376" width="42.5703125" style="4" bestFit="1" customWidth="1"/>
    <col min="377" max="377" width="3.28515625" style="4" customWidth="1"/>
    <col min="378" max="378" width="8" style="4" customWidth="1"/>
    <col min="379" max="379" width="42.5703125" style="4" bestFit="1" customWidth="1"/>
    <col min="380" max="380" width="3.28515625" style="4" customWidth="1"/>
    <col min="381" max="381" width="8" style="4" customWidth="1"/>
    <col min="382" max="382" width="42.5703125" style="4" bestFit="1" customWidth="1"/>
    <col min="383" max="383" width="3.28515625" style="4" customWidth="1"/>
    <col min="384" max="384" width="8" style="4" customWidth="1"/>
    <col min="385" max="385" width="42.5703125" style="4" bestFit="1" customWidth="1"/>
    <col min="386" max="386" width="3.28515625" style="4" customWidth="1"/>
    <col min="387" max="387" width="8" style="4" customWidth="1"/>
    <col min="388" max="388" width="42.5703125" style="4" bestFit="1" customWidth="1"/>
    <col min="389" max="389" width="3.28515625" style="4" customWidth="1"/>
    <col min="390" max="390" width="8" style="4" customWidth="1"/>
    <col min="391" max="391" width="42.5703125" style="4" bestFit="1" customWidth="1"/>
    <col min="392" max="392" width="3.28515625" style="4" customWidth="1"/>
    <col min="393" max="393" width="8" style="4" customWidth="1"/>
    <col min="394" max="394" width="42.5703125" style="4" bestFit="1" customWidth="1"/>
    <col min="395" max="395" width="3.28515625" style="4" customWidth="1"/>
    <col min="396" max="396" width="8" style="4" customWidth="1"/>
    <col min="397" max="397" width="42.5703125" style="4" bestFit="1" customWidth="1"/>
    <col min="398" max="398" width="3.28515625" style="4" customWidth="1"/>
    <col min="399" max="399" width="8" style="4" customWidth="1"/>
    <col min="400" max="400" width="42.5703125" style="4" bestFit="1" customWidth="1"/>
    <col min="401" max="401" width="3.28515625" style="4" customWidth="1"/>
    <col min="402" max="402" width="8" style="4" customWidth="1"/>
    <col min="403" max="403" width="42.5703125" style="4" bestFit="1" customWidth="1"/>
    <col min="404" max="404" width="3.28515625" style="4" customWidth="1"/>
    <col min="405" max="405" width="8" style="4" customWidth="1"/>
    <col min="406" max="406" width="42.5703125" style="4" bestFit="1" customWidth="1"/>
    <col min="407" max="407" width="3.28515625" style="4" customWidth="1"/>
    <col min="408" max="408" width="8" style="4" customWidth="1"/>
    <col min="409" max="409" width="42.5703125" style="4" bestFit="1" customWidth="1"/>
    <col min="410" max="410" width="3.28515625" style="4" customWidth="1"/>
    <col min="411" max="411" width="8" style="4" customWidth="1"/>
    <col min="412" max="412" width="42.5703125" style="4" bestFit="1" customWidth="1"/>
    <col min="413" max="413" width="3.28515625" style="4" customWidth="1"/>
    <col min="414" max="414" width="8" style="4" customWidth="1"/>
    <col min="415" max="415" width="42.5703125" style="4" bestFit="1" customWidth="1"/>
    <col min="416" max="416" width="3.28515625" style="4" customWidth="1"/>
    <col min="417" max="417" width="8" style="4" customWidth="1"/>
    <col min="418" max="418" width="42.5703125" style="4" bestFit="1" customWidth="1"/>
    <col min="419" max="419" width="3.28515625" style="4" customWidth="1"/>
    <col min="420" max="420" width="8" style="4" customWidth="1"/>
    <col min="421" max="421" width="42.5703125" style="4" bestFit="1" customWidth="1"/>
    <col min="422" max="422" width="3.28515625" style="4" customWidth="1"/>
    <col min="423" max="423" width="8" style="4" customWidth="1"/>
    <col min="424" max="424" width="42.5703125" style="4" bestFit="1" customWidth="1"/>
    <col min="425" max="425" width="3.28515625" style="4" customWidth="1"/>
    <col min="426" max="426" width="8" style="4" customWidth="1"/>
    <col min="427" max="427" width="42.5703125" style="4" bestFit="1" customWidth="1"/>
    <col min="428" max="428" width="3.28515625" style="4" customWidth="1"/>
    <col min="429" max="429" width="8" style="4" customWidth="1"/>
    <col min="430" max="430" width="42.5703125" style="4" bestFit="1" customWidth="1"/>
    <col min="431" max="431" width="3.28515625" style="4" customWidth="1"/>
    <col min="432" max="432" width="8" style="4" customWidth="1"/>
    <col min="433" max="433" width="42.5703125" style="4" bestFit="1" customWidth="1"/>
    <col min="434" max="434" width="3.28515625" style="4" customWidth="1"/>
    <col min="435" max="435" width="8" style="4" customWidth="1"/>
    <col min="436" max="436" width="42.5703125" style="4" bestFit="1" customWidth="1"/>
    <col min="437" max="437" width="3.28515625" style="4" customWidth="1"/>
    <col min="438" max="438" width="8" style="4" customWidth="1"/>
    <col min="439" max="439" width="42.5703125" style="4" bestFit="1" customWidth="1"/>
    <col min="440" max="440" width="3.28515625" style="4" customWidth="1"/>
    <col min="441" max="441" width="8" style="4" customWidth="1"/>
    <col min="442" max="442" width="42.5703125" style="4" bestFit="1" customWidth="1"/>
    <col min="443" max="443" width="3.28515625" style="4" customWidth="1"/>
    <col min="444" max="444" width="8" style="4" customWidth="1"/>
    <col min="445" max="445" width="42.5703125" style="4" bestFit="1" customWidth="1"/>
    <col min="446" max="446" width="3.28515625" style="4" customWidth="1"/>
    <col min="447" max="447" width="8" style="4" customWidth="1"/>
    <col min="448" max="448" width="42.5703125" style="4" bestFit="1" customWidth="1"/>
    <col min="449" max="449" width="3.28515625" style="4" customWidth="1"/>
    <col min="450" max="450" width="8" style="4" customWidth="1"/>
    <col min="451" max="451" width="42.5703125" style="4" bestFit="1" customWidth="1"/>
    <col min="452" max="452" width="3.28515625" style="4" customWidth="1"/>
    <col min="453" max="453" width="8" style="4" customWidth="1"/>
    <col min="454" max="454" width="42.5703125" style="4" bestFit="1" customWidth="1"/>
    <col min="455" max="455" width="3.28515625" style="4" customWidth="1"/>
    <col min="456" max="456" width="8" style="4" customWidth="1"/>
    <col min="457" max="457" width="42.5703125" style="4" bestFit="1" customWidth="1"/>
    <col min="458" max="458" width="3.28515625" style="4" customWidth="1"/>
    <col min="459" max="459" width="8" style="4" customWidth="1"/>
    <col min="460" max="460" width="42.5703125" style="4" bestFit="1" customWidth="1"/>
    <col min="461" max="461" width="3.28515625" style="4" customWidth="1"/>
    <col min="462" max="462" width="8" style="4" customWidth="1"/>
    <col min="463" max="463" width="42.5703125" style="4" bestFit="1" customWidth="1"/>
    <col min="464" max="464" width="3.28515625" style="4" customWidth="1"/>
    <col min="465" max="465" width="8" style="4" customWidth="1"/>
    <col min="466" max="466" width="42.5703125" style="4" bestFit="1" customWidth="1"/>
    <col min="467" max="467" width="3.28515625" style="4" customWidth="1"/>
    <col min="468" max="468" width="8" style="4" customWidth="1"/>
    <col min="469" max="469" width="42.5703125" style="4" bestFit="1" customWidth="1"/>
    <col min="470" max="470" width="3.28515625" style="4" customWidth="1"/>
    <col min="471" max="471" width="8" style="4" customWidth="1"/>
    <col min="472" max="472" width="42.5703125" style="4" bestFit="1" customWidth="1"/>
    <col min="473" max="473" width="3.28515625" style="4" customWidth="1"/>
    <col min="474" max="474" width="8" style="4" customWidth="1"/>
    <col min="475" max="475" width="42.5703125" style="4" bestFit="1" customWidth="1"/>
    <col min="476" max="476" width="3.28515625" style="4" customWidth="1"/>
    <col min="477" max="477" width="8" style="4" customWidth="1"/>
    <col min="478" max="478" width="42.5703125" style="4" bestFit="1" customWidth="1"/>
    <col min="479" max="479" width="3.28515625" style="4" customWidth="1"/>
    <col min="480" max="480" width="8" style="4" customWidth="1"/>
    <col min="481" max="481" width="42.5703125" style="4" bestFit="1" customWidth="1"/>
    <col min="482" max="482" width="3.28515625" style="4" customWidth="1"/>
    <col min="483" max="483" width="8" style="4" customWidth="1"/>
    <col min="484" max="484" width="42.5703125" style="4" bestFit="1" customWidth="1"/>
    <col min="485" max="485" width="3.28515625" style="4" customWidth="1"/>
    <col min="486" max="486" width="8" style="4" customWidth="1"/>
    <col min="487" max="487" width="42.5703125" style="4" bestFit="1" customWidth="1"/>
    <col min="488" max="488" width="3.28515625" style="4" customWidth="1"/>
    <col min="489" max="489" width="8" style="4" customWidth="1"/>
    <col min="490" max="490" width="42.5703125" style="4" bestFit="1" customWidth="1"/>
    <col min="491" max="491" width="3.28515625" style="4" customWidth="1"/>
    <col min="492" max="492" width="8" style="4" customWidth="1"/>
    <col min="493" max="493" width="42.5703125" style="4" bestFit="1" customWidth="1"/>
    <col min="494" max="494" width="3.28515625" style="4" customWidth="1"/>
    <col min="495" max="495" width="8" style="4" customWidth="1"/>
    <col min="496" max="496" width="42.5703125" style="4" bestFit="1" customWidth="1"/>
    <col min="497" max="497" width="3.28515625" style="4" customWidth="1"/>
    <col min="498" max="498" width="8" style="4" customWidth="1"/>
    <col min="499" max="499" width="42.5703125" style="4" bestFit="1" customWidth="1"/>
    <col min="500" max="500" width="3.28515625" style="4" customWidth="1"/>
    <col min="501" max="501" width="8" style="4" customWidth="1"/>
    <col min="502" max="502" width="42.5703125" style="4" bestFit="1" customWidth="1"/>
    <col min="503" max="503" width="3.28515625" style="4" customWidth="1"/>
    <col min="504" max="504" width="8" style="4" customWidth="1"/>
    <col min="505" max="505" width="42.5703125" style="4" bestFit="1" customWidth="1"/>
    <col min="506" max="506" width="3.28515625" style="4" customWidth="1"/>
    <col min="507" max="507" width="8" style="4" customWidth="1"/>
    <col min="508" max="508" width="42.5703125" style="4" bestFit="1" customWidth="1"/>
    <col min="509" max="509" width="3.28515625" style="4" customWidth="1"/>
    <col min="510" max="510" width="8" style="4" customWidth="1"/>
    <col min="511" max="511" width="42.5703125" style="4" bestFit="1" customWidth="1"/>
    <col min="512" max="512" width="3.28515625" style="4" customWidth="1"/>
    <col min="513" max="513" width="8" style="4" customWidth="1"/>
    <col min="514" max="514" width="42.5703125" style="4" bestFit="1" customWidth="1"/>
    <col min="515" max="515" width="3.28515625" style="4" customWidth="1"/>
    <col min="516" max="516" width="8" style="4" customWidth="1"/>
    <col min="517" max="517" width="42.5703125" style="4" bestFit="1" customWidth="1"/>
    <col min="518" max="518" width="3.28515625" style="4" customWidth="1"/>
    <col min="519" max="519" width="8" style="4" customWidth="1"/>
    <col min="520" max="520" width="42.5703125" style="4" bestFit="1" customWidth="1"/>
    <col min="521" max="521" width="3.28515625" style="4" customWidth="1"/>
    <col min="522" max="522" width="8" style="4" customWidth="1"/>
    <col min="523" max="523" width="42.5703125" style="4" bestFit="1" customWidth="1"/>
    <col min="524" max="524" width="3.28515625" style="4" customWidth="1"/>
    <col min="525" max="525" width="8" style="4" customWidth="1"/>
    <col min="526" max="526" width="42.5703125" style="4" bestFit="1" customWidth="1"/>
    <col min="527" max="527" width="3.28515625" style="4" customWidth="1"/>
    <col min="528" max="528" width="8" style="4" customWidth="1"/>
    <col min="529" max="529" width="42.5703125" style="4" bestFit="1" customWidth="1"/>
    <col min="530" max="530" width="3.28515625" style="4" customWidth="1"/>
    <col min="531" max="531" width="8" style="4" customWidth="1"/>
    <col min="532" max="532" width="42.5703125" style="4" bestFit="1" customWidth="1"/>
    <col min="533" max="533" width="3.28515625" style="4" customWidth="1"/>
    <col min="534" max="534" width="8" style="4" customWidth="1"/>
    <col min="535" max="535" width="42.5703125" style="4" bestFit="1" customWidth="1"/>
    <col min="536" max="536" width="3.28515625" style="4" customWidth="1"/>
    <col min="537" max="537" width="8" style="4" customWidth="1"/>
    <col min="538" max="538" width="42.5703125" style="4" bestFit="1" customWidth="1"/>
    <col min="539" max="539" width="3.28515625" style="4" customWidth="1"/>
    <col min="540" max="540" width="8" style="4" customWidth="1"/>
    <col min="541" max="541" width="42.5703125" style="4" bestFit="1" customWidth="1"/>
    <col min="542" max="542" width="3.28515625" style="4" customWidth="1"/>
    <col min="543" max="543" width="8" style="4" customWidth="1"/>
    <col min="544" max="544" width="42.5703125" style="4" bestFit="1" customWidth="1"/>
    <col min="545" max="545" width="3.28515625" style="4" customWidth="1"/>
    <col min="546" max="546" width="8" style="4" customWidth="1"/>
    <col min="547" max="547" width="42.5703125" style="4" bestFit="1" customWidth="1"/>
    <col min="548" max="548" width="3.28515625" style="4" customWidth="1"/>
    <col min="549" max="549" width="8" style="4" customWidth="1"/>
    <col min="550" max="550" width="42.5703125" style="4" bestFit="1" customWidth="1"/>
    <col min="551" max="551" width="3.28515625" style="4" customWidth="1"/>
    <col min="552" max="552" width="8" style="4" customWidth="1"/>
    <col min="553" max="553" width="42.5703125" style="4" bestFit="1" customWidth="1"/>
    <col min="554" max="554" width="3.28515625" style="4" customWidth="1"/>
    <col min="555" max="555" width="8" style="4" customWidth="1"/>
    <col min="556" max="556" width="42.5703125" style="4" bestFit="1" customWidth="1"/>
    <col min="557" max="557" width="3.28515625" style="4" customWidth="1"/>
    <col min="558" max="558" width="8" style="4" customWidth="1"/>
    <col min="559" max="559" width="42.5703125" style="4" bestFit="1" customWidth="1"/>
    <col min="560" max="560" width="3.28515625" style="4" customWidth="1"/>
    <col min="561" max="561" width="8" style="4" customWidth="1"/>
    <col min="562" max="562" width="42.5703125" style="4" bestFit="1" customWidth="1"/>
    <col min="563" max="563" width="3.28515625" style="4" customWidth="1"/>
    <col min="564" max="564" width="8" style="4" customWidth="1"/>
    <col min="565" max="565" width="42.5703125" style="4" bestFit="1" customWidth="1"/>
    <col min="566" max="566" width="3.28515625" style="4" customWidth="1"/>
    <col min="567" max="567" width="8" style="4" customWidth="1"/>
    <col min="568" max="568" width="42.5703125" style="4" bestFit="1" customWidth="1"/>
    <col min="569" max="569" width="3.28515625" style="4" customWidth="1"/>
    <col min="570" max="570" width="8" style="4" customWidth="1"/>
    <col min="571" max="571" width="42.5703125" style="4" bestFit="1" customWidth="1"/>
    <col min="572" max="572" width="3.28515625" style="4" customWidth="1"/>
    <col min="573" max="573" width="8" style="4" customWidth="1"/>
    <col min="574" max="574" width="42.5703125" style="4" bestFit="1" customWidth="1"/>
    <col min="575" max="575" width="3.28515625" style="4" customWidth="1"/>
    <col min="576" max="576" width="8" style="4" customWidth="1"/>
    <col min="577" max="577" width="42.5703125" style="4" bestFit="1" customWidth="1"/>
    <col min="578" max="578" width="3.28515625" style="4" customWidth="1"/>
    <col min="579" max="579" width="8" style="4" customWidth="1"/>
    <col min="580" max="580" width="42.5703125" style="4" bestFit="1" customWidth="1"/>
    <col min="581" max="581" width="3.28515625" style="4" customWidth="1"/>
    <col min="582" max="582" width="8" style="4" customWidth="1"/>
    <col min="583" max="583" width="42.5703125" style="4" bestFit="1" customWidth="1"/>
    <col min="584" max="584" width="3.28515625" style="4" customWidth="1"/>
    <col min="585" max="585" width="8" style="4" customWidth="1"/>
    <col min="586" max="586" width="42.5703125" style="4" bestFit="1" customWidth="1"/>
    <col min="587" max="587" width="3.28515625" style="4" customWidth="1"/>
    <col min="588" max="588" width="8" style="4" customWidth="1"/>
    <col min="589" max="589" width="42.5703125" style="4" bestFit="1" customWidth="1"/>
    <col min="590" max="590" width="3.28515625" style="4" customWidth="1"/>
    <col min="591" max="591" width="8" style="4" customWidth="1"/>
    <col min="592" max="592" width="42.5703125" style="4" bestFit="1" customWidth="1"/>
    <col min="593" max="593" width="3.28515625" style="4" customWidth="1"/>
    <col min="594" max="594" width="8" style="4" customWidth="1"/>
    <col min="595" max="595" width="42.5703125" style="4" bestFit="1" customWidth="1"/>
    <col min="596" max="596" width="3.28515625" style="4" customWidth="1"/>
    <col min="597" max="597" width="8" style="4" customWidth="1"/>
    <col min="598" max="598" width="42.5703125" style="4" bestFit="1" customWidth="1"/>
    <col min="599" max="599" width="3.28515625" style="4" customWidth="1"/>
    <col min="600" max="600" width="8" style="4" customWidth="1"/>
    <col min="601" max="601" width="42.5703125" style="4" bestFit="1" customWidth="1"/>
    <col min="602" max="602" width="3.28515625" style="4" customWidth="1"/>
    <col min="603" max="603" width="8" style="4" customWidth="1"/>
    <col min="604" max="604" width="42.5703125" style="4" bestFit="1" customWidth="1"/>
    <col min="605" max="605" width="3.28515625" style="4" customWidth="1"/>
    <col min="606" max="606" width="8" style="4" customWidth="1"/>
    <col min="607" max="607" width="42.5703125" style="4" bestFit="1" customWidth="1"/>
    <col min="608" max="608" width="3.28515625" style="4" customWidth="1"/>
    <col min="609" max="609" width="8" style="4" customWidth="1"/>
    <col min="610" max="610" width="42.5703125" style="4" bestFit="1" customWidth="1"/>
    <col min="611" max="611" width="3.28515625" style="4" customWidth="1"/>
    <col min="612" max="612" width="8" style="4" customWidth="1"/>
    <col min="613" max="613" width="42.5703125" style="4" bestFit="1" customWidth="1"/>
    <col min="614" max="614" width="3.28515625" style="4" customWidth="1"/>
    <col min="615" max="615" width="8" style="4" customWidth="1"/>
    <col min="616" max="616" width="42.5703125" style="4" bestFit="1" customWidth="1"/>
    <col min="617" max="617" width="3.28515625" style="4" customWidth="1"/>
    <col min="618" max="618" width="8" style="4" customWidth="1"/>
    <col min="619" max="619" width="42.5703125" style="4" bestFit="1" customWidth="1"/>
    <col min="620" max="620" width="3.28515625" style="4" customWidth="1"/>
    <col min="621" max="621" width="8" style="4" customWidth="1"/>
    <col min="622" max="622" width="42.5703125" style="4" bestFit="1" customWidth="1"/>
    <col min="623" max="623" width="3.28515625" style="4" customWidth="1"/>
    <col min="624" max="624" width="8" style="4" customWidth="1"/>
    <col min="625" max="625" width="42.5703125" style="4" bestFit="1" customWidth="1"/>
    <col min="626" max="626" width="3.28515625" style="4" customWidth="1"/>
    <col min="627" max="627" width="8" style="4" customWidth="1"/>
    <col min="628" max="628" width="42.5703125" style="4" bestFit="1" customWidth="1"/>
    <col min="629" max="629" width="3.28515625" style="4" customWidth="1"/>
    <col min="630" max="630" width="8" style="4" customWidth="1"/>
    <col min="631" max="631" width="42.5703125" style="4" bestFit="1" customWidth="1"/>
    <col min="632" max="632" width="3.28515625" style="4" customWidth="1"/>
    <col min="633" max="633" width="8" style="4" customWidth="1"/>
    <col min="634" max="634" width="42.5703125" style="4" bestFit="1" customWidth="1"/>
    <col min="635" max="635" width="3.28515625" style="4" customWidth="1"/>
    <col min="636" max="636" width="8" style="4" customWidth="1"/>
    <col min="637" max="637" width="42.5703125" style="4" bestFit="1" customWidth="1"/>
    <col min="638" max="638" width="3.28515625" style="4" customWidth="1"/>
    <col min="639" max="639" width="8" style="4" customWidth="1"/>
    <col min="640" max="640" width="42.5703125" style="4" bestFit="1" customWidth="1"/>
    <col min="641" max="641" width="3.28515625" style="4" customWidth="1"/>
    <col min="642" max="642" width="8" style="4" customWidth="1"/>
    <col min="643" max="643" width="42.5703125" style="4" bestFit="1" customWidth="1"/>
    <col min="644" max="644" width="3.28515625" style="4" customWidth="1"/>
    <col min="645" max="645" width="8" style="4" customWidth="1"/>
    <col min="646" max="646" width="42.5703125" style="4" bestFit="1" customWidth="1"/>
    <col min="647" max="647" width="3.28515625" style="4" customWidth="1"/>
    <col min="648" max="648" width="8" style="4" customWidth="1"/>
    <col min="649" max="649" width="42.5703125" style="4" bestFit="1" customWidth="1"/>
    <col min="650" max="650" width="3.28515625" style="4" customWidth="1"/>
    <col min="651" max="651" width="8" style="4" customWidth="1"/>
    <col min="652" max="652" width="42.5703125" style="4" bestFit="1" customWidth="1"/>
    <col min="653" max="653" width="3.28515625" style="4" customWidth="1"/>
    <col min="654" max="654" width="8" style="4" customWidth="1"/>
    <col min="655" max="655" width="42.5703125" style="4" bestFit="1" customWidth="1"/>
    <col min="656" max="656" width="3.28515625" style="4" customWidth="1"/>
    <col min="657" max="657" width="8" style="4" customWidth="1"/>
    <col min="658" max="658" width="42.5703125" style="4" bestFit="1" customWidth="1"/>
    <col min="659" max="659" width="3.28515625" style="4" customWidth="1"/>
    <col min="660" max="660" width="8" style="4" customWidth="1"/>
    <col min="661" max="661" width="42.5703125" style="4" bestFit="1" customWidth="1"/>
    <col min="662" max="662" width="3.28515625" style="4" customWidth="1"/>
    <col min="663" max="663" width="8" style="4" customWidth="1"/>
    <col min="664" max="664" width="42.5703125" style="4" bestFit="1" customWidth="1"/>
    <col min="665" max="665" width="3.28515625" style="4" customWidth="1"/>
    <col min="666" max="666" width="8" style="4" customWidth="1"/>
    <col min="667" max="667" width="42.5703125" style="4" bestFit="1" customWidth="1"/>
    <col min="668" max="668" width="3.28515625" style="4" customWidth="1"/>
    <col min="669" max="669" width="8" style="4" customWidth="1"/>
    <col min="670" max="670" width="42.5703125" style="4" bestFit="1" customWidth="1"/>
    <col min="671" max="671" width="3.28515625" style="4" customWidth="1"/>
    <col min="672" max="672" width="8" style="4" customWidth="1"/>
    <col min="673" max="673" width="42.5703125" style="4" bestFit="1" customWidth="1"/>
    <col min="674" max="674" width="3.28515625" style="4" customWidth="1"/>
    <col min="675" max="675" width="8" style="4" customWidth="1"/>
    <col min="676" max="676" width="42.5703125" style="4" bestFit="1" customWidth="1"/>
    <col min="677" max="677" width="3.28515625" style="4" customWidth="1"/>
    <col min="678" max="678" width="8" style="4" customWidth="1"/>
    <col min="679" max="679" width="42.5703125" style="4" bestFit="1" customWidth="1"/>
    <col min="680" max="680" width="3.28515625" style="4" customWidth="1"/>
    <col min="681" max="681" width="8" style="4" customWidth="1"/>
    <col min="682" max="682" width="42.5703125" style="4" bestFit="1" customWidth="1"/>
    <col min="683" max="683" width="3.28515625" style="4" customWidth="1"/>
    <col min="684" max="684" width="8" style="4" customWidth="1"/>
    <col min="685" max="685" width="42.5703125" style="4" bestFit="1" customWidth="1"/>
    <col min="686" max="686" width="3.28515625" style="4" customWidth="1"/>
    <col min="687" max="687" width="8" style="4" customWidth="1"/>
    <col min="688" max="688" width="42.5703125" style="4" bestFit="1" customWidth="1"/>
    <col min="689" max="689" width="3.28515625" style="4" customWidth="1"/>
    <col min="690" max="690" width="8" style="4" customWidth="1"/>
    <col min="691" max="691" width="42.5703125" style="4" bestFit="1" customWidth="1"/>
    <col min="692" max="692" width="3.28515625" style="4" customWidth="1"/>
    <col min="693" max="693" width="8" style="4" customWidth="1"/>
    <col min="694" max="694" width="42.5703125" style="4" bestFit="1" customWidth="1"/>
    <col min="695" max="695" width="3.28515625" style="4" customWidth="1"/>
    <col min="696" max="696" width="8" style="4" customWidth="1"/>
    <col min="697" max="697" width="42.5703125" style="4" bestFit="1" customWidth="1"/>
    <col min="698" max="698" width="3.28515625" style="4" customWidth="1"/>
    <col min="699" max="699" width="8" style="4" customWidth="1"/>
    <col min="700" max="700" width="42.5703125" style="4" bestFit="1" customWidth="1"/>
    <col min="701" max="701" width="3.28515625" style="4" customWidth="1"/>
    <col min="702" max="702" width="8" style="4" customWidth="1"/>
    <col min="703" max="703" width="42.5703125" style="4" bestFit="1" customWidth="1"/>
    <col min="704" max="704" width="3.28515625" style="4" customWidth="1"/>
    <col min="705" max="705" width="8" style="4" customWidth="1"/>
    <col min="706" max="706" width="42.5703125" style="4" bestFit="1" customWidth="1"/>
    <col min="707" max="707" width="3.28515625" style="4" customWidth="1"/>
    <col min="708" max="708" width="8" style="4" customWidth="1"/>
    <col min="709" max="709" width="42.5703125" style="4" bestFit="1" customWidth="1"/>
    <col min="710" max="710" width="3.28515625" style="4" customWidth="1"/>
    <col min="711" max="711" width="8" style="4" customWidth="1"/>
    <col min="712" max="712" width="42.5703125" style="4" bestFit="1" customWidth="1"/>
    <col min="713" max="713" width="3.28515625" style="4" customWidth="1"/>
    <col min="714" max="714" width="8" style="4" customWidth="1"/>
    <col min="715" max="715" width="42.5703125" style="4" bestFit="1" customWidth="1"/>
    <col min="716" max="716" width="3.28515625" style="4" customWidth="1"/>
    <col min="717" max="717" width="8" style="4" customWidth="1"/>
    <col min="718" max="718" width="42.5703125" style="4" bestFit="1" customWidth="1"/>
    <col min="719" max="719" width="3.28515625" style="4" customWidth="1"/>
    <col min="720" max="720" width="8" style="4" customWidth="1"/>
    <col min="721" max="721" width="42.5703125" style="4" bestFit="1" customWidth="1"/>
    <col min="722" max="722" width="3.28515625" style="4" customWidth="1"/>
    <col min="723" max="723" width="8" style="4" customWidth="1"/>
    <col min="724" max="724" width="42.5703125" style="4" bestFit="1" customWidth="1"/>
    <col min="725" max="725" width="3.28515625" style="4" customWidth="1"/>
    <col min="726" max="726" width="8" style="4" customWidth="1"/>
    <col min="727" max="727" width="42.5703125" style="4" bestFit="1" customWidth="1"/>
    <col min="728" max="728" width="3.28515625" style="4" customWidth="1"/>
    <col min="729" max="729" width="8" style="4" customWidth="1"/>
    <col min="730" max="730" width="42.5703125" style="4" bestFit="1" customWidth="1"/>
    <col min="731" max="731" width="3.28515625" style="4" customWidth="1"/>
    <col min="732" max="732" width="8" style="4" customWidth="1"/>
    <col min="733" max="733" width="42.5703125" style="4" bestFit="1" customWidth="1"/>
    <col min="734" max="734" width="3.28515625" style="4" customWidth="1"/>
    <col min="735" max="735" width="8" style="4" customWidth="1"/>
    <col min="736" max="736" width="42.5703125" style="4" bestFit="1" customWidth="1"/>
    <col min="737" max="737" width="3.28515625" style="4" customWidth="1"/>
    <col min="738" max="738" width="8" style="4" customWidth="1"/>
    <col min="739" max="739" width="42.5703125" style="4" bestFit="1" customWidth="1"/>
    <col min="740" max="740" width="3.28515625" style="4" customWidth="1"/>
    <col min="741" max="741" width="8" style="4" customWidth="1"/>
    <col min="742" max="742" width="42.5703125" style="4" bestFit="1" customWidth="1"/>
    <col min="743" max="743" width="3.28515625" style="4" customWidth="1"/>
    <col min="744" max="744" width="8" style="4" customWidth="1"/>
    <col min="745" max="745" width="42.5703125" style="4" bestFit="1" customWidth="1"/>
    <col min="746" max="746" width="3.28515625" style="4" customWidth="1"/>
    <col min="747" max="747" width="8" style="4" customWidth="1"/>
    <col min="748" max="748" width="42.5703125" style="4" bestFit="1" customWidth="1"/>
    <col min="749" max="749" width="3.28515625" style="4" customWidth="1"/>
    <col min="750" max="750" width="8" style="4" customWidth="1"/>
    <col min="751" max="751" width="42.5703125" style="4" bestFit="1" customWidth="1"/>
    <col min="752" max="752" width="3.28515625" style="4" customWidth="1"/>
    <col min="753" max="753" width="8" style="4" customWidth="1"/>
    <col min="754" max="754" width="42.5703125" style="4" bestFit="1" customWidth="1"/>
    <col min="755" max="755" width="3.28515625" style="4" customWidth="1"/>
    <col min="756" max="756" width="8" style="4" customWidth="1"/>
    <col min="757" max="757" width="42.5703125" style="4" bestFit="1" customWidth="1"/>
    <col min="758" max="758" width="3.28515625" style="4" customWidth="1"/>
    <col min="759" max="759" width="8" style="4" customWidth="1"/>
    <col min="760" max="760" width="42.5703125" style="4" bestFit="1" customWidth="1"/>
    <col min="761" max="761" width="3.28515625" style="4" customWidth="1"/>
    <col min="762" max="762" width="8" style="4" customWidth="1"/>
    <col min="763" max="763" width="42.5703125" style="4" bestFit="1" customWidth="1"/>
    <col min="764" max="764" width="3.28515625" style="4" customWidth="1"/>
    <col min="765" max="765" width="8" style="4" customWidth="1"/>
    <col min="766" max="766" width="42.5703125" style="4" bestFit="1" customWidth="1"/>
    <col min="767" max="767" width="3.28515625" style="4" customWidth="1"/>
    <col min="768" max="768" width="8" style="4" customWidth="1"/>
    <col min="769" max="769" width="42.5703125" style="4" bestFit="1" customWidth="1"/>
    <col min="770" max="770" width="3.28515625" style="4" customWidth="1"/>
    <col min="771" max="771" width="8" style="4" customWidth="1"/>
    <col min="772" max="772" width="42.5703125" style="4" bestFit="1" customWidth="1"/>
    <col min="773" max="773" width="3.28515625" style="4" customWidth="1"/>
    <col min="774" max="774" width="8" style="4" customWidth="1"/>
    <col min="775" max="775" width="42.5703125" style="4" bestFit="1" customWidth="1"/>
    <col min="776" max="776" width="3.28515625" style="4" customWidth="1"/>
    <col min="777" max="777" width="8" style="4" customWidth="1"/>
    <col min="778" max="778" width="42.5703125" style="4" bestFit="1" customWidth="1"/>
    <col min="779" max="779" width="3.28515625" style="4" customWidth="1"/>
    <col min="780" max="780" width="8" style="4" customWidth="1"/>
    <col min="781" max="781" width="42.5703125" style="4" bestFit="1" customWidth="1"/>
    <col min="782" max="782" width="3.28515625" style="4" customWidth="1"/>
    <col min="783" max="783" width="8" style="4" customWidth="1"/>
    <col min="784" max="784" width="42.5703125" style="4" bestFit="1" customWidth="1"/>
    <col min="785" max="785" width="3.28515625" style="4" customWidth="1"/>
    <col min="786" max="786" width="8" style="4" customWidth="1"/>
    <col min="787" max="787" width="42.5703125" style="4" bestFit="1" customWidth="1"/>
    <col min="788" max="788" width="3.28515625" style="4" customWidth="1"/>
    <col min="789" max="789" width="8" style="4" customWidth="1"/>
    <col min="790" max="790" width="42.5703125" style="4" bestFit="1" customWidth="1"/>
    <col min="791" max="791" width="3.28515625" style="4" customWidth="1"/>
    <col min="792" max="792" width="8" style="4" customWidth="1"/>
    <col min="793" max="793" width="42.5703125" style="4" bestFit="1" customWidth="1"/>
    <col min="794" max="794" width="3.28515625" style="4" customWidth="1"/>
    <col min="795" max="795" width="8" style="4" customWidth="1"/>
    <col min="796" max="796" width="42.5703125" style="4" bestFit="1" customWidth="1"/>
    <col min="797" max="797" width="3.28515625" style="4" customWidth="1"/>
    <col min="798" max="798" width="8" style="4" customWidth="1"/>
    <col min="799" max="799" width="42.5703125" style="4" bestFit="1" customWidth="1"/>
    <col min="800" max="800" width="3.28515625" style="4" customWidth="1"/>
    <col min="801" max="801" width="8" style="4" customWidth="1"/>
    <col min="802" max="802" width="42.5703125" style="4" bestFit="1" customWidth="1"/>
    <col min="803" max="803" width="3.28515625" style="4" customWidth="1"/>
    <col min="804" max="804" width="8" style="4" customWidth="1"/>
    <col min="805" max="805" width="42.5703125" style="4" bestFit="1" customWidth="1"/>
    <col min="806" max="806" width="3.28515625" style="4" customWidth="1"/>
    <col min="807" max="807" width="8" style="4" customWidth="1"/>
    <col min="808" max="808" width="42.5703125" style="4" bestFit="1" customWidth="1"/>
    <col min="809" max="809" width="3.28515625" style="4" customWidth="1"/>
    <col min="810" max="810" width="8" style="4" customWidth="1"/>
    <col min="811" max="811" width="42.5703125" style="4" bestFit="1" customWidth="1"/>
    <col min="812" max="812" width="3.28515625" style="4" customWidth="1"/>
    <col min="813" max="813" width="8" style="4" customWidth="1"/>
    <col min="814" max="814" width="42.5703125" style="4" bestFit="1" customWidth="1"/>
    <col min="815" max="815" width="3.28515625" style="4" customWidth="1"/>
    <col min="816" max="816" width="8" style="4" customWidth="1"/>
    <col min="817" max="817" width="42.5703125" style="4" bestFit="1" customWidth="1"/>
    <col min="818" max="818" width="3.28515625" style="4" customWidth="1"/>
    <col min="819" max="819" width="8" style="4" customWidth="1"/>
    <col min="820" max="820" width="42.5703125" style="4" bestFit="1" customWidth="1"/>
    <col min="821" max="821" width="3.28515625" style="4" customWidth="1"/>
    <col min="822" max="822" width="8" style="4" customWidth="1"/>
    <col min="823" max="823" width="42.5703125" style="4" bestFit="1" customWidth="1"/>
    <col min="824" max="824" width="3.28515625" style="4" customWidth="1"/>
    <col min="825" max="825" width="8" style="4" customWidth="1"/>
    <col min="826" max="826" width="42.5703125" style="4" bestFit="1" customWidth="1"/>
    <col min="827" max="827" width="3.28515625" style="4" customWidth="1"/>
    <col min="828" max="828" width="8" style="4" customWidth="1"/>
    <col min="829" max="829" width="42.5703125" style="4" bestFit="1" customWidth="1"/>
    <col min="830" max="830" width="3.28515625" style="4" customWidth="1"/>
    <col min="831" max="831" width="8" style="4" customWidth="1"/>
    <col min="832" max="832" width="42.5703125" style="4" bestFit="1" customWidth="1"/>
    <col min="833" max="833" width="3.28515625" style="4" customWidth="1"/>
    <col min="834" max="834" width="8" style="4" customWidth="1"/>
    <col min="835" max="835" width="42.5703125" style="4" bestFit="1" customWidth="1"/>
    <col min="836" max="836" width="3.28515625" style="4" customWidth="1"/>
    <col min="837" max="837" width="8" style="4" customWidth="1"/>
    <col min="838" max="838" width="42.5703125" style="4" bestFit="1" customWidth="1"/>
    <col min="839" max="839" width="3.28515625" style="4" customWidth="1"/>
    <col min="840" max="840" width="8" style="4" customWidth="1"/>
    <col min="841" max="841" width="42.5703125" style="4" bestFit="1" customWidth="1"/>
    <col min="842" max="842" width="3.28515625" style="4" customWidth="1"/>
    <col min="843" max="843" width="8" style="4" customWidth="1"/>
    <col min="844" max="844" width="42.5703125" style="4" bestFit="1" customWidth="1"/>
    <col min="845" max="845" width="3.28515625" style="4" customWidth="1"/>
    <col min="846" max="846" width="8" style="4" customWidth="1"/>
    <col min="847" max="847" width="42.5703125" style="4" bestFit="1" customWidth="1"/>
    <col min="848" max="848" width="3.28515625" style="4" customWidth="1"/>
    <col min="849" max="849" width="8" style="4" customWidth="1"/>
    <col min="850" max="850" width="42.5703125" style="4" bestFit="1" customWidth="1"/>
    <col min="851" max="851" width="3.28515625" style="4" customWidth="1"/>
    <col min="852" max="852" width="8" style="4" customWidth="1"/>
    <col min="853" max="853" width="42.5703125" style="4" bestFit="1" customWidth="1"/>
    <col min="854" max="854" width="3.28515625" style="4" customWidth="1"/>
    <col min="855" max="855" width="8" style="4" customWidth="1"/>
    <col min="856" max="856" width="42.5703125" style="4" bestFit="1" customWidth="1"/>
    <col min="857" max="857" width="3.28515625" style="4" customWidth="1"/>
    <col min="858" max="858" width="8" style="4" customWidth="1"/>
    <col min="859" max="859" width="42.5703125" style="4" bestFit="1" customWidth="1"/>
    <col min="860" max="860" width="3.28515625" style="4" customWidth="1"/>
    <col min="861" max="861" width="8" style="4" customWidth="1"/>
    <col min="862" max="862" width="42.5703125" style="4" bestFit="1" customWidth="1"/>
    <col min="863" max="863" width="3.28515625" style="4" customWidth="1"/>
    <col min="864" max="864" width="8" style="4" customWidth="1"/>
    <col min="865" max="865" width="42.5703125" style="4" bestFit="1" customWidth="1"/>
    <col min="866" max="866" width="3.28515625" style="4" customWidth="1"/>
    <col min="867" max="867" width="8" style="4" customWidth="1"/>
    <col min="868" max="868" width="42.5703125" style="4" bestFit="1" customWidth="1"/>
    <col min="869" max="869" width="3.28515625" style="4" customWidth="1"/>
    <col min="870" max="870" width="8" style="4" customWidth="1"/>
    <col min="871" max="871" width="42.5703125" style="4" bestFit="1" customWidth="1"/>
    <col min="872" max="872" width="3.28515625" style="4" customWidth="1"/>
    <col min="873" max="873" width="8" style="4" customWidth="1"/>
    <col min="874" max="874" width="42.5703125" style="4" bestFit="1" customWidth="1"/>
    <col min="875" max="875" width="3.28515625" style="4" customWidth="1"/>
    <col min="876" max="876" width="8" style="4" customWidth="1"/>
    <col min="877" max="877" width="42.5703125" style="4" bestFit="1" customWidth="1"/>
    <col min="878" max="878" width="3.28515625" style="4" customWidth="1"/>
    <col min="879" max="879" width="8" style="4" customWidth="1"/>
    <col min="880" max="880" width="42.5703125" style="4" bestFit="1" customWidth="1"/>
    <col min="881" max="881" width="3.28515625" style="4" customWidth="1"/>
    <col min="882" max="882" width="8" style="4" customWidth="1"/>
    <col min="883" max="883" width="42.5703125" style="4" bestFit="1" customWidth="1"/>
    <col min="884" max="884" width="3.28515625" style="4" customWidth="1"/>
    <col min="885" max="885" width="8" style="4" customWidth="1"/>
    <col min="886" max="886" width="42.5703125" style="4" bestFit="1" customWidth="1"/>
    <col min="887" max="887" width="3.28515625" style="4" customWidth="1"/>
    <col min="888" max="888" width="8" style="4" customWidth="1"/>
    <col min="889" max="889" width="42.5703125" style="4" bestFit="1" customWidth="1"/>
    <col min="890" max="890" width="3.28515625" style="4" customWidth="1"/>
    <col min="891" max="891" width="8" style="4" customWidth="1"/>
    <col min="892" max="892" width="42.5703125" style="4" bestFit="1" customWidth="1"/>
    <col min="893" max="893" width="3.28515625" style="4" customWidth="1"/>
    <col min="894" max="894" width="8" style="4" customWidth="1"/>
    <col min="895" max="895" width="42.5703125" style="4" bestFit="1" customWidth="1"/>
    <col min="896" max="896" width="3.28515625" style="4" customWidth="1"/>
    <col min="897" max="897" width="8" style="4" customWidth="1"/>
    <col min="898" max="898" width="42.5703125" style="4" bestFit="1" customWidth="1"/>
    <col min="899" max="899" width="3.28515625" style="4" customWidth="1"/>
    <col min="900" max="900" width="8" style="4" customWidth="1"/>
    <col min="901" max="901" width="42.5703125" style="4" bestFit="1" customWidth="1"/>
    <col min="902" max="902" width="3.28515625" style="4" customWidth="1"/>
    <col min="903" max="903" width="8" style="4" customWidth="1"/>
    <col min="904" max="904" width="42.5703125" style="4" bestFit="1" customWidth="1"/>
    <col min="905" max="905" width="3.28515625" style="4" customWidth="1"/>
    <col min="906" max="906" width="8" style="4" customWidth="1"/>
    <col min="907" max="907" width="42.5703125" style="4" bestFit="1" customWidth="1"/>
    <col min="908" max="908" width="3.28515625" style="4" customWidth="1"/>
    <col min="909" max="909" width="8" style="4" customWidth="1"/>
    <col min="910" max="910" width="42.5703125" style="4" bestFit="1" customWidth="1"/>
    <col min="911" max="911" width="3.28515625" style="4" customWidth="1"/>
    <col min="912" max="912" width="8" style="4" customWidth="1"/>
    <col min="913" max="913" width="42.5703125" style="4" bestFit="1" customWidth="1"/>
    <col min="914" max="914" width="3.28515625" style="4" customWidth="1"/>
    <col min="915" max="915" width="8" style="4" customWidth="1"/>
    <col min="916" max="916" width="42.5703125" style="4" bestFit="1" customWidth="1"/>
    <col min="917" max="917" width="3.28515625" style="4" customWidth="1"/>
    <col min="918" max="918" width="8" style="4" customWidth="1"/>
    <col min="919" max="919" width="42.5703125" style="4" bestFit="1" customWidth="1"/>
    <col min="920" max="920" width="3.28515625" style="4" customWidth="1"/>
    <col min="921" max="921" width="8" style="4" customWidth="1"/>
    <col min="922" max="922" width="42.5703125" style="4" bestFit="1" customWidth="1"/>
    <col min="923" max="923" width="3.28515625" style="4" customWidth="1"/>
    <col min="924" max="924" width="8" style="4" customWidth="1"/>
    <col min="925" max="925" width="42.5703125" style="4" bestFit="1" customWidth="1"/>
    <col min="926" max="926" width="3.28515625" style="4" customWidth="1"/>
    <col min="927" max="927" width="8" style="4" customWidth="1"/>
    <col min="928" max="928" width="42.5703125" style="4" bestFit="1" customWidth="1"/>
    <col min="929" max="929" width="3.28515625" style="4" customWidth="1"/>
    <col min="930" max="930" width="8" style="4" customWidth="1"/>
    <col min="931" max="931" width="42.5703125" style="4" bestFit="1" customWidth="1"/>
    <col min="932" max="932" width="3.28515625" style="4" customWidth="1"/>
    <col min="933" max="933" width="8" style="4" customWidth="1"/>
    <col min="934" max="934" width="42.5703125" style="4" bestFit="1" customWidth="1"/>
    <col min="935" max="935" width="3.28515625" style="4" customWidth="1"/>
    <col min="936" max="936" width="8" style="4" customWidth="1"/>
    <col min="937" max="937" width="42.5703125" style="4" bestFit="1" customWidth="1"/>
    <col min="938" max="938" width="3.28515625" style="4" customWidth="1"/>
    <col min="939" max="939" width="8" style="4" customWidth="1"/>
    <col min="940" max="940" width="42.5703125" style="4" bestFit="1" customWidth="1"/>
    <col min="941" max="941" width="3.28515625" style="4" customWidth="1"/>
    <col min="942" max="942" width="8" style="4" customWidth="1"/>
    <col min="943" max="943" width="42.5703125" style="4" bestFit="1" customWidth="1"/>
    <col min="944" max="944" width="3.28515625" style="4" customWidth="1"/>
    <col min="945" max="945" width="8" style="4" customWidth="1"/>
    <col min="946" max="946" width="42.5703125" style="4" bestFit="1" customWidth="1"/>
    <col min="947" max="947" width="3.28515625" style="4" customWidth="1"/>
    <col min="948" max="948" width="8" style="4" customWidth="1"/>
    <col min="949" max="949" width="42.5703125" style="4" bestFit="1" customWidth="1"/>
    <col min="950" max="950" width="3.28515625" style="4" customWidth="1"/>
    <col min="951" max="951" width="8" style="4" customWidth="1"/>
    <col min="952" max="952" width="42.5703125" style="4" bestFit="1" customWidth="1"/>
    <col min="953" max="953" width="3.28515625" style="4" customWidth="1"/>
    <col min="954" max="954" width="8" style="4" customWidth="1"/>
    <col min="955" max="955" width="42.5703125" style="4" bestFit="1" customWidth="1"/>
    <col min="956" max="956" width="3.28515625" style="4" customWidth="1"/>
    <col min="957" max="957" width="8" style="4" customWidth="1"/>
    <col min="958" max="958" width="42.5703125" style="4" bestFit="1" customWidth="1"/>
    <col min="959" max="959" width="3.28515625" style="4" customWidth="1"/>
    <col min="960" max="960" width="8" style="4" customWidth="1"/>
    <col min="961" max="961" width="42.5703125" style="4" bestFit="1" customWidth="1"/>
    <col min="962" max="962" width="3.28515625" style="4" customWidth="1"/>
    <col min="963" max="963" width="8" style="4" customWidth="1"/>
    <col min="964" max="964" width="42.5703125" style="4" bestFit="1" customWidth="1"/>
    <col min="965" max="965" width="3.28515625" style="4" customWidth="1"/>
    <col min="966" max="966" width="8" style="4" customWidth="1"/>
    <col min="967" max="967" width="42.5703125" style="4" bestFit="1" customWidth="1"/>
    <col min="968" max="968" width="3.28515625" style="4" customWidth="1"/>
    <col min="969" max="969" width="8" style="4" customWidth="1"/>
    <col min="970" max="970" width="42.5703125" style="4" bestFit="1" customWidth="1"/>
    <col min="971" max="971" width="3.28515625" style="4" customWidth="1"/>
    <col min="972" max="972" width="8" style="4" customWidth="1"/>
    <col min="973" max="973" width="42.5703125" style="4" bestFit="1" customWidth="1"/>
    <col min="974" max="974" width="3.28515625" style="4" customWidth="1"/>
    <col min="975" max="975" width="8" style="4" customWidth="1"/>
    <col min="976" max="976" width="42.5703125" style="4" bestFit="1" customWidth="1"/>
    <col min="977" max="977" width="3.28515625" style="4" customWidth="1"/>
    <col min="978" max="978" width="8" style="4" customWidth="1"/>
    <col min="979" max="979" width="42.5703125" style="4" bestFit="1" customWidth="1"/>
    <col min="980" max="980" width="3.28515625" style="4" customWidth="1"/>
    <col min="981" max="981" width="8" style="4" customWidth="1"/>
    <col min="982" max="982" width="42.5703125" style="4" bestFit="1" customWidth="1"/>
    <col min="983" max="983" width="3.28515625" style="4" customWidth="1"/>
    <col min="984" max="984" width="8" style="4" customWidth="1"/>
    <col min="985" max="985" width="42.5703125" style="4" bestFit="1" customWidth="1"/>
    <col min="986" max="986" width="3.28515625" style="4" customWidth="1"/>
    <col min="987" max="987" width="8" style="4" customWidth="1"/>
    <col min="988" max="988" width="42.5703125" style="4" bestFit="1" customWidth="1"/>
    <col min="989" max="989" width="3.28515625" style="4" customWidth="1"/>
    <col min="990" max="990" width="8" style="4" customWidth="1"/>
    <col min="991" max="991" width="42.5703125" style="4" bestFit="1" customWidth="1"/>
    <col min="992" max="992" width="3.28515625" style="4" customWidth="1"/>
    <col min="993" max="993" width="8" style="4" customWidth="1"/>
    <col min="994" max="994" width="42.5703125" style="4" bestFit="1" customWidth="1"/>
    <col min="995" max="995" width="3.28515625" style="4" customWidth="1"/>
    <col min="996" max="996" width="8" style="4" customWidth="1"/>
    <col min="997" max="997" width="42.5703125" style="4" bestFit="1" customWidth="1"/>
    <col min="998" max="998" width="3.28515625" style="4" customWidth="1"/>
    <col min="999" max="999" width="8" style="4" customWidth="1"/>
    <col min="1000" max="1000" width="42.5703125" style="4" bestFit="1" customWidth="1"/>
    <col min="1001" max="1001" width="3.28515625" style="4" customWidth="1"/>
    <col min="1002" max="1002" width="8" style="4" customWidth="1"/>
    <col min="1003" max="1003" width="42.5703125" style="4" bestFit="1" customWidth="1"/>
    <col min="1004" max="1004" width="3.28515625" style="4" customWidth="1"/>
    <col min="1005" max="1005" width="8" style="4" customWidth="1"/>
    <col min="1006" max="1006" width="42.5703125" style="4" bestFit="1" customWidth="1"/>
    <col min="1007" max="1007" width="3.28515625" style="4" customWidth="1"/>
    <col min="1008" max="1008" width="8" style="4" customWidth="1"/>
    <col min="1009" max="1009" width="42.5703125" style="4" bestFit="1" customWidth="1"/>
    <col min="1010" max="1010" width="3.28515625" style="4" customWidth="1"/>
    <col min="1011" max="1011" width="8" style="4" customWidth="1"/>
    <col min="1012" max="1012" width="42.5703125" style="4" bestFit="1" customWidth="1"/>
    <col min="1013" max="1013" width="3.28515625" style="4" customWidth="1"/>
    <col min="1014" max="1014" width="8" style="4" customWidth="1"/>
    <col min="1015" max="1015" width="42.5703125" style="4" bestFit="1" customWidth="1"/>
    <col min="1016" max="1016" width="3.28515625" style="4" customWidth="1"/>
    <col min="1017" max="1017" width="8" style="4" customWidth="1"/>
    <col min="1018" max="1018" width="42.5703125" style="4" bestFit="1" customWidth="1"/>
    <col min="1019" max="1019" width="3.28515625" style="4" customWidth="1"/>
    <col min="1020" max="1020" width="8" style="4" customWidth="1"/>
    <col min="1021" max="1021" width="42.5703125" style="4" bestFit="1" customWidth="1"/>
    <col min="1022" max="1022" width="3.28515625" style="4" customWidth="1"/>
    <col min="1023" max="1023" width="8" style="4" customWidth="1"/>
    <col min="1024" max="1024" width="42.5703125" style="4" bestFit="1" customWidth="1"/>
    <col min="1025" max="1025" width="3.28515625" style="4" customWidth="1"/>
    <col min="1026" max="1026" width="8" style="4" customWidth="1"/>
    <col min="1027" max="1027" width="42.5703125" style="4" bestFit="1" customWidth="1"/>
    <col min="1028" max="1028" width="3.28515625" style="4" customWidth="1"/>
    <col min="1029" max="1029" width="8" style="4" customWidth="1"/>
    <col min="1030" max="1030" width="42.5703125" style="4" bestFit="1" customWidth="1"/>
    <col min="1031" max="1031" width="3.28515625" style="4" customWidth="1"/>
    <col min="1032" max="1032" width="8" style="4" customWidth="1"/>
    <col min="1033" max="1033" width="42.5703125" style="4" bestFit="1" customWidth="1"/>
    <col min="1034" max="1034" width="3.28515625" style="4" customWidth="1"/>
    <col min="1035" max="1035" width="8" style="4" customWidth="1"/>
    <col min="1036" max="1036" width="42.5703125" style="4" bestFit="1" customWidth="1"/>
    <col min="1037" max="1037" width="3.28515625" style="4" customWidth="1"/>
    <col min="1038" max="1038" width="8" style="4" customWidth="1"/>
    <col min="1039" max="1039" width="42.5703125" style="4" bestFit="1" customWidth="1"/>
    <col min="1040" max="1040" width="3.28515625" style="4" customWidth="1"/>
    <col min="1041" max="1041" width="8" style="4" customWidth="1"/>
    <col min="1042" max="1042" width="42.5703125" style="4" bestFit="1" customWidth="1"/>
    <col min="1043" max="1043" width="3.28515625" style="4" customWidth="1"/>
    <col min="1044" max="1044" width="8" style="4" customWidth="1"/>
    <col min="1045" max="1045" width="42.5703125" style="4" bestFit="1" customWidth="1"/>
    <col min="1046" max="1046" width="3.28515625" style="4" customWidth="1"/>
    <col min="1047" max="1047" width="8" style="4" customWidth="1"/>
    <col min="1048" max="1048" width="42.5703125" style="4" bestFit="1" customWidth="1"/>
    <col min="1049" max="1049" width="3.28515625" style="4" customWidth="1"/>
    <col min="1050" max="1050" width="8" style="4" customWidth="1"/>
    <col min="1051" max="1051" width="42.5703125" style="4" bestFit="1" customWidth="1"/>
    <col min="1052" max="1052" width="3.28515625" style="4" customWidth="1"/>
    <col min="1053" max="1053" width="8" style="4" customWidth="1"/>
    <col min="1054" max="1054" width="42.5703125" style="4" bestFit="1" customWidth="1"/>
    <col min="1055" max="1055" width="3.28515625" style="4" customWidth="1"/>
    <col min="1056" max="1056" width="8" style="4" customWidth="1"/>
    <col min="1057" max="1057" width="42.5703125" style="4" bestFit="1" customWidth="1"/>
    <col min="1058" max="1058" width="3.28515625" style="4" customWidth="1"/>
    <col min="1059" max="1059" width="8" style="4" customWidth="1"/>
    <col min="1060" max="1060" width="42.5703125" style="4" bestFit="1" customWidth="1"/>
    <col min="1061" max="1061" width="3.28515625" style="4" customWidth="1"/>
    <col min="1062" max="1062" width="8" style="4" customWidth="1"/>
    <col min="1063" max="1063" width="42.5703125" style="4" bestFit="1" customWidth="1"/>
    <col min="1064" max="1064" width="3.28515625" style="4" customWidth="1"/>
    <col min="1065" max="1065" width="8" style="4" customWidth="1"/>
    <col min="1066" max="1066" width="42.5703125" style="4" bestFit="1" customWidth="1"/>
    <col min="1067" max="1067" width="3.28515625" style="4" customWidth="1"/>
    <col min="1068" max="1068" width="8" style="4" customWidth="1"/>
    <col min="1069" max="1069" width="42.5703125" style="4" bestFit="1" customWidth="1"/>
    <col min="1070" max="1070" width="3.28515625" style="4" customWidth="1"/>
    <col min="1071" max="1071" width="8" style="4" customWidth="1"/>
    <col min="1072" max="1072" width="42.5703125" style="4" bestFit="1" customWidth="1"/>
    <col min="1073" max="1073" width="3.28515625" style="4" customWidth="1"/>
    <col min="1074" max="1074" width="8" style="4" customWidth="1"/>
    <col min="1075" max="1075" width="42.5703125" style="4" bestFit="1" customWidth="1"/>
    <col min="1076" max="1076" width="3.28515625" style="4" customWidth="1"/>
    <col min="1077" max="1077" width="8" style="4" customWidth="1"/>
    <col min="1078" max="1078" width="42.5703125" style="4" bestFit="1" customWidth="1"/>
    <col min="1079" max="1079" width="3.28515625" style="4" customWidth="1"/>
    <col min="1080" max="1080" width="8" style="4" customWidth="1"/>
    <col min="1081" max="1081" width="42.5703125" style="4" bestFit="1" customWidth="1"/>
    <col min="1082" max="1082" width="3.28515625" style="4" customWidth="1"/>
    <col min="1083" max="1083" width="8" style="4" customWidth="1"/>
    <col min="1084" max="1084" width="42.5703125" style="4" bestFit="1" customWidth="1"/>
    <col min="1085" max="1085" width="3.28515625" style="4" customWidth="1"/>
    <col min="1086" max="1086" width="8" style="4" customWidth="1"/>
    <col min="1087" max="1087" width="42.5703125" style="4" bestFit="1" customWidth="1"/>
    <col min="1088" max="1088" width="3.28515625" style="4" customWidth="1"/>
    <col min="1089" max="1089" width="8" style="4" customWidth="1"/>
    <col min="1090" max="1090" width="42.5703125" style="4" bestFit="1" customWidth="1"/>
    <col min="1091" max="1091" width="3.28515625" style="4" customWidth="1"/>
    <col min="1092" max="1092" width="8" style="4" customWidth="1"/>
    <col min="1093" max="1093" width="42.5703125" style="4" bestFit="1" customWidth="1"/>
    <col min="1094" max="1094" width="3.28515625" style="4" customWidth="1"/>
    <col min="1095" max="1095" width="8" style="4" customWidth="1"/>
    <col min="1096" max="1096" width="42.5703125" style="4" bestFit="1" customWidth="1"/>
    <col min="1097" max="1097" width="3.28515625" style="4" customWidth="1"/>
    <col min="1098" max="1098" width="8" style="4" customWidth="1"/>
    <col min="1099" max="1099" width="42.5703125" style="4" bestFit="1" customWidth="1"/>
    <col min="1100" max="1100" width="3.28515625" style="4" customWidth="1"/>
    <col min="1101" max="1101" width="8" style="4" customWidth="1"/>
    <col min="1102" max="1102" width="42.5703125" style="4" bestFit="1" customWidth="1"/>
    <col min="1103" max="1103" width="3.28515625" style="4" customWidth="1"/>
    <col min="1104" max="1104" width="8" style="4" customWidth="1"/>
    <col min="1105" max="1105" width="42.5703125" style="4" bestFit="1" customWidth="1"/>
    <col min="1106" max="1106" width="3.28515625" style="4" customWidth="1"/>
    <col min="1107" max="1107" width="8" style="4" customWidth="1"/>
    <col min="1108" max="1108" width="42.5703125" style="4" bestFit="1" customWidth="1"/>
    <col min="1109" max="1109" width="3.28515625" style="4" customWidth="1"/>
    <col min="1110" max="1110" width="8" style="4" customWidth="1"/>
    <col min="1111" max="1111" width="42.5703125" style="4" bestFit="1" customWidth="1"/>
    <col min="1112" max="1112" width="3.28515625" style="4" customWidth="1"/>
    <col min="1113" max="1113" width="8" style="4" customWidth="1"/>
    <col min="1114" max="1114" width="42.5703125" style="4" bestFit="1" customWidth="1"/>
    <col min="1115" max="1115" width="3.28515625" style="4" customWidth="1"/>
    <col min="1116" max="1116" width="8" style="4" customWidth="1"/>
    <col min="1117" max="1117" width="42.5703125" style="4" bestFit="1" customWidth="1"/>
    <col min="1118" max="1118" width="3.28515625" style="4" customWidth="1"/>
    <col min="1119" max="1119" width="8" style="4" customWidth="1"/>
    <col min="1120" max="1120" width="42.5703125" style="4" bestFit="1" customWidth="1"/>
    <col min="1121" max="1121" width="3.28515625" style="4" customWidth="1"/>
    <col min="1122" max="1122" width="8" style="4" customWidth="1"/>
    <col min="1123" max="1123" width="42.5703125" style="4" bestFit="1" customWidth="1"/>
    <col min="1124" max="1124" width="3.28515625" style="4" customWidth="1"/>
    <col min="1125" max="1125" width="8" style="4" customWidth="1"/>
    <col min="1126" max="1126" width="42.5703125" style="4" bestFit="1" customWidth="1"/>
    <col min="1127" max="1127" width="3.28515625" style="4" customWidth="1"/>
    <col min="1128" max="1128" width="8" style="4" customWidth="1"/>
    <col min="1129" max="1129" width="42.5703125" style="4" bestFit="1" customWidth="1"/>
    <col min="1130" max="1130" width="3.28515625" style="4" customWidth="1"/>
    <col min="1131" max="1131" width="8" style="4" customWidth="1"/>
    <col min="1132" max="1132" width="42.5703125" style="4" bestFit="1" customWidth="1"/>
    <col min="1133" max="1133" width="3.28515625" style="4" customWidth="1"/>
    <col min="1134" max="1134" width="8" style="4" customWidth="1"/>
    <col min="1135" max="1135" width="42.5703125" style="4" bestFit="1" customWidth="1"/>
    <col min="1136" max="1136" width="3.28515625" style="4" customWidth="1"/>
    <col min="1137" max="1137" width="8" style="4" customWidth="1"/>
    <col min="1138" max="1138" width="42.5703125" style="4" bestFit="1" customWidth="1"/>
    <col min="1139" max="1139" width="3.28515625" style="4" customWidth="1"/>
    <col min="1140" max="1140" width="8" style="4" customWidth="1"/>
    <col min="1141" max="1141" width="42.5703125" style="4" bestFit="1" customWidth="1"/>
    <col min="1142" max="1142" width="3.28515625" style="4" customWidth="1"/>
    <col min="1143" max="1143" width="8" style="4" customWidth="1"/>
    <col min="1144" max="1144" width="42.5703125" style="4" bestFit="1" customWidth="1"/>
    <col min="1145" max="1145" width="3.28515625" style="4" customWidth="1"/>
    <col min="1146" max="1146" width="8" style="4" customWidth="1"/>
    <col min="1147" max="1147" width="42.5703125" style="4" bestFit="1" customWidth="1"/>
    <col min="1148" max="1148" width="3.28515625" style="4" customWidth="1"/>
    <col min="1149" max="1149" width="8" style="4" customWidth="1"/>
    <col min="1150" max="1150" width="42.5703125" style="4" bestFit="1" customWidth="1"/>
    <col min="1151" max="1151" width="3.28515625" style="4" customWidth="1"/>
    <col min="1152" max="1152" width="8" style="4" customWidth="1"/>
    <col min="1153" max="1153" width="42.5703125" style="4" bestFit="1" customWidth="1"/>
    <col min="1154" max="1154" width="3.28515625" style="4" customWidth="1"/>
    <col min="1155" max="1155" width="8" style="4" customWidth="1"/>
    <col min="1156" max="1156" width="42.5703125" style="4" bestFit="1" customWidth="1"/>
    <col min="1157" max="1157" width="3.28515625" style="4" customWidth="1"/>
    <col min="1158" max="1158" width="8" style="4" customWidth="1"/>
    <col min="1159" max="1159" width="42.5703125" style="4" bestFit="1" customWidth="1"/>
    <col min="1160" max="1160" width="3.28515625" style="4" customWidth="1"/>
    <col min="1161" max="1161" width="8" style="4" customWidth="1"/>
    <col min="1162" max="1162" width="42.5703125" style="4" bestFit="1" customWidth="1"/>
    <col min="1163" max="1163" width="3.28515625" style="4" customWidth="1"/>
    <col min="1164" max="1164" width="8" style="4" customWidth="1"/>
    <col min="1165" max="1165" width="42.5703125" style="4" bestFit="1" customWidth="1"/>
    <col min="1166" max="1166" width="3.28515625" style="4" customWidth="1"/>
    <col min="1167" max="1167" width="8" style="4" customWidth="1"/>
    <col min="1168" max="1168" width="42.5703125" style="4" bestFit="1" customWidth="1"/>
    <col min="1169" max="1169" width="3.28515625" style="4" customWidth="1"/>
    <col min="1170" max="1170" width="8" style="4" customWidth="1"/>
    <col min="1171" max="1171" width="42.5703125" style="4" bestFit="1" customWidth="1"/>
    <col min="1172" max="1172" width="3.28515625" style="4" customWidth="1"/>
    <col min="1173" max="1173" width="8" style="4" customWidth="1"/>
    <col min="1174" max="1174" width="42.5703125" style="4" bestFit="1" customWidth="1"/>
    <col min="1175" max="1175" width="3.28515625" style="4" customWidth="1"/>
    <col min="1176" max="1176" width="8" style="4" customWidth="1"/>
    <col min="1177" max="1177" width="42.5703125" style="4" bestFit="1" customWidth="1"/>
    <col min="1178" max="1178" width="3.28515625" style="4" customWidth="1"/>
    <col min="1179" max="1179" width="8" style="4" customWidth="1"/>
    <col min="1180" max="1180" width="42.5703125" style="4" bestFit="1" customWidth="1"/>
    <col min="1181" max="1181" width="3.28515625" style="4" customWidth="1"/>
    <col min="1182" max="1182" width="8" style="4" customWidth="1"/>
    <col min="1183" max="1183" width="42.5703125" style="4" bestFit="1" customWidth="1"/>
    <col min="1184" max="1184" width="3.28515625" style="4" customWidth="1"/>
    <col min="1185" max="1185" width="8" style="4" customWidth="1"/>
    <col min="1186" max="1186" width="42.5703125" style="4" bestFit="1" customWidth="1"/>
    <col min="1187" max="1187" width="3.28515625" style="4" customWidth="1"/>
    <col min="1188" max="1188" width="8" style="4" customWidth="1"/>
    <col min="1189" max="1189" width="42.5703125" style="4" bestFit="1" customWidth="1"/>
    <col min="1190" max="1190" width="3.28515625" style="4" customWidth="1"/>
    <col min="1191" max="1191" width="8" style="4" customWidth="1"/>
    <col min="1192" max="1192" width="42.5703125" style="4" bestFit="1" customWidth="1"/>
    <col min="1193" max="1193" width="3.28515625" style="4" customWidth="1"/>
    <col min="1194" max="1194" width="8" style="4" customWidth="1"/>
    <col min="1195" max="1195" width="42.5703125" style="4" bestFit="1" customWidth="1"/>
    <col min="1196" max="1196" width="3.28515625" style="4" customWidth="1"/>
    <col min="1197" max="1197" width="8" style="4" customWidth="1"/>
    <col min="1198" max="1198" width="42.5703125" style="4" bestFit="1" customWidth="1"/>
    <col min="1199" max="1199" width="3.28515625" style="4" customWidth="1"/>
    <col min="1200" max="1200" width="8" style="4" customWidth="1"/>
    <col min="1201" max="1201" width="42.5703125" style="4" bestFit="1" customWidth="1"/>
    <col min="1202" max="1202" width="3.28515625" style="4" customWidth="1"/>
    <col min="1203" max="1203" width="8" style="4" customWidth="1"/>
    <col min="1204" max="1204" width="42.5703125" style="4" bestFit="1" customWidth="1"/>
    <col min="1205" max="1205" width="3.28515625" style="4" customWidth="1"/>
    <col min="1206" max="1206" width="8" style="4" customWidth="1"/>
    <col min="1207" max="1207" width="42.5703125" style="4" bestFit="1" customWidth="1"/>
    <col min="1208" max="1208" width="3.28515625" style="4" customWidth="1"/>
    <col min="1209" max="1209" width="8" style="4" customWidth="1"/>
    <col min="1210" max="1210" width="42.5703125" style="4" bestFit="1" customWidth="1"/>
    <col min="1211" max="1211" width="3.28515625" style="4" customWidth="1"/>
    <col min="1212" max="1212" width="8" style="4" customWidth="1"/>
    <col min="1213" max="1213" width="42.5703125" style="4" bestFit="1" customWidth="1"/>
    <col min="1214" max="1214" width="3.28515625" style="4" customWidth="1"/>
    <col min="1215" max="1215" width="8" style="4" customWidth="1"/>
    <col min="1216" max="1216" width="42.5703125" style="4" bestFit="1" customWidth="1"/>
    <col min="1217" max="1217" width="3.28515625" style="4" customWidth="1"/>
    <col min="1218" max="1218" width="8" style="4" customWidth="1"/>
    <col min="1219" max="1219" width="42.5703125" style="4" bestFit="1" customWidth="1"/>
    <col min="1220" max="1220" width="3.28515625" style="4" customWidth="1"/>
    <col min="1221" max="1221" width="8" style="4" customWidth="1"/>
    <col min="1222" max="1222" width="42.5703125" style="4" bestFit="1" customWidth="1"/>
    <col min="1223" max="1223" width="3.28515625" style="4" customWidth="1"/>
    <col min="1224" max="1224" width="8" style="4" customWidth="1"/>
    <col min="1225" max="1225" width="42.5703125" style="4" bestFit="1" customWidth="1"/>
    <col min="1226" max="1226" width="3.28515625" style="4" customWidth="1"/>
    <col min="1227" max="1227" width="8" style="4" customWidth="1"/>
    <col min="1228" max="1228" width="42.5703125" style="4" bestFit="1" customWidth="1"/>
    <col min="1229" max="1229" width="3.28515625" style="4" customWidth="1"/>
    <col min="1230" max="1230" width="8" style="4" customWidth="1"/>
    <col min="1231" max="1231" width="42.5703125" style="4" bestFit="1" customWidth="1"/>
    <col min="1232" max="1232" width="3.28515625" style="4" customWidth="1"/>
    <col min="1233" max="1233" width="8" style="4" customWidth="1"/>
    <col min="1234" max="1234" width="42.5703125" style="4" bestFit="1" customWidth="1"/>
    <col min="1235" max="1235" width="3.28515625" style="4" customWidth="1"/>
    <col min="1236" max="1236" width="8" style="4" customWidth="1"/>
    <col min="1237" max="1237" width="42.5703125" style="4" bestFit="1" customWidth="1"/>
    <col min="1238" max="1238" width="3.28515625" style="4" customWidth="1"/>
    <col min="1239" max="1239" width="8" style="4" customWidth="1"/>
    <col min="1240" max="1240" width="42.5703125" style="4" bestFit="1" customWidth="1"/>
    <col min="1241" max="1241" width="3.28515625" style="4" customWidth="1"/>
    <col min="1242" max="1242" width="8" style="4" customWidth="1"/>
    <col min="1243" max="1243" width="42.5703125" style="4" bestFit="1" customWidth="1"/>
    <col min="1244" max="1244" width="3.28515625" style="4" customWidth="1"/>
    <col min="1245" max="1245" width="8" style="4" customWidth="1"/>
    <col min="1246" max="1246" width="42.5703125" style="4" bestFit="1" customWidth="1"/>
    <col min="1247" max="1247" width="3.28515625" style="4" customWidth="1"/>
    <col min="1248" max="1248" width="8" style="4" customWidth="1"/>
    <col min="1249" max="1249" width="42.5703125" style="4" bestFit="1" customWidth="1"/>
    <col min="1250" max="1250" width="3.28515625" style="4" customWidth="1"/>
    <col min="1251" max="1251" width="8" style="4" customWidth="1"/>
    <col min="1252" max="1252" width="42.5703125" style="4" bestFit="1" customWidth="1"/>
    <col min="1253" max="1253" width="3.28515625" style="4" customWidth="1"/>
    <col min="1254" max="1254" width="8" style="4" customWidth="1"/>
    <col min="1255" max="1255" width="42.5703125" style="4" bestFit="1" customWidth="1"/>
    <col min="1256" max="1256" width="3.28515625" style="4" customWidth="1"/>
    <col min="1257" max="1257" width="8" style="4" customWidth="1"/>
    <col min="1258" max="1258" width="42.5703125" style="4" bestFit="1" customWidth="1"/>
    <col min="1259" max="1259" width="3.28515625" style="4" customWidth="1"/>
    <col min="1260" max="1260" width="8" style="4" customWidth="1"/>
    <col min="1261" max="1261" width="42.5703125" style="4" bestFit="1" customWidth="1"/>
    <col min="1262" max="1262" width="3.28515625" style="4" customWidth="1"/>
    <col min="1263" max="1263" width="8" style="4" customWidth="1"/>
    <col min="1264" max="1264" width="42.5703125" style="4" bestFit="1" customWidth="1"/>
    <col min="1265" max="1265" width="3.28515625" style="4" customWidth="1"/>
    <col min="1266" max="1266" width="8" style="4" customWidth="1"/>
    <col min="1267" max="1267" width="42.5703125" style="4" bestFit="1" customWidth="1"/>
    <col min="1268" max="1268" width="3.28515625" style="4" customWidth="1"/>
    <col min="1269" max="1269" width="8" style="4" customWidth="1"/>
    <col min="1270" max="1270" width="42.5703125" style="4" bestFit="1" customWidth="1"/>
    <col min="1271" max="1271" width="3.28515625" style="4" customWidth="1"/>
    <col min="1272" max="1272" width="8" style="4" customWidth="1"/>
    <col min="1273" max="1273" width="42.5703125" style="4" bestFit="1" customWidth="1"/>
    <col min="1274" max="1274" width="3.28515625" style="4" customWidth="1"/>
    <col min="1275" max="1275" width="8" style="4" customWidth="1"/>
    <col min="1276" max="1276" width="42.5703125" style="4" bestFit="1" customWidth="1"/>
    <col min="1277" max="1277" width="3.28515625" style="4" customWidth="1"/>
    <col min="1278" max="1278" width="8" style="4" customWidth="1"/>
    <col min="1279" max="1279" width="42.5703125" style="4" bestFit="1" customWidth="1"/>
    <col min="1280" max="1280" width="3.28515625" style="4" customWidth="1"/>
    <col min="1281" max="1281" width="8" style="4" customWidth="1"/>
    <col min="1282" max="1282" width="42.5703125" style="4" bestFit="1" customWidth="1"/>
    <col min="1283" max="1283" width="3.28515625" style="4" customWidth="1"/>
    <col min="1284" max="1284" width="8" style="4" customWidth="1"/>
    <col min="1285" max="1285" width="42.5703125" style="4" bestFit="1" customWidth="1"/>
    <col min="1286" max="1286" width="3.28515625" style="4" customWidth="1"/>
    <col min="1287" max="1287" width="8" style="4" customWidth="1"/>
    <col min="1288" max="1288" width="42.5703125" style="4" bestFit="1" customWidth="1"/>
    <col min="1289" max="1289" width="3.28515625" style="4" customWidth="1"/>
    <col min="1290" max="1290" width="8" style="4" customWidth="1"/>
    <col min="1291" max="1291" width="42.5703125" style="4" bestFit="1" customWidth="1"/>
    <col min="1292" max="1292" width="3.28515625" style="4" customWidth="1"/>
    <col min="1293" max="1293" width="8" style="4" customWidth="1"/>
    <col min="1294" max="1294" width="42.5703125" style="4" bestFit="1" customWidth="1"/>
    <col min="1295" max="1295" width="3.28515625" style="4" customWidth="1"/>
    <col min="1296" max="1296" width="8" style="4" customWidth="1"/>
    <col min="1297" max="1297" width="42.5703125" style="4" bestFit="1" customWidth="1"/>
    <col min="1298" max="1298" width="3.28515625" style="4" customWidth="1"/>
    <col min="1299" max="1299" width="8" style="4" customWidth="1"/>
    <col min="1300" max="1300" width="42.5703125" style="4" bestFit="1" customWidth="1"/>
    <col min="1301" max="1301" width="3.28515625" style="4" customWidth="1"/>
    <col min="1302" max="1302" width="8" style="4" customWidth="1"/>
    <col min="1303" max="1303" width="42.5703125" style="4" bestFit="1" customWidth="1"/>
    <col min="1304" max="1304" width="3.28515625" style="4" customWidth="1"/>
    <col min="1305" max="1305" width="8" style="4" customWidth="1"/>
    <col min="1306" max="1306" width="42.5703125" style="4" bestFit="1" customWidth="1"/>
    <col min="1307" max="1307" width="3.28515625" style="4" customWidth="1"/>
    <col min="1308" max="1308" width="8" style="4" customWidth="1"/>
    <col min="1309" max="1309" width="42.5703125" style="4" bestFit="1" customWidth="1"/>
    <col min="1310" max="1310" width="3.28515625" style="4" customWidth="1"/>
    <col min="1311" max="1311" width="8" style="4" customWidth="1"/>
    <col min="1312" max="1312" width="42.5703125" style="4" bestFit="1" customWidth="1"/>
    <col min="1313" max="1313" width="3.28515625" style="4" customWidth="1"/>
    <col min="1314" max="1314" width="8" style="4" customWidth="1"/>
    <col min="1315" max="1315" width="42.5703125" style="4" bestFit="1" customWidth="1"/>
    <col min="1316" max="1316" width="3.28515625" style="4" customWidth="1"/>
    <col min="1317" max="1317" width="8" style="4" customWidth="1"/>
    <col min="1318" max="1318" width="42.5703125" style="4" bestFit="1" customWidth="1"/>
    <col min="1319" max="1319" width="3.28515625" style="4" customWidth="1"/>
    <col min="1320" max="1320" width="8" style="4" customWidth="1"/>
    <col min="1321" max="1321" width="42.5703125" style="4" bestFit="1" customWidth="1"/>
    <col min="1322" max="1322" width="3.28515625" style="4" customWidth="1"/>
    <col min="1323" max="1323" width="8" style="4" customWidth="1"/>
    <col min="1324" max="1324" width="42.5703125" style="4" bestFit="1" customWidth="1"/>
    <col min="1325" max="1325" width="3.28515625" style="4" customWidth="1"/>
    <col min="1326" max="1326" width="8" style="4" customWidth="1"/>
    <col min="1327" max="1327" width="42.5703125" style="4" bestFit="1" customWidth="1"/>
    <col min="1328" max="1328" width="3.28515625" style="4" customWidth="1"/>
    <col min="1329" max="1329" width="8" style="4" customWidth="1"/>
    <col min="1330" max="1330" width="42.5703125" style="4" bestFit="1" customWidth="1"/>
    <col min="1331" max="1331" width="3.28515625" style="4" customWidth="1"/>
    <col min="1332" max="1332" width="8" style="4" customWidth="1"/>
    <col min="1333" max="1333" width="42.5703125" style="4" bestFit="1" customWidth="1"/>
    <col min="1334" max="1334" width="3.28515625" style="4" customWidth="1"/>
    <col min="1335" max="1335" width="8" style="4" customWidth="1"/>
    <col min="1336" max="1336" width="42.5703125" style="4" bestFit="1" customWidth="1"/>
    <col min="1337" max="1337" width="3.28515625" style="4" customWidth="1"/>
    <col min="1338" max="1338" width="8" style="4" customWidth="1"/>
    <col min="1339" max="1339" width="42.5703125" style="4" bestFit="1" customWidth="1"/>
    <col min="1340" max="1340" width="3.28515625" style="4" customWidth="1"/>
    <col min="1341" max="1341" width="8" style="4" customWidth="1"/>
    <col min="1342" max="1342" width="42.5703125" style="4" bestFit="1" customWidth="1"/>
    <col min="1343" max="1343" width="3.28515625" style="4" customWidth="1"/>
    <col min="1344" max="1344" width="8" style="4" customWidth="1"/>
    <col min="1345" max="1345" width="42.5703125" style="4" bestFit="1" customWidth="1"/>
    <col min="1346" max="1346" width="3.28515625" style="4" customWidth="1"/>
    <col min="1347" max="1347" width="8" style="4" customWidth="1"/>
    <col min="1348" max="1348" width="42.5703125" style="4" bestFit="1" customWidth="1"/>
    <col min="1349" max="1349" width="3.28515625" style="4" customWidth="1"/>
    <col min="1350" max="1350" width="8" style="4" customWidth="1"/>
    <col min="1351" max="1351" width="42.5703125" style="4" bestFit="1" customWidth="1"/>
    <col min="1352" max="1352" width="3.28515625" style="4" customWidth="1"/>
    <col min="1353" max="1353" width="8" style="4" customWidth="1"/>
    <col min="1354" max="1354" width="42.5703125" style="4" bestFit="1" customWidth="1"/>
    <col min="1355" max="1355" width="3.28515625" style="4" customWidth="1"/>
    <col min="1356" max="1356" width="8" style="4" customWidth="1"/>
    <col min="1357" max="1357" width="42.5703125" style="4" bestFit="1" customWidth="1"/>
    <col min="1358" max="1358" width="3.28515625" style="4" customWidth="1"/>
    <col min="1359" max="1359" width="8" style="4" customWidth="1"/>
    <col min="1360" max="1360" width="42.5703125" style="4" bestFit="1" customWidth="1"/>
    <col min="1361" max="1361" width="3.28515625" style="4" customWidth="1"/>
    <col min="1362" max="1362" width="8" style="4" customWidth="1"/>
    <col min="1363" max="1363" width="42.5703125" style="4" bestFit="1" customWidth="1"/>
    <col min="1364" max="1364" width="3.28515625" style="4" customWidth="1"/>
    <col min="1365" max="1365" width="8" style="4" customWidth="1"/>
    <col min="1366" max="1366" width="42.5703125" style="4" bestFit="1" customWidth="1"/>
    <col min="1367" max="1367" width="3.28515625" style="4" customWidth="1"/>
    <col min="1368" max="1368" width="8" style="4" customWidth="1"/>
    <col min="1369" max="1369" width="42.5703125" style="4" bestFit="1" customWidth="1"/>
    <col min="1370" max="1370" width="3.28515625" style="4" customWidth="1"/>
    <col min="1371" max="1371" width="8" style="4" customWidth="1"/>
    <col min="1372" max="1372" width="42.5703125" style="4" bestFit="1" customWidth="1"/>
    <col min="1373" max="1373" width="3.28515625" style="4" customWidth="1"/>
    <col min="1374" max="1374" width="8" style="4" customWidth="1"/>
    <col min="1375" max="1375" width="42.5703125" style="4" bestFit="1" customWidth="1"/>
    <col min="1376" max="1376" width="3.28515625" style="4" customWidth="1"/>
    <col min="1377" max="1377" width="8" style="4" customWidth="1"/>
    <col min="1378" max="1378" width="42.5703125" style="4" bestFit="1" customWidth="1"/>
    <col min="1379" max="1379" width="3.28515625" style="4" customWidth="1"/>
    <col min="1380" max="1380" width="8" style="4" customWidth="1"/>
    <col min="1381" max="1381" width="42.5703125" style="4" bestFit="1" customWidth="1"/>
    <col min="1382" max="1382" width="3.28515625" style="4" customWidth="1"/>
    <col min="1383" max="1383" width="8" style="4" customWidth="1"/>
    <col min="1384" max="1384" width="42.5703125" style="4" bestFit="1" customWidth="1"/>
    <col min="1385" max="1385" width="3.28515625" style="4" customWidth="1"/>
    <col min="1386" max="1386" width="8" style="4" customWidth="1"/>
    <col min="1387" max="1387" width="42.5703125" style="4" bestFit="1" customWidth="1"/>
    <col min="1388" max="1388" width="3.28515625" style="4" customWidth="1"/>
    <col min="1389" max="1389" width="8" style="4" customWidth="1"/>
    <col min="1390" max="1390" width="42.5703125" style="4" bestFit="1" customWidth="1"/>
    <col min="1391" max="1391" width="3.28515625" style="4" customWidth="1"/>
    <col min="1392" max="1392" width="8" style="4" customWidth="1"/>
    <col min="1393" max="1393" width="42.5703125" style="4" bestFit="1" customWidth="1"/>
    <col min="1394" max="1394" width="3.28515625" style="4" customWidth="1"/>
    <col min="1395" max="1395" width="8" style="4" customWidth="1"/>
    <col min="1396" max="1396" width="42.5703125" style="4" bestFit="1" customWidth="1"/>
    <col min="1397" max="1397" width="3.28515625" style="4" customWidth="1"/>
    <col min="1398" max="1398" width="8" style="4" customWidth="1"/>
    <col min="1399" max="1399" width="42.5703125" style="4" bestFit="1" customWidth="1"/>
    <col min="1400" max="1400" width="3.28515625" style="4" customWidth="1"/>
    <col min="1401" max="1401" width="8" style="4" customWidth="1"/>
    <col min="1402" max="1402" width="42.5703125" style="4" bestFit="1" customWidth="1"/>
    <col min="1403" max="1403" width="3.28515625" style="4" customWidth="1"/>
    <col min="1404" max="1404" width="8" style="4" customWidth="1"/>
    <col min="1405" max="1405" width="42.5703125" style="4" bestFit="1" customWidth="1"/>
    <col min="1406" max="1406" width="3.28515625" style="4" customWidth="1"/>
    <col min="1407" max="1407" width="8" style="4" customWidth="1"/>
    <col min="1408" max="1408" width="42.5703125" style="4" bestFit="1" customWidth="1"/>
    <col min="1409" max="1409" width="3.28515625" style="4" customWidth="1"/>
    <col min="1410" max="1410" width="8" style="4" customWidth="1"/>
    <col min="1411" max="1411" width="42.5703125" style="4" bestFit="1" customWidth="1"/>
    <col min="1412" max="1412" width="3.28515625" style="4" customWidth="1"/>
    <col min="1413" max="1413" width="8" style="4" customWidth="1"/>
    <col min="1414" max="1414" width="42.5703125" style="4" bestFit="1" customWidth="1"/>
    <col min="1415" max="1415" width="3.28515625" style="4" customWidth="1"/>
    <col min="1416" max="1416" width="8" style="4" customWidth="1"/>
    <col min="1417" max="1417" width="42.5703125" style="4" bestFit="1" customWidth="1"/>
    <col min="1418" max="1418" width="3.28515625" style="4" customWidth="1"/>
    <col min="1419" max="1419" width="8" style="4" customWidth="1"/>
    <col min="1420" max="1420" width="42.5703125" style="4" bestFit="1" customWidth="1"/>
    <col min="1421" max="1421" width="3.28515625" style="4" customWidth="1"/>
    <col min="1422" max="1422" width="8" style="4" customWidth="1"/>
    <col min="1423" max="1423" width="42.5703125" style="4" bestFit="1" customWidth="1"/>
    <col min="1424" max="1424" width="3.28515625" style="4" customWidth="1"/>
    <col min="1425" max="1425" width="8" style="4" customWidth="1"/>
    <col min="1426" max="1426" width="42.5703125" style="4" bestFit="1" customWidth="1"/>
    <col min="1427" max="1427" width="3.28515625" style="4" customWidth="1"/>
    <col min="1428" max="1428" width="8" style="4" customWidth="1"/>
    <col min="1429" max="1429" width="42.5703125" style="4" bestFit="1" customWidth="1"/>
    <col min="1430" max="1430" width="3.28515625" style="4" customWidth="1"/>
    <col min="1431" max="1431" width="8" style="4" customWidth="1"/>
    <col min="1432" max="1432" width="42.5703125" style="4" bestFit="1" customWidth="1"/>
    <col min="1433" max="1433" width="3.28515625" style="4" customWidth="1"/>
    <col min="1434" max="1434" width="8" style="4" customWidth="1"/>
    <col min="1435" max="1435" width="42.5703125" style="4" bestFit="1" customWidth="1"/>
    <col min="1436" max="1436" width="3.28515625" style="4" customWidth="1"/>
    <col min="1437" max="1437" width="8" style="4" customWidth="1"/>
    <col min="1438" max="1438" width="42.5703125" style="4" bestFit="1" customWidth="1"/>
    <col min="1439" max="1439" width="3.28515625" style="4" customWidth="1"/>
    <col min="1440" max="1440" width="8" style="4" customWidth="1"/>
    <col min="1441" max="1441" width="42.5703125" style="4" bestFit="1" customWidth="1"/>
    <col min="1442" max="1442" width="3.28515625" style="4" customWidth="1"/>
    <col min="1443" max="1443" width="8" style="4" customWidth="1"/>
    <col min="1444" max="1444" width="42.5703125" style="4" bestFit="1" customWidth="1"/>
    <col min="1445" max="1445" width="3.28515625" style="4" customWidth="1"/>
    <col min="1446" max="1446" width="8" style="4" customWidth="1"/>
    <col min="1447" max="1447" width="42.5703125" style="4" bestFit="1" customWidth="1"/>
    <col min="1448" max="1448" width="3.28515625" style="4" customWidth="1"/>
    <col min="1449" max="1449" width="8" style="4" customWidth="1"/>
    <col min="1450" max="1450" width="42.5703125" style="4" bestFit="1" customWidth="1"/>
    <col min="1451" max="1451" width="3.28515625" style="4" customWidth="1"/>
    <col min="1452" max="1452" width="8" style="4" customWidth="1"/>
    <col min="1453" max="1453" width="42.5703125" style="4" bestFit="1" customWidth="1"/>
    <col min="1454" max="1454" width="3.28515625" style="4" customWidth="1"/>
    <col min="1455" max="1455" width="8" style="4" customWidth="1"/>
    <col min="1456" max="1456" width="42.5703125" style="4" bestFit="1" customWidth="1"/>
    <col min="1457" max="1457" width="3.28515625" style="4" customWidth="1"/>
    <col min="1458" max="1458" width="8" style="4" customWidth="1"/>
    <col min="1459" max="1459" width="42.5703125" style="4" bestFit="1" customWidth="1"/>
    <col min="1460" max="1460" width="3.28515625" style="4" customWidth="1"/>
    <col min="1461" max="1461" width="8" style="4" customWidth="1"/>
    <col min="1462" max="1462" width="42.5703125" style="4" bestFit="1" customWidth="1"/>
    <col min="1463" max="1463" width="3.28515625" style="4" customWidth="1"/>
    <col min="1464" max="1464" width="8" style="4" customWidth="1"/>
    <col min="1465" max="1465" width="42.5703125" style="4" bestFit="1" customWidth="1"/>
    <col min="1466" max="1466" width="3.28515625" style="4" customWidth="1"/>
    <col min="1467" max="1467" width="8" style="4" customWidth="1"/>
    <col min="1468" max="1468" width="42.5703125" style="4" bestFit="1" customWidth="1"/>
    <col min="1469" max="1469" width="3.28515625" style="4" customWidth="1"/>
    <col min="1470" max="1470" width="8" style="4" customWidth="1"/>
    <col min="1471" max="1471" width="42.5703125" style="4" bestFit="1" customWidth="1"/>
    <col min="1472" max="1472" width="3.28515625" style="4" customWidth="1"/>
    <col min="1473" max="1473" width="8" style="4" customWidth="1"/>
    <col min="1474" max="1474" width="42.5703125" style="4" bestFit="1" customWidth="1"/>
    <col min="1475" max="1475" width="3.28515625" style="4" customWidth="1"/>
    <col min="1476" max="1476" width="8" style="4" customWidth="1"/>
    <col min="1477" max="1477" width="42.5703125" style="4" bestFit="1" customWidth="1"/>
    <col min="1478" max="1478" width="3.28515625" style="4" customWidth="1"/>
    <col min="1479" max="1479" width="8" style="4" customWidth="1"/>
    <col min="1480" max="1480" width="42.5703125" style="4" bestFit="1" customWidth="1"/>
    <col min="1481" max="1481" width="3.28515625" style="4" customWidth="1"/>
    <col min="1482" max="1482" width="8" style="4" customWidth="1"/>
    <col min="1483" max="1483" width="42.5703125" style="4" bestFit="1" customWidth="1"/>
    <col min="1484" max="1484" width="3.28515625" style="4" customWidth="1"/>
    <col min="1485" max="1485" width="8" style="4" customWidth="1"/>
    <col min="1486" max="1486" width="42.5703125" style="4" bestFit="1" customWidth="1"/>
    <col min="1487" max="1487" width="3.28515625" style="4" customWidth="1"/>
    <col min="1488" max="1488" width="8" style="4" customWidth="1"/>
    <col min="1489" max="1489" width="42.5703125" style="4" bestFit="1" customWidth="1"/>
    <col min="1490" max="1490" width="3.28515625" style="4" customWidth="1"/>
    <col min="1491" max="1491" width="8" style="4" customWidth="1"/>
    <col min="1492" max="1492" width="42.5703125" style="4" bestFit="1" customWidth="1"/>
    <col min="1493" max="1493" width="3.28515625" style="4" customWidth="1"/>
    <col min="1494" max="1494" width="8" style="4" customWidth="1"/>
    <col min="1495" max="1495" width="42.5703125" style="4" bestFit="1" customWidth="1"/>
    <col min="1496" max="1496" width="3.28515625" style="4" customWidth="1"/>
    <col min="1497" max="1497" width="8" style="4" customWidth="1"/>
    <col min="1498" max="1498" width="42.5703125" style="4" bestFit="1" customWidth="1"/>
    <col min="1499" max="1499" width="3.28515625" style="4" customWidth="1"/>
    <col min="1500" max="1500" width="8" style="4" customWidth="1"/>
    <col min="1501" max="1501" width="42.5703125" style="4" bestFit="1" customWidth="1"/>
    <col min="1502" max="1502" width="3.28515625" style="4" customWidth="1"/>
    <col min="1503" max="1503" width="8" style="4" customWidth="1"/>
    <col min="1504" max="1504" width="42.5703125" style="4" bestFit="1" customWidth="1"/>
    <col min="1505" max="1505" width="3.28515625" style="4" customWidth="1"/>
    <col min="1506" max="1506" width="8" style="4" customWidth="1"/>
    <col min="1507" max="1507" width="42.5703125" style="4" bestFit="1" customWidth="1"/>
    <col min="1508" max="1508" width="3.28515625" style="4" customWidth="1"/>
    <col min="1509" max="1509" width="8" style="4" customWidth="1"/>
    <col min="1510" max="1510" width="42.5703125" style="4" bestFit="1" customWidth="1"/>
    <col min="1511" max="1511" width="3.28515625" style="4" customWidth="1"/>
    <col min="1512" max="1512" width="8" style="4" customWidth="1"/>
    <col min="1513" max="1513" width="42.5703125" style="4" bestFit="1" customWidth="1"/>
    <col min="1514" max="1514" width="3.28515625" style="4" customWidth="1"/>
    <col min="1515" max="1515" width="8" style="4" customWidth="1"/>
    <col min="1516" max="1516" width="42.5703125" style="4" bestFit="1" customWidth="1"/>
    <col min="1517" max="1517" width="3.28515625" style="4" customWidth="1"/>
    <col min="1518" max="1518" width="8" style="4" customWidth="1"/>
    <col min="1519" max="1519" width="42.5703125" style="4" bestFit="1" customWidth="1"/>
    <col min="1520" max="1520" width="3.28515625" style="4" customWidth="1"/>
    <col min="1521" max="1521" width="8" style="4" customWidth="1"/>
    <col min="1522" max="1522" width="42.5703125" style="4" bestFit="1" customWidth="1"/>
    <col min="1523" max="1523" width="3.28515625" style="4" customWidth="1"/>
    <col min="1524" max="1524" width="8" style="4" customWidth="1"/>
    <col min="1525" max="1525" width="42.5703125" style="4" bestFit="1" customWidth="1"/>
    <col min="1526" max="1526" width="3.28515625" style="4" customWidth="1"/>
    <col min="1527" max="1527" width="8" style="4" customWidth="1"/>
    <col min="1528" max="1528" width="42.5703125" style="4" bestFit="1" customWidth="1"/>
    <col min="1529" max="1529" width="3.28515625" style="4" customWidth="1"/>
    <col min="1530" max="1530" width="8" style="4" customWidth="1"/>
    <col min="1531" max="1531" width="42.5703125" style="4" bestFit="1" customWidth="1"/>
    <col min="1532" max="1532" width="3.28515625" style="4" customWidth="1"/>
    <col min="1533" max="1533" width="8" style="4" customWidth="1"/>
    <col min="1534" max="1534" width="42.5703125" style="4" bestFit="1" customWidth="1"/>
    <col min="1535" max="1535" width="3.28515625" style="4" customWidth="1"/>
    <col min="1536" max="1536" width="8" style="4" customWidth="1"/>
    <col min="1537" max="1537" width="42.5703125" style="4" bestFit="1" customWidth="1"/>
    <col min="1538" max="1538" width="3.28515625" style="4" customWidth="1"/>
    <col min="1539" max="1539" width="8" style="4" customWidth="1"/>
    <col min="1540" max="1540" width="42.5703125" style="4" bestFit="1" customWidth="1"/>
    <col min="1541" max="1541" width="3.28515625" style="4" customWidth="1"/>
    <col min="1542" max="1542" width="8" style="4" customWidth="1"/>
    <col min="1543" max="1543" width="42.5703125" style="4" bestFit="1" customWidth="1"/>
    <col min="1544" max="1544" width="3.28515625" style="4" customWidth="1"/>
    <col min="1545" max="1545" width="8" style="4" customWidth="1"/>
    <col min="1546" max="1546" width="42.5703125" style="4" bestFit="1" customWidth="1"/>
    <col min="1547" max="1547" width="3.28515625" style="4" customWidth="1"/>
    <col min="1548" max="1548" width="8" style="4" customWidth="1"/>
    <col min="1549" max="1549" width="42.5703125" style="4" bestFit="1" customWidth="1"/>
    <col min="1550" max="1550" width="3.28515625" style="4" customWidth="1"/>
    <col min="1551" max="1551" width="8" style="4" customWidth="1"/>
    <col min="1552" max="1552" width="42.5703125" style="4" bestFit="1" customWidth="1"/>
    <col min="1553" max="1553" width="3.28515625" style="4" customWidth="1"/>
    <col min="1554" max="1554" width="8" style="4" customWidth="1"/>
    <col min="1555" max="1555" width="42.5703125" style="4" bestFit="1" customWidth="1"/>
    <col min="1556" max="1556" width="3.28515625" style="4" customWidth="1"/>
    <col min="1557" max="1557" width="8" style="4" customWidth="1"/>
    <col min="1558" max="1558" width="42.5703125" style="4" bestFit="1" customWidth="1"/>
    <col min="1559" max="1559" width="3.28515625" style="4" customWidth="1"/>
    <col min="1560" max="1560" width="8" style="4" customWidth="1"/>
    <col min="1561" max="1561" width="42.5703125" style="4" bestFit="1" customWidth="1"/>
    <col min="1562" max="1562" width="3.28515625" style="4" customWidth="1"/>
    <col min="1563" max="1563" width="8" style="4" customWidth="1"/>
    <col min="1564" max="1564" width="42.5703125" style="4" bestFit="1" customWidth="1"/>
    <col min="1565" max="1565" width="3.28515625" style="4" customWidth="1"/>
    <col min="1566" max="1566" width="8" style="4" customWidth="1"/>
    <col min="1567" max="1567" width="42.5703125" style="4" bestFit="1" customWidth="1"/>
    <col min="1568" max="1568" width="3.28515625" style="4" customWidth="1"/>
    <col min="1569" max="1569" width="8" style="4" customWidth="1"/>
    <col min="1570" max="1570" width="42.5703125" style="4" bestFit="1" customWidth="1"/>
    <col min="1571" max="1571" width="3.28515625" style="4" customWidth="1"/>
    <col min="1572" max="1572" width="8" style="4" customWidth="1"/>
    <col min="1573" max="1573" width="42.5703125" style="4" bestFit="1" customWidth="1"/>
    <col min="1574" max="1574" width="3.28515625" style="4" customWidth="1"/>
    <col min="1575" max="1575" width="8" style="4" customWidth="1"/>
    <col min="1576" max="1576" width="42.5703125" style="4" bestFit="1" customWidth="1"/>
    <col min="1577" max="1577" width="3.28515625" style="4" customWidth="1"/>
    <col min="1578" max="1578" width="8" style="4" customWidth="1"/>
    <col min="1579" max="1579" width="42.5703125" style="4" bestFit="1" customWidth="1"/>
    <col min="1580" max="1580" width="3.28515625" style="4" customWidth="1"/>
    <col min="1581" max="1581" width="8" style="4" customWidth="1"/>
    <col min="1582" max="1582" width="42.5703125" style="4" bestFit="1" customWidth="1"/>
    <col min="1583" max="1583" width="3.28515625" style="4" customWidth="1"/>
    <col min="1584" max="1584" width="8" style="4" customWidth="1"/>
    <col min="1585" max="1585" width="42.5703125" style="4" bestFit="1" customWidth="1"/>
    <col min="1586" max="1586" width="3.28515625" style="4" customWidth="1"/>
    <col min="1587" max="1587" width="8" style="4" customWidth="1"/>
    <col min="1588" max="1588" width="42.5703125" style="4" bestFit="1" customWidth="1"/>
    <col min="1589" max="1589" width="3.28515625" style="4" customWidth="1"/>
    <col min="1590" max="1590" width="8" style="4" customWidth="1"/>
    <col min="1591" max="1591" width="42.5703125" style="4" bestFit="1" customWidth="1"/>
    <col min="1592" max="1592" width="3.28515625" style="4" customWidth="1"/>
    <col min="1593" max="1593" width="8" style="4" customWidth="1"/>
    <col min="1594" max="1594" width="42.5703125" style="4" bestFit="1" customWidth="1"/>
    <col min="1595" max="1595" width="3.28515625" style="4" customWidth="1"/>
    <col min="1596" max="1596" width="8" style="4" customWidth="1"/>
    <col min="1597" max="1597" width="42.5703125" style="4" bestFit="1" customWidth="1"/>
    <col min="1598" max="1598" width="3.28515625" style="4" customWidth="1"/>
    <col min="1599" max="1599" width="8" style="4" customWidth="1"/>
    <col min="1600" max="1600" width="42.5703125" style="4" bestFit="1" customWidth="1"/>
    <col min="1601" max="1601" width="3.28515625" style="4" customWidth="1"/>
    <col min="1602" max="1602" width="8" style="4" customWidth="1"/>
    <col min="1603" max="1603" width="42.5703125" style="4" bestFit="1" customWidth="1"/>
    <col min="1604" max="1604" width="3.28515625" style="4" customWidth="1"/>
    <col min="1605" max="1605" width="8" style="4" customWidth="1"/>
    <col min="1606" max="1606" width="42.5703125" style="4" bestFit="1" customWidth="1"/>
    <col min="1607" max="1607" width="3.28515625" style="4" customWidth="1"/>
    <col min="1608" max="1608" width="8" style="4" customWidth="1"/>
    <col min="1609" max="1609" width="42.5703125" style="4" bestFit="1" customWidth="1"/>
    <col min="1610" max="1610" width="3.28515625" style="4" customWidth="1"/>
    <col min="1611" max="1611" width="8" style="4" customWidth="1"/>
    <col min="1612" max="1612" width="42.5703125" style="4" bestFit="1" customWidth="1"/>
    <col min="1613" max="1613" width="3.28515625" style="4" customWidth="1"/>
    <col min="1614" max="1614" width="8" style="4" customWidth="1"/>
    <col min="1615" max="1615" width="42.5703125" style="4" bestFit="1" customWidth="1"/>
    <col min="1616" max="1616" width="3.28515625" style="4" customWidth="1"/>
    <col min="1617" max="1617" width="8" style="4" customWidth="1"/>
    <col min="1618" max="1618" width="42.5703125" style="4" bestFit="1" customWidth="1"/>
    <col min="1619" max="1619" width="3.28515625" style="4" customWidth="1"/>
    <col min="1620" max="1620" width="8" style="4" customWidth="1"/>
    <col min="1621" max="1621" width="42.5703125" style="4" bestFit="1" customWidth="1"/>
    <col min="1622" max="1622" width="3.28515625" style="4" customWidth="1"/>
    <col min="1623" max="1623" width="8" style="4" customWidth="1"/>
    <col min="1624" max="1624" width="42.5703125" style="4" bestFit="1" customWidth="1"/>
    <col min="1625" max="1625" width="3.28515625" style="4" customWidth="1"/>
    <col min="1626" max="1626" width="8" style="4" customWidth="1"/>
    <col min="1627" max="1627" width="42.5703125" style="4" bestFit="1" customWidth="1"/>
    <col min="1628" max="1628" width="3.28515625" style="4" customWidth="1"/>
    <col min="1629" max="1629" width="8" style="4" customWidth="1"/>
    <col min="1630" max="1630" width="42.5703125" style="4" bestFit="1" customWidth="1"/>
    <col min="1631" max="1631" width="3.28515625" style="4" customWidth="1"/>
    <col min="1632" max="1632" width="8" style="4" customWidth="1"/>
    <col min="1633" max="1633" width="42.5703125" style="4" bestFit="1" customWidth="1"/>
    <col min="1634" max="1634" width="3.28515625" style="4" customWidth="1"/>
    <col min="1635" max="1635" width="8" style="4" customWidth="1"/>
    <col min="1636" max="1636" width="42.5703125" style="4" bestFit="1" customWidth="1"/>
    <col min="1637" max="1637" width="3.28515625" style="4" customWidth="1"/>
    <col min="1638" max="1638" width="8" style="4" customWidth="1"/>
    <col min="1639" max="1639" width="42.5703125" style="4" bestFit="1" customWidth="1"/>
    <col min="1640" max="1640" width="3.28515625" style="4" customWidth="1"/>
    <col min="1641" max="1641" width="8" style="4" customWidth="1"/>
    <col min="1642" max="1642" width="42.5703125" style="4" bestFit="1" customWidth="1"/>
    <col min="1643" max="1643" width="3.28515625" style="4" customWidth="1"/>
    <col min="1644" max="1644" width="8" style="4" customWidth="1"/>
    <col min="1645" max="1645" width="42.5703125" style="4" bestFit="1" customWidth="1"/>
    <col min="1646" max="1646" width="3.28515625" style="4" customWidth="1"/>
    <col min="1647" max="1647" width="8" style="4" customWidth="1"/>
    <col min="1648" max="1648" width="42.5703125" style="4" bestFit="1" customWidth="1"/>
    <col min="1649" max="1649" width="3.28515625" style="4" customWidth="1"/>
    <col min="1650" max="1650" width="8" style="4" customWidth="1"/>
    <col min="1651" max="1651" width="42.5703125" style="4" bestFit="1" customWidth="1"/>
    <col min="1652" max="1652" width="3.28515625" style="4" customWidth="1"/>
    <col min="1653" max="1653" width="8" style="4" customWidth="1"/>
    <col min="1654" max="1654" width="42.5703125" style="4" bestFit="1" customWidth="1"/>
    <col min="1655" max="1655" width="3.28515625" style="4" customWidth="1"/>
    <col min="1656" max="1656" width="8" style="4" customWidth="1"/>
    <col min="1657" max="1657" width="42.5703125" style="4" bestFit="1" customWidth="1"/>
    <col min="1658" max="1658" width="3.28515625" style="4" customWidth="1"/>
    <col min="1659" max="1659" width="8" style="4" customWidth="1"/>
    <col min="1660" max="1660" width="42.5703125" style="4" bestFit="1" customWidth="1"/>
    <col min="1661" max="1661" width="3.28515625" style="4" customWidth="1"/>
    <col min="1662" max="1662" width="8" style="4" customWidth="1"/>
    <col min="1663" max="1663" width="42.5703125" style="4" bestFit="1" customWidth="1"/>
    <col min="1664" max="1664" width="3.28515625" style="4" customWidth="1"/>
    <col min="1665" max="1665" width="8" style="4" customWidth="1"/>
    <col min="1666" max="1666" width="42.5703125" style="4" bestFit="1" customWidth="1"/>
    <col min="1667" max="1667" width="3.28515625" style="4" customWidth="1"/>
    <col min="1668" max="1668" width="8" style="4" customWidth="1"/>
    <col min="1669" max="1669" width="42.5703125" style="4" bestFit="1" customWidth="1"/>
    <col min="1670" max="1670" width="3.28515625" style="4" customWidth="1"/>
    <col min="1671" max="1671" width="8" style="4" customWidth="1"/>
    <col min="1672" max="1672" width="42.5703125" style="4" bestFit="1" customWidth="1"/>
    <col min="1673" max="1673" width="3.28515625" style="4" customWidth="1"/>
    <col min="1674" max="1674" width="8" style="4" customWidth="1"/>
    <col min="1675" max="1675" width="42.5703125" style="4" bestFit="1" customWidth="1"/>
    <col min="1676" max="1676" width="3.28515625" style="4" customWidth="1"/>
    <col min="1677" max="1677" width="8" style="4" customWidth="1"/>
    <col min="1678" max="1678" width="42.5703125" style="4" bestFit="1" customWidth="1"/>
    <col min="1679" max="1679" width="3.28515625" style="4" customWidth="1"/>
    <col min="1680" max="1680" width="8" style="4" customWidth="1"/>
    <col min="1681" max="1681" width="42.5703125" style="4" bestFit="1" customWidth="1"/>
    <col min="1682" max="1682" width="3.28515625" style="4" customWidth="1"/>
    <col min="1683" max="1683" width="8" style="4" customWidth="1"/>
    <col min="1684" max="1684" width="42.5703125" style="4" bestFit="1" customWidth="1"/>
    <col min="1685" max="1685" width="3.28515625" style="4" customWidth="1"/>
    <col min="1686" max="1686" width="8" style="4" customWidth="1"/>
    <col min="1687" max="1687" width="42.5703125" style="4" bestFit="1" customWidth="1"/>
    <col min="1688" max="1688" width="3.28515625" style="4" customWidth="1"/>
    <col min="1689" max="1689" width="8" style="4" customWidth="1"/>
    <col min="1690" max="1690" width="42.5703125" style="4" bestFit="1" customWidth="1"/>
    <col min="1691" max="1691" width="3.28515625" style="4" customWidth="1"/>
    <col min="1692" max="1692" width="8" style="4" customWidth="1"/>
    <col min="1693" max="1693" width="42.5703125" style="4" bestFit="1" customWidth="1"/>
    <col min="1694" max="1694" width="3.28515625" style="4" customWidth="1"/>
    <col min="1695" max="1695" width="8" style="4" customWidth="1"/>
    <col min="1696" max="1696" width="42.5703125" style="4" bestFit="1" customWidth="1"/>
    <col min="1697" max="1697" width="3.28515625" style="4" customWidth="1"/>
    <col min="1698" max="1698" width="8" style="4" customWidth="1"/>
    <col min="1699" max="1699" width="42.5703125" style="4" bestFit="1" customWidth="1"/>
    <col min="1700" max="1700" width="3.28515625" style="4" customWidth="1"/>
    <col min="1701" max="1701" width="8" style="4" customWidth="1"/>
    <col min="1702" max="1702" width="42.5703125" style="4" bestFit="1" customWidth="1"/>
    <col min="1703" max="1703" width="3.28515625" style="4" customWidth="1"/>
    <col min="1704" max="1704" width="8" style="4" customWidth="1"/>
    <col min="1705" max="1705" width="42.5703125" style="4" bestFit="1" customWidth="1"/>
    <col min="1706" max="1706" width="3.28515625" style="4" customWidth="1"/>
    <col min="1707" max="1707" width="8" style="4" customWidth="1"/>
    <col min="1708" max="1708" width="42.5703125" style="4" bestFit="1" customWidth="1"/>
    <col min="1709" max="1709" width="3.28515625" style="4" customWidth="1"/>
    <col min="1710" max="1710" width="8" style="4" customWidth="1"/>
    <col min="1711" max="1711" width="42.5703125" style="4" bestFit="1" customWidth="1"/>
    <col min="1712" max="1712" width="3.28515625" style="4" customWidth="1"/>
    <col min="1713" max="1713" width="8" style="4" customWidth="1"/>
    <col min="1714" max="1714" width="42.5703125" style="4" bestFit="1" customWidth="1"/>
    <col min="1715" max="1715" width="3.28515625" style="4" customWidth="1"/>
    <col min="1716" max="1716" width="8" style="4" customWidth="1"/>
    <col min="1717" max="1717" width="42.5703125" style="4" bestFit="1" customWidth="1"/>
    <col min="1718" max="1718" width="3.28515625" style="4" customWidth="1"/>
    <col min="1719" max="1719" width="8" style="4" customWidth="1"/>
    <col min="1720" max="1720" width="42.5703125" style="4" bestFit="1" customWidth="1"/>
    <col min="1721" max="1721" width="3.28515625" style="4" customWidth="1"/>
    <col min="1722" max="1722" width="8" style="4" customWidth="1"/>
    <col min="1723" max="1723" width="42.5703125" style="4" bestFit="1" customWidth="1"/>
    <col min="1724" max="1724" width="3.28515625" style="4" customWidth="1"/>
    <col min="1725" max="1725" width="8" style="4" customWidth="1"/>
    <col min="1726" max="1726" width="42.5703125" style="4" bestFit="1" customWidth="1"/>
    <col min="1727" max="1727" width="3.28515625" style="4" customWidth="1"/>
    <col min="1728" max="1728" width="8" style="4" customWidth="1"/>
    <col min="1729" max="1729" width="42.5703125" style="4" bestFit="1" customWidth="1"/>
    <col min="1730" max="1730" width="3.28515625" style="4" customWidth="1"/>
    <col min="1731" max="1731" width="8" style="4" customWidth="1"/>
    <col min="1732" max="1732" width="42.5703125" style="4" bestFit="1" customWidth="1"/>
    <col min="1733" max="1733" width="3.28515625" style="4" customWidth="1"/>
    <col min="1734" max="1734" width="8" style="4" customWidth="1"/>
    <col min="1735" max="1735" width="42.5703125" style="4" bestFit="1" customWidth="1"/>
    <col min="1736" max="1736" width="3.28515625" style="4" customWidth="1"/>
    <col min="1737" max="1737" width="8" style="4" customWidth="1"/>
    <col min="1738" max="1738" width="42.5703125" style="4" bestFit="1" customWidth="1"/>
    <col min="1739" max="1739" width="3.28515625" style="4" customWidth="1"/>
    <col min="1740" max="1740" width="8" style="4" customWidth="1"/>
    <col min="1741" max="1741" width="42.5703125" style="4" bestFit="1" customWidth="1"/>
    <col min="1742" max="1742" width="3.28515625" style="4" customWidth="1"/>
    <col min="1743" max="1743" width="8" style="4" customWidth="1"/>
    <col min="1744" max="1744" width="42.5703125" style="4" bestFit="1" customWidth="1"/>
    <col min="1745" max="1745" width="3.28515625" style="4" customWidth="1"/>
    <col min="1746" max="1746" width="8" style="4" customWidth="1"/>
    <col min="1747" max="1747" width="42.5703125" style="4" bestFit="1" customWidth="1"/>
    <col min="1748" max="1748" width="3.28515625" style="4" customWidth="1"/>
    <col min="1749" max="1749" width="8" style="4" customWidth="1"/>
    <col min="1750" max="1750" width="42.5703125" style="4" bestFit="1" customWidth="1"/>
    <col min="1751" max="1751" width="3.28515625" style="4" customWidth="1"/>
    <col min="1752" max="1752" width="8" style="4" customWidth="1"/>
    <col min="1753" max="1753" width="42.5703125" style="4" bestFit="1" customWidth="1"/>
    <col min="1754" max="1754" width="3.28515625" style="4" customWidth="1"/>
    <col min="1755" max="1755" width="8" style="4" customWidth="1"/>
    <col min="1756" max="1756" width="42.5703125" style="4" bestFit="1" customWidth="1"/>
    <col min="1757" max="1757" width="3.28515625" style="4" customWidth="1"/>
    <col min="1758" max="1758" width="8" style="4" customWidth="1"/>
    <col min="1759" max="1759" width="42.5703125" style="4" bestFit="1" customWidth="1"/>
    <col min="1760" max="1760" width="3.28515625" style="4" customWidth="1"/>
    <col min="1761" max="1761" width="8" style="4" customWidth="1"/>
    <col min="1762" max="1762" width="42.5703125" style="4" bestFit="1" customWidth="1"/>
    <col min="1763" max="1763" width="3.28515625" style="4" customWidth="1"/>
    <col min="1764" max="1764" width="8" style="4" customWidth="1"/>
    <col min="1765" max="1765" width="42.5703125" style="4" bestFit="1" customWidth="1"/>
    <col min="1766" max="1766" width="3.28515625" style="4" customWidth="1"/>
    <col min="1767" max="1767" width="8" style="4" customWidth="1"/>
    <col min="1768" max="1768" width="42.5703125" style="4" bestFit="1" customWidth="1"/>
    <col min="1769" max="1769" width="3.28515625" style="4" customWidth="1"/>
    <col min="1770" max="1770" width="8" style="4" customWidth="1"/>
    <col min="1771" max="1771" width="42.5703125" style="4" bestFit="1" customWidth="1"/>
    <col min="1772" max="1772" width="3.28515625" style="4" customWidth="1"/>
    <col min="1773" max="1773" width="8" style="4" customWidth="1"/>
    <col min="1774" max="1774" width="42.5703125" style="4" bestFit="1" customWidth="1"/>
    <col min="1775" max="1775" width="3.28515625" style="4" customWidth="1"/>
    <col min="1776" max="1776" width="8" style="4" customWidth="1"/>
    <col min="1777" max="1777" width="42.5703125" style="4" bestFit="1" customWidth="1"/>
    <col min="1778" max="1778" width="3.28515625" style="4" customWidth="1"/>
    <col min="1779" max="1779" width="8" style="4" customWidth="1"/>
    <col min="1780" max="1780" width="42.5703125" style="4" bestFit="1" customWidth="1"/>
    <col min="1781" max="1781" width="3.28515625" style="4" customWidth="1"/>
    <col min="1782" max="1782" width="8" style="4" customWidth="1"/>
    <col min="1783" max="1783" width="42.5703125" style="4" bestFit="1" customWidth="1"/>
    <col min="1784" max="1784" width="3.28515625" style="4" customWidth="1"/>
    <col min="1785" max="1785" width="8" style="4" customWidth="1"/>
    <col min="1786" max="1786" width="42.5703125" style="4" bestFit="1" customWidth="1"/>
    <col min="1787" max="1787" width="3.28515625" style="4" customWidth="1"/>
    <col min="1788" max="1788" width="8" style="4" customWidth="1"/>
    <col min="1789" max="1789" width="42.5703125" style="4" bestFit="1" customWidth="1"/>
    <col min="1790" max="1790" width="3.28515625" style="4" customWidth="1"/>
    <col min="1791" max="1791" width="8" style="4" customWidth="1"/>
    <col min="1792" max="1792" width="42.5703125" style="4" bestFit="1" customWidth="1"/>
    <col min="1793" max="1793" width="3.28515625" style="4" customWidth="1"/>
    <col min="1794" max="1794" width="8" style="4" customWidth="1"/>
    <col min="1795" max="1795" width="42.5703125" style="4" bestFit="1" customWidth="1"/>
    <col min="1796" max="1796" width="3.28515625" style="4" customWidth="1"/>
    <col min="1797" max="1797" width="8" style="4" customWidth="1"/>
    <col min="1798" max="1798" width="42.5703125" style="4" bestFit="1" customWidth="1"/>
    <col min="1799" max="1799" width="3.28515625" style="4" customWidth="1"/>
    <col min="1800" max="1800" width="8" style="4" customWidth="1"/>
    <col min="1801" max="1801" width="42.5703125" style="4" bestFit="1" customWidth="1"/>
    <col min="1802" max="1802" width="3.28515625" style="4" customWidth="1"/>
    <col min="1803" max="1803" width="8" style="4" customWidth="1"/>
    <col min="1804" max="1804" width="42.5703125" style="4" bestFit="1" customWidth="1"/>
    <col min="1805" max="1805" width="3.28515625" style="4" customWidth="1"/>
    <col min="1806" max="1806" width="8" style="4" customWidth="1"/>
    <col min="1807" max="1807" width="42.5703125" style="4" bestFit="1" customWidth="1"/>
    <col min="1808" max="1808" width="3.28515625" style="4" customWidth="1"/>
    <col min="1809" max="1809" width="8" style="4" customWidth="1"/>
    <col min="1810" max="1810" width="42.5703125" style="4" bestFit="1" customWidth="1"/>
    <col min="1811" max="1811" width="3.28515625" style="4" customWidth="1"/>
    <col min="1812" max="1812" width="8" style="4" customWidth="1"/>
    <col min="1813" max="1813" width="42.5703125" style="4" bestFit="1" customWidth="1"/>
    <col min="1814" max="1814" width="3.28515625" style="4" customWidth="1"/>
    <col min="1815" max="1815" width="8" style="4" customWidth="1"/>
    <col min="1816" max="1816" width="42.5703125" style="4" bestFit="1" customWidth="1"/>
    <col min="1817" max="1817" width="3.28515625" style="4" customWidth="1"/>
    <col min="1818" max="1818" width="8" style="4" customWidth="1"/>
    <col min="1819" max="1819" width="42.5703125" style="4" bestFit="1" customWidth="1"/>
    <col min="1820" max="1820" width="3.28515625" style="4" customWidth="1"/>
    <col min="1821" max="1821" width="8" style="4" customWidth="1"/>
    <col min="1822" max="1822" width="42.5703125" style="4" bestFit="1" customWidth="1"/>
    <col min="1823" max="1823" width="3.28515625" style="4" customWidth="1"/>
    <col min="1824" max="1824" width="8" style="4" customWidth="1"/>
    <col min="1825" max="1825" width="42.5703125" style="4" bestFit="1" customWidth="1"/>
    <col min="1826" max="1826" width="3.28515625" style="4" customWidth="1"/>
    <col min="1827" max="1827" width="8" style="4" customWidth="1"/>
    <col min="1828" max="1828" width="42.5703125" style="4" bestFit="1" customWidth="1"/>
    <col min="1829" max="1829" width="3.28515625" style="4" customWidth="1"/>
    <col min="1830" max="1830" width="8" style="4" customWidth="1"/>
    <col min="1831" max="1831" width="42.5703125" style="4" bestFit="1" customWidth="1"/>
    <col min="1832" max="1832" width="3.28515625" style="4" customWidth="1"/>
    <col min="1833" max="1833" width="8" style="4" customWidth="1"/>
    <col min="1834" max="1834" width="42.5703125" style="4" bestFit="1" customWidth="1"/>
    <col min="1835" max="1835" width="3.28515625" style="4" customWidth="1"/>
    <col min="1836" max="1836" width="8" style="4" customWidth="1"/>
    <col min="1837" max="1837" width="42.5703125" style="4" bestFit="1" customWidth="1"/>
    <col min="1838" max="1838" width="3.28515625" style="4" customWidth="1"/>
    <col min="1839" max="1839" width="8" style="4" customWidth="1"/>
    <col min="1840" max="1840" width="42.5703125" style="4" bestFit="1" customWidth="1"/>
    <col min="1841" max="1841" width="3.28515625" style="4" customWidth="1"/>
    <col min="1842" max="1842" width="8" style="4" customWidth="1"/>
    <col min="1843" max="1843" width="42.5703125" style="4" bestFit="1" customWidth="1"/>
    <col min="1844" max="1844" width="3.28515625" style="4" customWidth="1"/>
    <col min="1845" max="1845" width="8" style="4" customWidth="1"/>
    <col min="1846" max="1846" width="42.5703125" style="4" bestFit="1" customWidth="1"/>
    <col min="1847" max="1847" width="3.28515625" style="4" customWidth="1"/>
    <col min="1848" max="1848" width="8" style="4" customWidth="1"/>
    <col min="1849" max="1849" width="42.5703125" style="4" bestFit="1" customWidth="1"/>
    <col min="1850" max="1850" width="3.28515625" style="4" customWidth="1"/>
    <col min="1851" max="1851" width="8" style="4" customWidth="1"/>
    <col min="1852" max="1852" width="42.5703125" style="4" bestFit="1" customWidth="1"/>
    <col min="1853" max="1853" width="3.28515625" style="4" customWidth="1"/>
    <col min="1854" max="1854" width="8" style="4" customWidth="1"/>
    <col min="1855" max="1855" width="42.5703125" style="4" bestFit="1" customWidth="1"/>
    <col min="1856" max="1856" width="3.28515625" style="4" customWidth="1"/>
    <col min="1857" max="1857" width="8" style="4" customWidth="1"/>
    <col min="1858" max="1858" width="42.5703125" style="4" bestFit="1" customWidth="1"/>
    <col min="1859" max="1859" width="3.28515625" style="4" customWidth="1"/>
    <col min="1860" max="1860" width="8" style="4" customWidth="1"/>
    <col min="1861" max="1861" width="42.5703125" style="4" bestFit="1" customWidth="1"/>
    <col min="1862" max="1862" width="3.28515625" style="4" customWidth="1"/>
    <col min="1863" max="1863" width="8" style="4" customWidth="1"/>
    <col min="1864" max="1864" width="42.5703125" style="4" bestFit="1" customWidth="1"/>
    <col min="1865" max="1865" width="3.28515625" style="4" customWidth="1"/>
    <col min="1866" max="1866" width="8" style="4" customWidth="1"/>
    <col min="1867" max="1867" width="42.5703125" style="4" bestFit="1" customWidth="1"/>
    <col min="1868" max="1868" width="3.28515625" style="4" customWidth="1"/>
    <col min="1869" max="1869" width="8" style="4" customWidth="1"/>
    <col min="1870" max="1870" width="42.5703125" style="4" bestFit="1" customWidth="1"/>
    <col min="1871" max="1871" width="3.28515625" style="4" customWidth="1"/>
    <col min="1872" max="1872" width="8" style="4" customWidth="1"/>
    <col min="1873" max="1873" width="42.5703125" style="4" bestFit="1" customWidth="1"/>
    <col min="1874" max="1874" width="3.28515625" style="4" customWidth="1"/>
    <col min="1875" max="1875" width="8" style="4" customWidth="1"/>
    <col min="1876" max="1876" width="42.5703125" style="4" bestFit="1" customWidth="1"/>
    <col min="1877" max="1877" width="3.28515625" style="4" customWidth="1"/>
    <col min="1878" max="1878" width="8" style="4" customWidth="1"/>
    <col min="1879" max="1879" width="42.5703125" style="4" bestFit="1" customWidth="1"/>
    <col min="1880" max="1880" width="3.28515625" style="4" customWidth="1"/>
    <col min="1881" max="1881" width="8" style="4" customWidth="1"/>
    <col min="1882" max="1882" width="42.5703125" style="4" bestFit="1" customWidth="1"/>
    <col min="1883" max="1883" width="3.28515625" style="4" customWidth="1"/>
    <col min="1884" max="1884" width="8" style="4" customWidth="1"/>
    <col min="1885" max="1885" width="42.5703125" style="4" bestFit="1" customWidth="1"/>
    <col min="1886" max="1886" width="3.28515625" style="4" customWidth="1"/>
    <col min="1887" max="1887" width="8" style="4" customWidth="1"/>
    <col min="1888" max="1888" width="42.5703125" style="4" bestFit="1" customWidth="1"/>
    <col min="1889" max="1889" width="3.28515625" style="4" customWidth="1"/>
    <col min="1890" max="1890" width="8" style="4" customWidth="1"/>
    <col min="1891" max="1891" width="42.5703125" style="4" bestFit="1" customWidth="1"/>
    <col min="1892" max="1892" width="3.28515625" style="4" customWidth="1"/>
    <col min="1893" max="1893" width="8" style="4" customWidth="1"/>
    <col min="1894" max="1894" width="42.5703125" style="4" bestFit="1" customWidth="1"/>
    <col min="1895" max="1895" width="3.28515625" style="4" customWidth="1"/>
    <col min="1896" max="1896" width="8" style="4" customWidth="1"/>
    <col min="1897" max="1897" width="42.5703125" style="4" bestFit="1" customWidth="1"/>
    <col min="1898" max="1898" width="3.28515625" style="4" customWidth="1"/>
    <col min="1899" max="1899" width="8" style="4" customWidth="1"/>
    <col min="1900" max="1900" width="42.5703125" style="4" bestFit="1" customWidth="1"/>
    <col min="1901" max="1901" width="3.28515625" style="4" customWidth="1"/>
    <col min="1902" max="1902" width="8" style="4" customWidth="1"/>
    <col min="1903" max="1903" width="42.5703125" style="4" bestFit="1" customWidth="1"/>
    <col min="1904" max="1904" width="3.28515625" style="4" customWidth="1"/>
    <col min="1905" max="1905" width="8" style="4" customWidth="1"/>
    <col min="1906" max="1906" width="42.5703125" style="4" bestFit="1" customWidth="1"/>
    <col min="1907" max="1907" width="3.28515625" style="4" customWidth="1"/>
    <col min="1908" max="1908" width="8" style="4" customWidth="1"/>
    <col min="1909" max="1909" width="42.5703125" style="4" bestFit="1" customWidth="1"/>
    <col min="1910" max="1910" width="3.28515625" style="4" customWidth="1"/>
    <col min="1911" max="1911" width="8" style="4" customWidth="1"/>
    <col min="1912" max="1912" width="42.5703125" style="4" bestFit="1" customWidth="1"/>
    <col min="1913" max="1913" width="3.28515625" style="4" customWidth="1"/>
    <col min="1914" max="1914" width="8" style="4" customWidth="1"/>
    <col min="1915" max="1915" width="42.5703125" style="4" bestFit="1" customWidth="1"/>
    <col min="1916" max="1916" width="3.28515625" style="4" customWidth="1"/>
    <col min="1917" max="1917" width="8" style="4" customWidth="1"/>
    <col min="1918" max="1918" width="42.5703125" style="4" bestFit="1" customWidth="1"/>
    <col min="1919" max="1919" width="3.28515625" style="4" customWidth="1"/>
    <col min="1920" max="1920" width="8" style="4" customWidth="1"/>
    <col min="1921" max="1921" width="42.5703125" style="4" bestFit="1" customWidth="1"/>
    <col min="1922" max="1922" width="3.28515625" style="4" customWidth="1"/>
    <col min="1923" max="1923" width="8" style="4" customWidth="1"/>
    <col min="1924" max="1924" width="42.5703125" style="4" bestFit="1" customWidth="1"/>
    <col min="1925" max="1925" width="3.28515625" style="4" customWidth="1"/>
    <col min="1926" max="1926" width="8" style="4" customWidth="1"/>
    <col min="1927" max="1927" width="42.5703125" style="4" bestFit="1" customWidth="1"/>
    <col min="1928" max="1928" width="3.28515625" style="4" customWidth="1"/>
    <col min="1929" max="1929" width="8" style="4" customWidth="1"/>
    <col min="1930" max="1930" width="42.5703125" style="4" bestFit="1" customWidth="1"/>
    <col min="1931" max="1931" width="3.28515625" style="4" customWidth="1"/>
    <col min="1932" max="1932" width="8" style="4" customWidth="1"/>
    <col min="1933" max="1933" width="42.5703125" style="4" bestFit="1" customWidth="1"/>
    <col min="1934" max="1934" width="3.28515625" style="4" customWidth="1"/>
    <col min="1935" max="1935" width="8" style="4" customWidth="1"/>
    <col min="1936" max="1936" width="42.5703125" style="4" bestFit="1" customWidth="1"/>
    <col min="1937" max="1937" width="3.28515625" style="4" customWidth="1"/>
    <col min="1938" max="1938" width="8" style="4" customWidth="1"/>
    <col min="1939" max="1939" width="42.5703125" style="4" bestFit="1" customWidth="1"/>
    <col min="1940" max="1940" width="3.28515625" style="4" customWidth="1"/>
    <col min="1941" max="1941" width="8" style="4" customWidth="1"/>
    <col min="1942" max="1942" width="42.5703125" style="4" bestFit="1" customWidth="1"/>
    <col min="1943" max="1943" width="3.28515625" style="4" customWidth="1"/>
    <col min="1944" max="1944" width="8" style="4" customWidth="1"/>
    <col min="1945" max="1945" width="42.5703125" style="4" bestFit="1" customWidth="1"/>
    <col min="1946" max="1946" width="3.28515625" style="4" customWidth="1"/>
    <col min="1947" max="1947" width="8" style="4" customWidth="1"/>
    <col min="1948" max="1948" width="42.5703125" style="4" bestFit="1" customWidth="1"/>
    <col min="1949" max="1949" width="3.28515625" style="4" customWidth="1"/>
    <col min="1950" max="1950" width="8" style="4" customWidth="1"/>
    <col min="1951" max="1951" width="42.5703125" style="4" bestFit="1" customWidth="1"/>
    <col min="1952" max="1952" width="3.28515625" style="4" customWidth="1"/>
    <col min="1953" max="1953" width="8" style="4" customWidth="1"/>
    <col min="1954" max="1954" width="42.5703125" style="4" bestFit="1" customWidth="1"/>
    <col min="1955" max="1955" width="3.28515625" style="4" customWidth="1"/>
    <col min="1956" max="1956" width="8" style="4" customWidth="1"/>
    <col min="1957" max="1957" width="42.5703125" style="4" bestFit="1" customWidth="1"/>
    <col min="1958" max="1958" width="3.28515625" style="4" customWidth="1"/>
    <col min="1959" max="1959" width="8" style="4" customWidth="1"/>
    <col min="1960" max="1960" width="42.5703125" style="4" bestFit="1" customWidth="1"/>
    <col min="1961" max="1961" width="3.28515625" style="4" customWidth="1"/>
    <col min="1962" max="1962" width="8" style="4" customWidth="1"/>
    <col min="1963" max="1963" width="42.5703125" style="4" bestFit="1" customWidth="1"/>
    <col min="1964" max="1964" width="3.28515625" style="4" customWidth="1"/>
    <col min="1965" max="1965" width="8" style="4" customWidth="1"/>
    <col min="1966" max="1966" width="42.5703125" style="4" bestFit="1" customWidth="1"/>
    <col min="1967" max="1967" width="3.28515625" style="4" customWidth="1"/>
    <col min="1968" max="1968" width="8" style="4" customWidth="1"/>
    <col min="1969" max="1969" width="42.5703125" style="4" bestFit="1" customWidth="1"/>
    <col min="1970" max="1970" width="3.28515625" style="4" customWidth="1"/>
    <col min="1971" max="1971" width="8" style="4" customWidth="1"/>
    <col min="1972" max="1972" width="42.5703125" style="4" bestFit="1" customWidth="1"/>
    <col min="1973" max="1973" width="3.28515625" style="4" customWidth="1"/>
    <col min="1974" max="1974" width="8" style="4" customWidth="1"/>
    <col min="1975" max="1975" width="42.5703125" style="4" bestFit="1" customWidth="1"/>
    <col min="1976" max="1976" width="3.28515625" style="4" customWidth="1"/>
    <col min="1977" max="1977" width="8" style="4" customWidth="1"/>
    <col min="1978" max="1978" width="42.5703125" style="4" bestFit="1" customWidth="1"/>
    <col min="1979" max="1979" width="3.28515625" style="4" customWidth="1"/>
    <col min="1980" max="1980" width="8" style="4" customWidth="1"/>
    <col min="1981" max="1981" width="42.5703125" style="4" bestFit="1" customWidth="1"/>
    <col min="1982" max="1982" width="3.28515625" style="4" customWidth="1"/>
    <col min="1983" max="1983" width="8" style="4" customWidth="1"/>
    <col min="1984" max="1984" width="42.5703125" style="4" bestFit="1" customWidth="1"/>
    <col min="1985" max="1985" width="3.28515625" style="4" customWidth="1"/>
    <col min="1986" max="1986" width="8" style="4" customWidth="1"/>
    <col min="1987" max="1987" width="42.5703125" style="4" bestFit="1" customWidth="1"/>
    <col min="1988" max="1988" width="3.28515625" style="4" customWidth="1"/>
    <col min="1989" max="1989" width="8" style="4" customWidth="1"/>
    <col min="1990" max="1990" width="42.5703125" style="4" bestFit="1" customWidth="1"/>
    <col min="1991" max="1991" width="3.28515625" style="4" customWidth="1"/>
    <col min="1992" max="1992" width="8" style="4" customWidth="1"/>
    <col min="1993" max="1993" width="42.5703125" style="4" bestFit="1" customWidth="1"/>
    <col min="1994" max="1994" width="3.28515625" style="4" customWidth="1"/>
    <col min="1995" max="1995" width="8" style="4" customWidth="1"/>
    <col min="1996" max="1996" width="42.5703125" style="4" bestFit="1" customWidth="1"/>
    <col min="1997" max="1997" width="3.28515625" style="4" customWidth="1"/>
    <col min="1998" max="1998" width="8" style="4" customWidth="1"/>
    <col min="1999" max="1999" width="42.5703125" style="4" bestFit="1" customWidth="1"/>
    <col min="2000" max="2000" width="3.28515625" style="4" customWidth="1"/>
    <col min="2001" max="2001" width="8" style="4" customWidth="1"/>
    <col min="2002" max="2002" width="42.5703125" style="4" bestFit="1" customWidth="1"/>
    <col min="2003" max="2003" width="3.28515625" style="4" customWidth="1"/>
    <col min="2004" max="2004" width="8" style="4" customWidth="1"/>
    <col min="2005" max="2005" width="42.5703125" style="4" bestFit="1" customWidth="1"/>
    <col min="2006" max="2006" width="3.28515625" style="4" customWidth="1"/>
    <col min="2007" max="2007" width="8" style="4" customWidth="1"/>
    <col min="2008" max="2008" width="42.5703125" style="4" bestFit="1" customWidth="1"/>
    <col min="2009" max="2009" width="3.28515625" style="4" customWidth="1"/>
    <col min="2010" max="2010" width="8" style="4" customWidth="1"/>
    <col min="2011" max="2011" width="42.5703125" style="4" bestFit="1" customWidth="1"/>
    <col min="2012" max="2012" width="3.28515625" style="4" customWidth="1"/>
    <col min="2013" max="2013" width="8" style="4" customWidth="1"/>
    <col min="2014" max="2014" width="42.5703125" style="4" bestFit="1" customWidth="1"/>
    <col min="2015" max="2015" width="3.28515625" style="4" customWidth="1"/>
    <col min="2016" max="2016" width="8" style="4" customWidth="1"/>
    <col min="2017" max="2017" width="42.5703125" style="4" bestFit="1" customWidth="1"/>
    <col min="2018" max="2018" width="3.28515625" style="4" customWidth="1"/>
    <col min="2019" max="2019" width="8" style="4" customWidth="1"/>
    <col min="2020" max="2020" width="42.5703125" style="4" bestFit="1" customWidth="1"/>
    <col min="2021" max="2021" width="3.28515625" style="4" customWidth="1"/>
    <col min="2022" max="2022" width="8" style="4" customWidth="1"/>
    <col min="2023" max="2023" width="42.5703125" style="4" bestFit="1" customWidth="1"/>
    <col min="2024" max="2024" width="3.28515625" style="4" customWidth="1"/>
    <col min="2025" max="2025" width="8" style="4" customWidth="1"/>
    <col min="2026" max="2026" width="42.5703125" style="4" bestFit="1" customWidth="1"/>
    <col min="2027" max="2027" width="3.28515625" style="4" customWidth="1"/>
    <col min="2028" max="2028" width="8" style="4" customWidth="1"/>
    <col min="2029" max="2029" width="42.5703125" style="4" bestFit="1" customWidth="1"/>
    <col min="2030" max="2030" width="3.28515625" style="4" customWidth="1"/>
    <col min="2031" max="2031" width="8" style="4" customWidth="1"/>
    <col min="2032" max="2032" width="42.5703125" style="4" bestFit="1" customWidth="1"/>
    <col min="2033" max="2033" width="3.28515625" style="4" customWidth="1"/>
    <col min="2034" max="2034" width="8" style="4" customWidth="1"/>
    <col min="2035" max="2035" width="42.5703125" style="4" bestFit="1" customWidth="1"/>
    <col min="2036" max="2036" width="3.28515625" style="4" customWidth="1"/>
    <col min="2037" max="2037" width="8" style="4" customWidth="1"/>
    <col min="2038" max="2038" width="42.5703125" style="4" bestFit="1" customWidth="1"/>
    <col min="2039" max="2039" width="3.28515625" style="4" customWidth="1"/>
    <col min="2040" max="2040" width="8" style="4" customWidth="1"/>
    <col min="2041" max="2041" width="42.5703125" style="4" bestFit="1" customWidth="1"/>
    <col min="2042" max="2042" width="3.28515625" style="4" customWidth="1"/>
    <col min="2043" max="2043" width="8" style="4" customWidth="1"/>
    <col min="2044" max="2044" width="42.5703125" style="4" bestFit="1" customWidth="1"/>
    <col min="2045" max="2045" width="3.28515625" style="4" customWidth="1"/>
    <col min="2046" max="2046" width="8" style="4" customWidth="1"/>
    <col min="2047" max="2047" width="42.5703125" style="4" bestFit="1" customWidth="1"/>
    <col min="2048" max="2048" width="3.28515625" style="4" customWidth="1"/>
    <col min="2049" max="2049" width="8" style="4" customWidth="1"/>
    <col min="2050" max="2050" width="42.5703125" style="4" bestFit="1" customWidth="1"/>
    <col min="2051" max="2051" width="3.28515625" style="4" customWidth="1"/>
    <col min="2052" max="2052" width="8" style="4" customWidth="1"/>
    <col min="2053" max="2053" width="42.5703125" style="4" bestFit="1" customWidth="1"/>
    <col min="2054" max="2054" width="3.28515625" style="4" customWidth="1"/>
    <col min="2055" max="2055" width="8" style="4" customWidth="1"/>
    <col min="2056" max="2056" width="42.5703125" style="4" bestFit="1" customWidth="1"/>
    <col min="2057" max="2057" width="3.28515625" style="4" customWidth="1"/>
    <col min="2058" max="2058" width="8" style="4" customWidth="1"/>
    <col min="2059" max="2059" width="42.5703125" style="4" bestFit="1" customWidth="1"/>
    <col min="2060" max="2060" width="3.28515625" style="4" customWidth="1"/>
    <col min="2061" max="2061" width="8" style="4" customWidth="1"/>
    <col min="2062" max="2062" width="42.5703125" style="4" bestFit="1" customWidth="1"/>
    <col min="2063" max="2063" width="3.28515625" style="4" customWidth="1"/>
    <col min="2064" max="2064" width="8" style="4" customWidth="1"/>
    <col min="2065" max="2065" width="42.5703125" style="4" bestFit="1" customWidth="1"/>
    <col min="2066" max="2066" width="3.28515625" style="4" customWidth="1"/>
    <col min="2067" max="2067" width="8" style="4" customWidth="1"/>
    <col min="2068" max="2068" width="42.5703125" style="4" bestFit="1" customWidth="1"/>
    <col min="2069" max="2069" width="3.28515625" style="4" customWidth="1"/>
    <col min="2070" max="2070" width="8" style="4" customWidth="1"/>
    <col min="2071" max="2071" width="42.5703125" style="4" bestFit="1" customWidth="1"/>
    <col min="2072" max="2072" width="3.28515625" style="4" customWidth="1"/>
    <col min="2073" max="2073" width="8" style="4" customWidth="1"/>
    <col min="2074" max="2074" width="42.5703125" style="4" bestFit="1" customWidth="1"/>
    <col min="2075" max="2075" width="3.28515625" style="4" customWidth="1"/>
    <col min="2076" max="2076" width="8" style="4" customWidth="1"/>
    <col min="2077" max="2077" width="42.5703125" style="4" bestFit="1" customWidth="1"/>
    <col min="2078" max="2078" width="3.28515625" style="4" customWidth="1"/>
    <col min="2079" max="2079" width="8" style="4" customWidth="1"/>
    <col min="2080" max="2080" width="42.5703125" style="4" bestFit="1" customWidth="1"/>
    <col min="2081" max="2081" width="3.28515625" style="4" customWidth="1"/>
    <col min="2082" max="2082" width="8" style="4" customWidth="1"/>
    <col min="2083" max="2083" width="42.5703125" style="4" bestFit="1" customWidth="1"/>
    <col min="2084" max="2084" width="3.28515625" style="4" customWidth="1"/>
    <col min="2085" max="2085" width="8" style="4" customWidth="1"/>
    <col min="2086" max="2086" width="42.5703125" style="4" bestFit="1" customWidth="1"/>
    <col min="2087" max="2087" width="3.28515625" style="4" customWidth="1"/>
    <col min="2088" max="2088" width="8" style="4" customWidth="1"/>
    <col min="2089" max="2089" width="42.5703125" style="4" bestFit="1" customWidth="1"/>
    <col min="2090" max="2090" width="3.28515625" style="4" customWidth="1"/>
    <col min="2091" max="2091" width="8" style="4" customWidth="1"/>
    <col min="2092" max="2092" width="42.5703125" style="4" bestFit="1" customWidth="1"/>
    <col min="2093" max="2093" width="3.28515625" style="4" customWidth="1"/>
    <col min="2094" max="2094" width="8" style="4" customWidth="1"/>
    <col min="2095" max="2095" width="42.5703125" style="4" bestFit="1" customWidth="1"/>
    <col min="2096" max="2096" width="3.28515625" style="4" customWidth="1"/>
    <col min="2097" max="2097" width="8" style="4" customWidth="1"/>
    <col min="2098" max="2098" width="42.5703125" style="4" bestFit="1" customWidth="1"/>
    <col min="2099" max="2099" width="3.28515625" style="4" customWidth="1"/>
    <col min="2100" max="2100" width="8" style="4" customWidth="1"/>
    <col min="2101" max="2101" width="42.5703125" style="4" bestFit="1" customWidth="1"/>
    <col min="2102" max="2102" width="3.28515625" style="4" customWidth="1"/>
    <col min="2103" max="2103" width="8" style="4" customWidth="1"/>
    <col min="2104" max="2104" width="42.5703125" style="4" bestFit="1" customWidth="1"/>
    <col min="2105" max="2105" width="3.28515625" style="4" customWidth="1"/>
    <col min="2106" max="2106" width="8" style="4" customWidth="1"/>
    <col min="2107" max="2107" width="42.5703125" style="4" bestFit="1" customWidth="1"/>
    <col min="2108" max="2108" width="3.28515625" style="4" customWidth="1"/>
    <col min="2109" max="2109" width="8" style="4" customWidth="1"/>
    <col min="2110" max="2110" width="42.5703125" style="4" bestFit="1" customWidth="1"/>
    <col min="2111" max="2111" width="3.28515625" style="4" customWidth="1"/>
    <col min="2112" max="2112" width="8" style="4" customWidth="1"/>
    <col min="2113" max="2113" width="42.5703125" style="4" bestFit="1" customWidth="1"/>
    <col min="2114" max="2114" width="3.28515625" style="4" customWidth="1"/>
    <col min="2115" max="2115" width="8" style="4" customWidth="1"/>
    <col min="2116" max="2116" width="42.5703125" style="4" bestFit="1" customWidth="1"/>
    <col min="2117" max="2117" width="3.28515625" style="4" customWidth="1"/>
    <col min="2118" max="2118" width="8" style="4" customWidth="1"/>
    <col min="2119" max="2119" width="42.5703125" style="4" bestFit="1" customWidth="1"/>
    <col min="2120" max="2120" width="3.28515625" style="4" customWidth="1"/>
    <col min="2121" max="2121" width="8" style="4" customWidth="1"/>
    <col min="2122" max="2122" width="42.5703125" style="4" bestFit="1" customWidth="1"/>
    <col min="2123" max="2123" width="3.28515625" style="4" customWidth="1"/>
    <col min="2124" max="2124" width="8" style="4" customWidth="1"/>
    <col min="2125" max="2125" width="42.5703125" style="4" bestFit="1" customWidth="1"/>
    <col min="2126" max="2126" width="3.28515625" style="4" customWidth="1"/>
    <col min="2127" max="2127" width="8" style="4" customWidth="1"/>
    <col min="2128" max="2128" width="42.5703125" style="4" bestFit="1" customWidth="1"/>
    <col min="2129" max="2129" width="3.28515625" style="4" customWidth="1"/>
    <col min="2130" max="2130" width="8" style="4" customWidth="1"/>
    <col min="2131" max="2131" width="42.5703125" style="4" bestFit="1" customWidth="1"/>
    <col min="2132" max="2132" width="3.28515625" style="4" customWidth="1"/>
    <col min="2133" max="2133" width="8" style="4" customWidth="1"/>
    <col min="2134" max="2134" width="42.5703125" style="4" bestFit="1" customWidth="1"/>
    <col min="2135" max="2135" width="3.28515625" style="4" customWidth="1"/>
    <col min="2136" max="2136" width="8" style="4" customWidth="1"/>
    <col min="2137" max="2137" width="42.5703125" style="4" bestFit="1" customWidth="1"/>
    <col min="2138" max="2138" width="3.28515625" style="4" customWidth="1"/>
    <col min="2139" max="2139" width="8" style="4" customWidth="1"/>
    <col min="2140" max="2140" width="42.5703125" style="4" bestFit="1" customWidth="1"/>
    <col min="2141" max="2141" width="3.28515625" style="4" customWidth="1"/>
    <col min="2142" max="2142" width="8" style="4" customWidth="1"/>
    <col min="2143" max="2143" width="42.5703125" style="4" bestFit="1" customWidth="1"/>
    <col min="2144" max="2144" width="3.28515625" style="4" customWidth="1"/>
    <col min="2145" max="2145" width="8" style="4" customWidth="1"/>
    <col min="2146" max="2146" width="42.5703125" style="4" bestFit="1" customWidth="1"/>
    <col min="2147" max="2147" width="3.28515625" style="4" customWidth="1"/>
    <col min="2148" max="2148" width="8" style="4" customWidth="1"/>
    <col min="2149" max="2149" width="42.5703125" style="4" bestFit="1" customWidth="1"/>
    <col min="2150" max="2150" width="3.28515625" style="4" customWidth="1"/>
    <col min="2151" max="2151" width="8" style="4" customWidth="1"/>
    <col min="2152" max="2152" width="42.5703125" style="4" bestFit="1" customWidth="1"/>
    <col min="2153" max="2153" width="3.28515625" style="4" customWidth="1"/>
    <col min="2154" max="2154" width="8" style="4" customWidth="1"/>
    <col min="2155" max="2155" width="42.5703125" style="4" bestFit="1" customWidth="1"/>
    <col min="2156" max="2156" width="3.28515625" style="4" customWidth="1"/>
    <col min="2157" max="2157" width="8" style="4" customWidth="1"/>
    <col min="2158" max="2158" width="42.5703125" style="4" bestFit="1" customWidth="1"/>
    <col min="2159" max="2159" width="3.28515625" style="4" customWidth="1"/>
    <col min="2160" max="2160" width="8" style="4" customWidth="1"/>
    <col min="2161" max="2161" width="42.5703125" style="4" bestFit="1" customWidth="1"/>
    <col min="2162" max="2162" width="3.28515625" style="4" customWidth="1"/>
    <col min="2163" max="2163" width="8" style="4" customWidth="1"/>
    <col min="2164" max="2164" width="42.5703125" style="4" bestFit="1" customWidth="1"/>
    <col min="2165" max="2165" width="3.28515625" style="4" customWidth="1"/>
    <col min="2166" max="2166" width="8" style="4" customWidth="1"/>
    <col min="2167" max="2167" width="42.5703125" style="4" bestFit="1" customWidth="1"/>
    <col min="2168" max="2168" width="3.28515625" style="4" customWidth="1"/>
    <col min="2169" max="2169" width="8" style="4" customWidth="1"/>
    <col min="2170" max="2170" width="42.5703125" style="4" bestFit="1" customWidth="1"/>
    <col min="2171" max="2171" width="3.28515625" style="4" customWidth="1"/>
    <col min="2172" max="2172" width="8" style="4" customWidth="1"/>
    <col min="2173" max="2173" width="42.5703125" style="4" bestFit="1" customWidth="1"/>
    <col min="2174" max="2174" width="3.28515625" style="4" customWidth="1"/>
    <col min="2175" max="2175" width="8" style="4" customWidth="1"/>
    <col min="2176" max="2176" width="42.5703125" style="4" bestFit="1" customWidth="1"/>
    <col min="2177" max="2177" width="3.28515625" style="4" customWidth="1"/>
    <col min="2178" max="2178" width="8" style="4" customWidth="1"/>
    <col min="2179" max="2179" width="42.5703125" style="4" bestFit="1" customWidth="1"/>
    <col min="2180" max="2180" width="3.28515625" style="4" customWidth="1"/>
    <col min="2181" max="2181" width="8" style="4" customWidth="1"/>
    <col min="2182" max="2182" width="42.5703125" style="4" bestFit="1" customWidth="1"/>
    <col min="2183" max="2183" width="3.28515625" style="4" customWidth="1"/>
    <col min="2184" max="2184" width="8" style="4" customWidth="1"/>
    <col min="2185" max="2185" width="42.5703125" style="4" bestFit="1" customWidth="1"/>
    <col min="2186" max="2186" width="3.28515625" style="4" customWidth="1"/>
    <col min="2187" max="2187" width="8" style="4" customWidth="1"/>
    <col min="2188" max="2188" width="42.5703125" style="4" bestFit="1" customWidth="1"/>
    <col min="2189" max="2189" width="3.28515625" style="4" customWidth="1"/>
    <col min="2190" max="2190" width="8" style="4" customWidth="1"/>
    <col min="2191" max="2191" width="42.5703125" style="4" bestFit="1" customWidth="1"/>
    <col min="2192" max="2192" width="3.28515625" style="4" customWidth="1"/>
    <col min="2193" max="2193" width="8" style="4" customWidth="1"/>
    <col min="2194" max="2194" width="42.5703125" style="4" bestFit="1" customWidth="1"/>
    <col min="2195" max="2195" width="3.28515625" style="4" customWidth="1"/>
    <col min="2196" max="2196" width="8" style="4" customWidth="1"/>
    <col min="2197" max="2197" width="42.5703125" style="4" bestFit="1" customWidth="1"/>
    <col min="2198" max="2198" width="3.28515625" style="4" customWidth="1"/>
    <col min="2199" max="2199" width="8" style="4" customWidth="1"/>
    <col min="2200" max="2200" width="42.5703125" style="4" bestFit="1" customWidth="1"/>
    <col min="2201" max="2201" width="3.28515625" style="4" customWidth="1"/>
    <col min="2202" max="2202" width="8" style="4" customWidth="1"/>
    <col min="2203" max="2203" width="42.5703125" style="4" bestFit="1" customWidth="1"/>
    <col min="2204" max="2204" width="3.28515625" style="4" customWidth="1"/>
    <col min="2205" max="2205" width="8" style="4" customWidth="1"/>
    <col min="2206" max="2206" width="42.5703125" style="4" bestFit="1" customWidth="1"/>
    <col min="2207" max="2207" width="3.28515625" style="4" customWidth="1"/>
    <col min="2208" max="2208" width="8" style="4" customWidth="1"/>
    <col min="2209" max="2209" width="42.5703125" style="4" bestFit="1" customWidth="1"/>
    <col min="2210" max="2210" width="3.28515625" style="4" customWidth="1"/>
    <col min="2211" max="2211" width="8" style="4" customWidth="1"/>
    <col min="2212" max="2212" width="42.5703125" style="4" bestFit="1" customWidth="1"/>
    <col min="2213" max="2213" width="3.28515625" style="4" customWidth="1"/>
    <col min="2214" max="2214" width="8" style="4" customWidth="1"/>
    <col min="2215" max="2215" width="42.5703125" style="4" bestFit="1" customWidth="1"/>
    <col min="2216" max="2216" width="3.28515625" style="4" customWidth="1"/>
    <col min="2217" max="2217" width="8" style="4" customWidth="1"/>
    <col min="2218" max="2218" width="42.5703125" style="4" bestFit="1" customWidth="1"/>
    <col min="2219" max="2219" width="3.28515625" style="4" customWidth="1"/>
    <col min="2220" max="2220" width="8" style="4" customWidth="1"/>
    <col min="2221" max="2221" width="42.5703125" style="4" bestFit="1" customWidth="1"/>
    <col min="2222" max="2222" width="3.28515625" style="4" customWidth="1"/>
    <col min="2223" max="2223" width="8" style="4" customWidth="1"/>
    <col min="2224" max="2224" width="42.5703125" style="4" bestFit="1" customWidth="1"/>
    <col min="2225" max="2225" width="3.28515625" style="4" customWidth="1"/>
    <col min="2226" max="2226" width="8" style="4" customWidth="1"/>
    <col min="2227" max="2227" width="42.5703125" style="4" bestFit="1" customWidth="1"/>
    <col min="2228" max="2228" width="3.28515625" style="4" customWidth="1"/>
    <col min="2229" max="2229" width="8" style="4" customWidth="1"/>
    <col min="2230" max="2230" width="42.5703125" style="4" bestFit="1" customWidth="1"/>
    <col min="2231" max="2231" width="3.28515625" style="4" customWidth="1"/>
    <col min="2232" max="2232" width="8" style="4" customWidth="1"/>
    <col min="2233" max="2233" width="42.5703125" style="4" bestFit="1" customWidth="1"/>
    <col min="2234" max="2234" width="3.28515625" style="4" customWidth="1"/>
    <col min="2235" max="2235" width="8" style="4" customWidth="1"/>
    <col min="2236" max="2236" width="42.5703125" style="4" bestFit="1" customWidth="1"/>
    <col min="2237" max="2237" width="3.28515625" style="4" customWidth="1"/>
    <col min="2238" max="2238" width="8" style="4" customWidth="1"/>
    <col min="2239" max="2239" width="42.5703125" style="4" bestFit="1" customWidth="1"/>
    <col min="2240" max="2240" width="3.28515625" style="4" customWidth="1"/>
    <col min="2241" max="2241" width="8" style="4" customWidth="1"/>
    <col min="2242" max="2242" width="42.5703125" style="4" bestFit="1" customWidth="1"/>
    <col min="2243" max="2243" width="3.28515625" style="4" customWidth="1"/>
    <col min="2244" max="2244" width="8" style="4" customWidth="1"/>
    <col min="2245" max="2245" width="42.5703125" style="4" bestFit="1" customWidth="1"/>
    <col min="2246" max="2246" width="3.28515625" style="4" customWidth="1"/>
    <col min="2247" max="2247" width="8" style="4" customWidth="1"/>
    <col min="2248" max="2248" width="42.5703125" style="4" bestFit="1" customWidth="1"/>
    <col min="2249" max="2249" width="3.28515625" style="4" customWidth="1"/>
    <col min="2250" max="2250" width="8" style="4" customWidth="1"/>
    <col min="2251" max="2251" width="42.5703125" style="4" bestFit="1" customWidth="1"/>
    <col min="2252" max="2252" width="3.28515625" style="4" customWidth="1"/>
    <col min="2253" max="2253" width="8" style="4" customWidth="1"/>
    <col min="2254" max="2254" width="42.5703125" style="4" bestFit="1" customWidth="1"/>
    <col min="2255" max="2255" width="3.28515625" style="4" customWidth="1"/>
    <col min="2256" max="2256" width="8" style="4" customWidth="1"/>
    <col min="2257" max="2257" width="42.5703125" style="4" bestFit="1" customWidth="1"/>
    <col min="2258" max="2258" width="3.28515625" style="4" customWidth="1"/>
    <col min="2259" max="2259" width="8" style="4" customWidth="1"/>
    <col min="2260" max="2260" width="42.5703125" style="4" bestFit="1" customWidth="1"/>
    <col min="2261" max="2261" width="3.28515625" style="4" customWidth="1"/>
    <col min="2262" max="2262" width="8" style="4" customWidth="1"/>
    <col min="2263" max="2263" width="42.5703125" style="4" bestFit="1" customWidth="1"/>
    <col min="2264" max="2264" width="3.28515625" style="4" customWidth="1"/>
    <col min="2265" max="2265" width="8" style="4" customWidth="1"/>
    <col min="2266" max="2266" width="42.5703125" style="4" bestFit="1" customWidth="1"/>
    <col min="2267" max="2267" width="3.28515625" style="4" customWidth="1"/>
    <col min="2268" max="2268" width="8" style="4" customWidth="1"/>
    <col min="2269" max="2269" width="42.5703125" style="4" bestFit="1" customWidth="1"/>
    <col min="2270" max="2270" width="3.28515625" style="4" customWidth="1"/>
    <col min="2271" max="2271" width="8" style="4" customWidth="1"/>
    <col min="2272" max="2272" width="42.5703125" style="4" bestFit="1" customWidth="1"/>
    <col min="2273" max="2273" width="3.28515625" style="4" customWidth="1"/>
    <col min="2274" max="2274" width="8" style="4" customWidth="1"/>
    <col min="2275" max="2275" width="42.5703125" style="4" bestFit="1" customWidth="1"/>
    <col min="2276" max="2276" width="3.28515625" style="4" customWidth="1"/>
    <col min="2277" max="2277" width="8" style="4" customWidth="1"/>
    <col min="2278" max="2278" width="42.5703125" style="4" bestFit="1" customWidth="1"/>
    <col min="2279" max="2279" width="3.28515625" style="4" customWidth="1"/>
    <col min="2280" max="2280" width="8" style="4" customWidth="1"/>
    <col min="2281" max="2281" width="42.5703125" style="4" bestFit="1" customWidth="1"/>
    <col min="2282" max="2282" width="3.28515625" style="4" customWidth="1"/>
    <col min="2283" max="2283" width="8" style="4" customWidth="1"/>
    <col min="2284" max="2284" width="42.5703125" style="4" bestFit="1" customWidth="1"/>
    <col min="2285" max="2285" width="3.28515625" style="4" customWidth="1"/>
    <col min="2286" max="2286" width="8" style="4" customWidth="1"/>
    <col min="2287" max="2287" width="42.5703125" style="4" bestFit="1" customWidth="1"/>
    <col min="2288" max="2288" width="3.28515625" style="4" customWidth="1"/>
    <col min="2289" max="2289" width="8" style="4" customWidth="1"/>
    <col min="2290" max="2290" width="42.5703125" style="4" bestFit="1" customWidth="1"/>
    <col min="2291" max="2291" width="3.28515625" style="4" customWidth="1"/>
    <col min="2292" max="2292" width="8" style="4" customWidth="1"/>
    <col min="2293" max="2293" width="42.5703125" style="4" bestFit="1" customWidth="1"/>
    <col min="2294" max="2294" width="3.28515625" style="4" customWidth="1"/>
    <col min="2295" max="2295" width="8" style="4" customWidth="1"/>
    <col min="2296" max="2296" width="42.5703125" style="4" bestFit="1" customWidth="1"/>
    <col min="2297" max="2297" width="3.28515625" style="4" customWidth="1"/>
    <col min="2298" max="2298" width="8" style="4" customWidth="1"/>
    <col min="2299" max="2299" width="42.5703125" style="4" bestFit="1" customWidth="1"/>
    <col min="2300" max="2300" width="3.28515625" style="4" customWidth="1"/>
    <col min="2301" max="2301" width="8" style="4" customWidth="1"/>
    <col min="2302" max="2302" width="42.5703125" style="4" bestFit="1" customWidth="1"/>
    <col min="2303" max="2303" width="3.28515625" style="4" customWidth="1"/>
    <col min="2304" max="2304" width="8" style="4" customWidth="1"/>
    <col min="2305" max="2305" width="42.5703125" style="4" bestFit="1" customWidth="1"/>
    <col min="2306" max="2306" width="3.28515625" style="4" customWidth="1"/>
    <col min="2307" max="2307" width="8" style="4" customWidth="1"/>
    <col min="2308" max="2308" width="42.5703125" style="4" bestFit="1" customWidth="1"/>
    <col min="2309" max="2309" width="3.28515625" style="4" customWidth="1"/>
    <col min="2310" max="2310" width="8" style="4" customWidth="1"/>
    <col min="2311" max="2311" width="42.5703125" style="4" bestFit="1" customWidth="1"/>
    <col min="2312" max="2312" width="3.28515625" style="4" customWidth="1"/>
    <col min="2313" max="2313" width="8" style="4" customWidth="1"/>
    <col min="2314" max="2314" width="42.5703125" style="4" bestFit="1" customWidth="1"/>
    <col min="2315" max="2315" width="3.28515625" style="4" customWidth="1"/>
    <col min="2316" max="2316" width="8" style="4" customWidth="1"/>
    <col min="2317" max="2317" width="42.5703125" style="4" bestFit="1" customWidth="1"/>
    <col min="2318" max="2318" width="3.28515625" style="4" customWidth="1"/>
    <col min="2319" max="2319" width="8" style="4" customWidth="1"/>
    <col min="2320" max="2320" width="42.5703125" style="4" bestFit="1" customWidth="1"/>
    <col min="2321" max="2321" width="3.28515625" style="4" customWidth="1"/>
    <col min="2322" max="2322" width="8" style="4" customWidth="1"/>
    <col min="2323" max="2323" width="42.5703125" style="4" bestFit="1" customWidth="1"/>
    <col min="2324" max="2324" width="3.28515625" style="4" customWidth="1"/>
    <col min="2325" max="2325" width="8" style="4" customWidth="1"/>
    <col min="2326" max="2326" width="42.5703125" style="4" bestFit="1" customWidth="1"/>
    <col min="2327" max="2327" width="3.28515625" style="4" customWidth="1"/>
    <col min="2328" max="2328" width="8" style="4" customWidth="1"/>
    <col min="2329" max="2329" width="42.5703125" style="4" bestFit="1" customWidth="1"/>
    <col min="2330" max="2330" width="3.28515625" style="4" customWidth="1"/>
    <col min="2331" max="2331" width="8" style="4" customWidth="1"/>
    <col min="2332" max="2332" width="42.5703125" style="4" bestFit="1" customWidth="1"/>
    <col min="2333" max="2333" width="3.28515625" style="4" customWidth="1"/>
    <col min="2334" max="2334" width="8" style="4" customWidth="1"/>
    <col min="2335" max="2335" width="42.5703125" style="4" bestFit="1" customWidth="1"/>
    <col min="2336" max="2336" width="3.28515625" style="4" customWidth="1"/>
    <col min="2337" max="2337" width="8" style="4" customWidth="1"/>
    <col min="2338" max="2338" width="42.5703125" style="4" bestFit="1" customWidth="1"/>
    <col min="2339" max="2339" width="3.28515625" style="4" customWidth="1"/>
    <col min="2340" max="2340" width="8" style="4" customWidth="1"/>
    <col min="2341" max="2341" width="42.5703125" style="4" bestFit="1" customWidth="1"/>
    <col min="2342" max="2342" width="3.28515625" style="4" customWidth="1"/>
    <col min="2343" max="2343" width="8" style="4" customWidth="1"/>
    <col min="2344" max="2344" width="42.5703125" style="4" bestFit="1" customWidth="1"/>
    <col min="2345" max="2345" width="3.28515625" style="4" customWidth="1"/>
    <col min="2346" max="2346" width="8" style="4" customWidth="1"/>
    <col min="2347" max="2347" width="42.5703125" style="4" bestFit="1" customWidth="1"/>
    <col min="2348" max="2348" width="3.28515625" style="4" customWidth="1"/>
    <col min="2349" max="2349" width="8" style="4" customWidth="1"/>
    <col min="2350" max="2350" width="42.5703125" style="4" bestFit="1" customWidth="1"/>
    <col min="2351" max="2351" width="3.28515625" style="4" customWidth="1"/>
    <col min="2352" max="2352" width="8" style="4" customWidth="1"/>
    <col min="2353" max="2353" width="42.5703125" style="4" bestFit="1" customWidth="1"/>
    <col min="2354" max="2354" width="3.28515625" style="4" customWidth="1"/>
    <col min="2355" max="2355" width="8" style="4" customWidth="1"/>
    <col min="2356" max="2356" width="42.5703125" style="4" bestFit="1" customWidth="1"/>
    <col min="2357" max="2357" width="3.28515625" style="4" customWidth="1"/>
    <col min="2358" max="2358" width="8" style="4" customWidth="1"/>
    <col min="2359" max="2359" width="42.5703125" style="4" bestFit="1" customWidth="1"/>
    <col min="2360" max="2360" width="3.28515625" style="4" customWidth="1"/>
    <col min="2361" max="2361" width="8" style="4" customWidth="1"/>
    <col min="2362" max="2362" width="42.5703125" style="4" bestFit="1" customWidth="1"/>
    <col min="2363" max="2363" width="3.28515625" style="4" customWidth="1"/>
    <col min="2364" max="2364" width="8" style="4" customWidth="1"/>
    <col min="2365" max="2365" width="42.5703125" style="4" bestFit="1" customWidth="1"/>
    <col min="2366" max="2366" width="3.28515625" style="4" customWidth="1"/>
    <col min="2367" max="2367" width="8" style="4" customWidth="1"/>
    <col min="2368" max="2368" width="42.5703125" style="4" bestFit="1" customWidth="1"/>
    <col min="2369" max="2369" width="3.28515625" style="4" customWidth="1"/>
    <col min="2370" max="2370" width="8" style="4" customWidth="1"/>
    <col min="2371" max="2371" width="42.5703125" style="4" bestFit="1" customWidth="1"/>
    <col min="2372" max="2372" width="3.28515625" style="4" customWidth="1"/>
    <col min="2373" max="2373" width="8" style="4" customWidth="1"/>
    <col min="2374" max="2374" width="42.5703125" style="4" bestFit="1" customWidth="1"/>
    <col min="2375" max="2375" width="3.28515625" style="4" customWidth="1"/>
    <col min="2376" max="2376" width="8" style="4" customWidth="1"/>
    <col min="2377" max="2377" width="42.5703125" style="4" bestFit="1" customWidth="1"/>
    <col min="2378" max="2378" width="3.28515625" style="4" customWidth="1"/>
    <col min="2379" max="2379" width="8" style="4" customWidth="1"/>
    <col min="2380" max="2380" width="42.5703125" style="4" bestFit="1" customWidth="1"/>
    <col min="2381" max="2381" width="3.28515625" style="4" customWidth="1"/>
    <col min="2382" max="2382" width="8" style="4" customWidth="1"/>
    <col min="2383" max="2383" width="42.5703125" style="4" bestFit="1" customWidth="1"/>
    <col min="2384" max="2384" width="3.28515625" style="4" customWidth="1"/>
    <col min="2385" max="2385" width="8" style="4" customWidth="1"/>
    <col min="2386" max="2386" width="42.5703125" style="4" bestFit="1" customWidth="1"/>
    <col min="2387" max="2387" width="3.28515625" style="4" customWidth="1"/>
    <col min="2388" max="2388" width="8" style="4" customWidth="1"/>
    <col min="2389" max="2389" width="42.5703125" style="4" bestFit="1" customWidth="1"/>
    <col min="2390" max="2390" width="3.28515625" style="4" customWidth="1"/>
    <col min="2391" max="2391" width="8" style="4" customWidth="1"/>
    <col min="2392" max="2392" width="42.5703125" style="4" bestFit="1" customWidth="1"/>
    <col min="2393" max="2393" width="3.28515625" style="4" customWidth="1"/>
    <col min="2394" max="2394" width="8" style="4" customWidth="1"/>
    <col min="2395" max="2395" width="42.5703125" style="4" bestFit="1" customWidth="1"/>
    <col min="2396" max="2396" width="3.28515625" style="4" customWidth="1"/>
    <col min="2397" max="2397" width="8" style="4" customWidth="1"/>
    <col min="2398" max="2398" width="42.5703125" style="4" bestFit="1" customWidth="1"/>
    <col min="2399" max="2399" width="3.28515625" style="4" customWidth="1"/>
    <col min="2400" max="2400" width="8" style="4" customWidth="1"/>
    <col min="2401" max="2401" width="42.5703125" style="4" bestFit="1" customWidth="1"/>
    <col min="2402" max="2402" width="3.28515625" style="4" customWidth="1"/>
    <col min="2403" max="2403" width="8" style="4" customWidth="1"/>
    <col min="2404" max="2404" width="42.5703125" style="4" bestFit="1" customWidth="1"/>
    <col min="2405" max="2405" width="3.28515625" style="4" customWidth="1"/>
    <col min="2406" max="2406" width="8" style="4" customWidth="1"/>
    <col min="2407" max="2407" width="42.5703125" style="4" bestFit="1" customWidth="1"/>
    <col min="2408" max="2408" width="3.28515625" style="4" customWidth="1"/>
    <col min="2409" max="2409" width="8" style="4" customWidth="1"/>
    <col min="2410" max="2410" width="42.5703125" style="4" bestFit="1" customWidth="1"/>
    <col min="2411" max="2411" width="3.28515625" style="4" customWidth="1"/>
    <col min="2412" max="2412" width="8" style="4" customWidth="1"/>
    <col min="2413" max="2413" width="42.5703125" style="4" bestFit="1" customWidth="1"/>
    <col min="2414" max="2414" width="3.28515625" style="4" customWidth="1"/>
    <col min="2415" max="2415" width="8" style="4" customWidth="1"/>
    <col min="2416" max="2416" width="42.5703125" style="4" bestFit="1" customWidth="1"/>
    <col min="2417" max="2417" width="3.28515625" style="4" customWidth="1"/>
    <col min="2418" max="2418" width="8" style="4" customWidth="1"/>
    <col min="2419" max="2419" width="42.5703125" style="4" bestFit="1" customWidth="1"/>
    <col min="2420" max="2420" width="3.28515625" style="4" customWidth="1"/>
    <col min="2421" max="2421" width="8" style="4" customWidth="1"/>
    <col min="2422" max="2422" width="42.5703125" style="4" bestFit="1" customWidth="1"/>
    <col min="2423" max="2423" width="3.28515625" style="4" customWidth="1"/>
    <col min="2424" max="2424" width="8" style="4" customWidth="1"/>
    <col min="2425" max="2425" width="42.5703125" style="4" bestFit="1" customWidth="1"/>
    <col min="2426" max="2426" width="3.28515625" style="4" customWidth="1"/>
    <col min="2427" max="2427" width="8" style="4" customWidth="1"/>
    <col min="2428" max="2428" width="42.5703125" style="4" bestFit="1" customWidth="1"/>
    <col min="2429" max="2429" width="3.28515625" style="4" customWidth="1"/>
    <col min="2430" max="2430" width="8" style="4" customWidth="1"/>
    <col min="2431" max="2431" width="42.5703125" style="4" bestFit="1" customWidth="1"/>
    <col min="2432" max="2432" width="3.28515625" style="4" customWidth="1"/>
    <col min="2433" max="2433" width="8" style="4" customWidth="1"/>
    <col min="2434" max="2434" width="42.5703125" style="4" bestFit="1" customWidth="1"/>
    <col min="2435" max="2435" width="3.28515625" style="4" customWidth="1"/>
    <col min="2436" max="2436" width="8" style="4" customWidth="1"/>
    <col min="2437" max="2437" width="42.5703125" style="4" bestFit="1" customWidth="1"/>
    <col min="2438" max="2438" width="3.28515625" style="4" customWidth="1"/>
    <col min="2439" max="2439" width="8" style="4" customWidth="1"/>
    <col min="2440" max="2440" width="42.5703125" style="4" bestFit="1" customWidth="1"/>
    <col min="2441" max="2441" width="3.28515625" style="4" customWidth="1"/>
    <col min="2442" max="2442" width="8" style="4" customWidth="1"/>
    <col min="2443" max="2443" width="42.5703125" style="4" bestFit="1" customWidth="1"/>
    <col min="2444" max="2444" width="3.28515625" style="4" customWidth="1"/>
    <col min="2445" max="2445" width="8" style="4" customWidth="1"/>
    <col min="2446" max="2446" width="42.5703125" style="4" bestFit="1" customWidth="1"/>
    <col min="2447" max="2447" width="3.28515625" style="4" customWidth="1"/>
    <col min="2448" max="2448" width="8" style="4" customWidth="1"/>
    <col min="2449" max="2449" width="42.5703125" style="4" bestFit="1" customWidth="1"/>
    <col min="2450" max="2450" width="3.28515625" style="4" customWidth="1"/>
    <col min="2451" max="2451" width="8" style="4" customWidth="1"/>
    <col min="2452" max="2452" width="42.5703125" style="4" bestFit="1" customWidth="1"/>
    <col min="2453" max="2453" width="3.28515625" style="4" customWidth="1"/>
    <col min="2454" max="2454" width="8" style="4" customWidth="1"/>
    <col min="2455" max="2455" width="42.5703125" style="4" bestFit="1" customWidth="1"/>
    <col min="2456" max="2456" width="3.28515625" style="4" customWidth="1"/>
    <col min="2457" max="2457" width="8" style="4" customWidth="1"/>
    <col min="2458" max="2458" width="42.5703125" style="4" bestFit="1" customWidth="1"/>
    <col min="2459" max="2459" width="3.28515625" style="4" customWidth="1"/>
    <col min="2460" max="2460" width="8" style="4" customWidth="1"/>
    <col min="2461" max="2461" width="42.5703125" style="4" bestFit="1" customWidth="1"/>
    <col min="2462" max="2462" width="3.28515625" style="4" customWidth="1"/>
    <col min="2463" max="2463" width="8" style="4" customWidth="1"/>
    <col min="2464" max="2464" width="42.5703125" style="4" bestFit="1" customWidth="1"/>
    <col min="2465" max="2465" width="3.28515625" style="4" customWidth="1"/>
    <col min="2466" max="2466" width="8" style="4" customWidth="1"/>
    <col min="2467" max="2467" width="42.5703125" style="4" bestFit="1" customWidth="1"/>
    <col min="2468" max="2468" width="3.28515625" style="4" customWidth="1"/>
    <col min="2469" max="2469" width="8" style="4" customWidth="1"/>
    <col min="2470" max="2470" width="42.5703125" style="4" bestFit="1" customWidth="1"/>
    <col min="2471" max="2471" width="3.28515625" style="4" customWidth="1"/>
    <col min="2472" max="2472" width="8" style="4" customWidth="1"/>
    <col min="2473" max="2473" width="42.5703125" style="4" bestFit="1" customWidth="1"/>
    <col min="2474" max="2474" width="3.28515625" style="4" customWidth="1"/>
    <col min="2475" max="2475" width="8" style="4" customWidth="1"/>
    <col min="2476" max="2476" width="42.5703125" style="4" bestFit="1" customWidth="1"/>
    <col min="2477" max="2477" width="3.28515625" style="4" customWidth="1"/>
    <col min="2478" max="2478" width="8" style="4" customWidth="1"/>
    <col min="2479" max="2479" width="42.5703125" style="4" bestFit="1" customWidth="1"/>
    <col min="2480" max="2480" width="3.28515625" style="4" customWidth="1"/>
    <col min="2481" max="2481" width="8" style="4" customWidth="1"/>
    <col min="2482" max="2482" width="42.5703125" style="4" bestFit="1" customWidth="1"/>
    <col min="2483" max="2483" width="3.28515625" style="4" customWidth="1"/>
    <col min="2484" max="2484" width="8" style="4" customWidth="1"/>
    <col min="2485" max="2485" width="42.5703125" style="4" bestFit="1" customWidth="1"/>
    <col min="2486" max="2486" width="3.28515625" style="4" customWidth="1"/>
    <col min="2487" max="2487" width="8" style="4" customWidth="1"/>
    <col min="2488" max="2488" width="42.5703125" style="4" bestFit="1" customWidth="1"/>
    <col min="2489" max="2489" width="3.28515625" style="4" customWidth="1"/>
    <col min="2490" max="2490" width="8" style="4" customWidth="1"/>
    <col min="2491" max="2491" width="42.5703125" style="4" bestFit="1" customWidth="1"/>
    <col min="2492" max="2492" width="3.28515625" style="4" customWidth="1"/>
    <col min="2493" max="2493" width="8" style="4" customWidth="1"/>
    <col min="2494" max="2494" width="42.5703125" style="4" bestFit="1" customWidth="1"/>
    <col min="2495" max="2495" width="3.28515625" style="4" customWidth="1"/>
    <col min="2496" max="2496" width="8" style="4" customWidth="1"/>
    <col min="2497" max="2497" width="42.5703125" style="4" bestFit="1" customWidth="1"/>
    <col min="2498" max="2498" width="3.28515625" style="4" customWidth="1"/>
    <col min="2499" max="2499" width="8" style="4" customWidth="1"/>
    <col min="2500" max="2500" width="42.5703125" style="4" bestFit="1" customWidth="1"/>
    <col min="2501" max="2501" width="3.28515625" style="4" customWidth="1"/>
    <col min="2502" max="2502" width="8" style="4" customWidth="1"/>
    <col min="2503" max="2503" width="42.5703125" style="4" bestFit="1" customWidth="1"/>
    <col min="2504" max="2504" width="3.28515625" style="4" customWidth="1"/>
    <col min="2505" max="2505" width="8" style="4" customWidth="1"/>
    <col min="2506" max="2506" width="42.5703125" style="4" bestFit="1" customWidth="1"/>
    <col min="2507" max="2507" width="3.28515625" style="4" customWidth="1"/>
    <col min="2508" max="2508" width="8" style="4" customWidth="1"/>
    <col min="2509" max="2509" width="42.5703125" style="4" bestFit="1" customWidth="1"/>
    <col min="2510" max="2510" width="3.28515625" style="4" customWidth="1"/>
    <col min="2511" max="2511" width="8" style="4" customWidth="1"/>
    <col min="2512" max="2512" width="42.5703125" style="4" bestFit="1" customWidth="1"/>
    <col min="2513" max="2513" width="3.28515625" style="4" customWidth="1"/>
    <col min="2514" max="2514" width="8" style="4" customWidth="1"/>
    <col min="2515" max="2515" width="42.5703125" style="4" bestFit="1" customWidth="1"/>
    <col min="2516" max="2516" width="3.28515625" style="4" customWidth="1"/>
    <col min="2517" max="2517" width="8" style="4" customWidth="1"/>
    <col min="2518" max="2518" width="42.5703125" style="4" bestFit="1" customWidth="1"/>
    <col min="2519" max="2519" width="3.28515625" style="4" customWidth="1"/>
    <col min="2520" max="2520" width="8" style="4" customWidth="1"/>
    <col min="2521" max="2521" width="42.5703125" style="4" bestFit="1" customWidth="1"/>
    <col min="2522" max="2522" width="3.28515625" style="4" customWidth="1"/>
    <col min="2523" max="2523" width="8" style="4" customWidth="1"/>
    <col min="2524" max="2524" width="42.5703125" style="4" bestFit="1" customWidth="1"/>
    <col min="2525" max="2525" width="3.28515625" style="4" customWidth="1"/>
    <col min="2526" max="2526" width="8" style="4" customWidth="1"/>
    <col min="2527" max="2527" width="42.5703125" style="4" bestFit="1" customWidth="1"/>
    <col min="2528" max="2528" width="3.28515625" style="4" customWidth="1"/>
    <col min="2529" max="2529" width="8" style="4" customWidth="1"/>
    <col min="2530" max="2530" width="42.5703125" style="4" bestFit="1" customWidth="1"/>
    <col min="2531" max="2531" width="3.28515625" style="4" customWidth="1"/>
    <col min="2532" max="2532" width="8" style="4" customWidth="1"/>
    <col min="2533" max="2533" width="42.5703125" style="4" bestFit="1" customWidth="1"/>
    <col min="2534" max="2534" width="3.28515625" style="4" customWidth="1"/>
    <col min="2535" max="2535" width="8" style="4" customWidth="1"/>
    <col min="2536" max="2536" width="42.5703125" style="4" bestFit="1" customWidth="1"/>
    <col min="2537" max="2537" width="3.28515625" style="4" customWidth="1"/>
    <col min="2538" max="2538" width="8" style="4" customWidth="1"/>
    <col min="2539" max="2539" width="42.5703125" style="4" bestFit="1" customWidth="1"/>
    <col min="2540" max="2540" width="3.28515625" style="4" customWidth="1"/>
    <col min="2541" max="2541" width="8" style="4" customWidth="1"/>
    <col min="2542" max="2542" width="42.5703125" style="4" bestFit="1" customWidth="1"/>
    <col min="2543" max="2543" width="3.28515625" style="4" customWidth="1"/>
    <col min="2544" max="2544" width="8" style="4" customWidth="1"/>
    <col min="2545" max="2545" width="42.5703125" style="4" bestFit="1" customWidth="1"/>
    <col min="2546" max="2546" width="3.28515625" style="4" customWidth="1"/>
    <col min="2547" max="2547" width="8" style="4" customWidth="1"/>
    <col min="2548" max="2548" width="42.5703125" style="4" bestFit="1" customWidth="1"/>
    <col min="2549" max="2549" width="3.28515625" style="4" customWidth="1"/>
    <col min="2550" max="2550" width="8" style="4" customWidth="1"/>
    <col min="2551" max="2551" width="42.5703125" style="4" bestFit="1" customWidth="1"/>
    <col min="2552" max="2552" width="3.28515625" style="4" customWidth="1"/>
    <col min="2553" max="2553" width="8" style="4" customWidth="1"/>
    <col min="2554" max="2554" width="42.5703125" style="4" bestFit="1" customWidth="1"/>
    <col min="2555" max="2555" width="3.28515625" style="4" customWidth="1"/>
    <col min="2556" max="2556" width="8" style="4" customWidth="1"/>
    <col min="2557" max="2557" width="42.5703125" style="4" bestFit="1" customWidth="1"/>
    <col min="2558" max="2558" width="3.28515625" style="4" customWidth="1"/>
    <col min="2559" max="2559" width="8" style="4" customWidth="1"/>
    <col min="2560" max="2560" width="42.5703125" style="4" bestFit="1" customWidth="1"/>
    <col min="2561" max="2561" width="3.28515625" style="4" customWidth="1"/>
    <col min="2562" max="2562" width="8" style="4" customWidth="1"/>
    <col min="2563" max="2563" width="42.5703125" style="4" bestFit="1" customWidth="1"/>
    <col min="2564" max="2564" width="3.28515625" style="4" customWidth="1"/>
    <col min="2565" max="2565" width="8" style="4" customWidth="1"/>
    <col min="2566" max="2566" width="42.5703125" style="4" bestFit="1" customWidth="1"/>
    <col min="2567" max="2567" width="3.28515625" style="4" customWidth="1"/>
    <col min="2568" max="2568" width="8" style="4" customWidth="1"/>
    <col min="2569" max="2569" width="42.5703125" style="4" bestFit="1" customWidth="1"/>
    <col min="2570" max="2570" width="3.28515625" style="4" customWidth="1"/>
    <col min="2571" max="2571" width="8" style="4" customWidth="1"/>
    <col min="2572" max="2572" width="42.5703125" style="4" bestFit="1" customWidth="1"/>
    <col min="2573" max="2573" width="3.28515625" style="4" customWidth="1"/>
    <col min="2574" max="2574" width="8" style="4" customWidth="1"/>
    <col min="2575" max="2575" width="42.5703125" style="4" bestFit="1" customWidth="1"/>
    <col min="2576" max="2576" width="3.28515625" style="4" customWidth="1"/>
    <col min="2577" max="2577" width="8" style="4" customWidth="1"/>
    <col min="2578" max="2578" width="42.5703125" style="4" bestFit="1" customWidth="1"/>
    <col min="2579" max="2579" width="3.28515625" style="4" customWidth="1"/>
    <col min="2580" max="2580" width="8" style="4" customWidth="1"/>
    <col min="2581" max="2581" width="42.5703125" style="4" bestFit="1" customWidth="1"/>
    <col min="2582" max="2582" width="3.28515625" style="4" customWidth="1"/>
    <col min="2583" max="2583" width="8" style="4" customWidth="1"/>
    <col min="2584" max="2584" width="42.5703125" style="4" bestFit="1" customWidth="1"/>
    <col min="2585" max="2585" width="3.28515625" style="4" customWidth="1"/>
    <col min="2586" max="2586" width="8" style="4" customWidth="1"/>
    <col min="2587" max="2587" width="42.5703125" style="4" bestFit="1" customWidth="1"/>
    <col min="2588" max="2588" width="3.28515625" style="4" customWidth="1"/>
    <col min="2589" max="2589" width="8" style="4" customWidth="1"/>
    <col min="2590" max="2590" width="42.5703125" style="4" bestFit="1" customWidth="1"/>
    <col min="2591" max="2591" width="3.28515625" style="4" customWidth="1"/>
    <col min="2592" max="2592" width="8" style="4" customWidth="1"/>
    <col min="2593" max="2593" width="42.5703125" style="4" bestFit="1" customWidth="1"/>
    <col min="2594" max="2594" width="3.28515625" style="4" customWidth="1"/>
    <col min="2595" max="2595" width="8" style="4" customWidth="1"/>
    <col min="2596" max="2596" width="42.5703125" style="4" bestFit="1" customWidth="1"/>
    <col min="2597" max="2597" width="3.28515625" style="4" customWidth="1"/>
    <col min="2598" max="2598" width="8" style="4" customWidth="1"/>
    <col min="2599" max="2599" width="42.5703125" style="4" bestFit="1" customWidth="1"/>
    <col min="2600" max="2600" width="3.28515625" style="4" customWidth="1"/>
    <col min="2601" max="2601" width="8" style="4" customWidth="1"/>
    <col min="2602" max="2602" width="42.5703125" style="4" bestFit="1" customWidth="1"/>
    <col min="2603" max="2603" width="3.28515625" style="4" customWidth="1"/>
    <col min="2604" max="2604" width="8" style="4" customWidth="1"/>
    <col min="2605" max="2605" width="42.5703125" style="4" bestFit="1" customWidth="1"/>
    <col min="2606" max="2606" width="3.28515625" style="4" customWidth="1"/>
    <col min="2607" max="2607" width="8" style="4" customWidth="1"/>
    <col min="2608" max="2608" width="42.5703125" style="4" bestFit="1" customWidth="1"/>
    <col min="2609" max="2609" width="3.28515625" style="4" customWidth="1"/>
    <col min="2610" max="2610" width="8" style="4" customWidth="1"/>
    <col min="2611" max="2611" width="42.5703125" style="4" bestFit="1" customWidth="1"/>
    <col min="2612" max="2612" width="3.28515625" style="4" customWidth="1"/>
    <col min="2613" max="2613" width="8" style="4" customWidth="1"/>
    <col min="2614" max="2614" width="42.5703125" style="4" bestFit="1" customWidth="1"/>
    <col min="2615" max="2615" width="3.28515625" style="4" customWidth="1"/>
    <col min="2616" max="2616" width="8" style="4" customWidth="1"/>
    <col min="2617" max="2617" width="42.5703125" style="4" bestFit="1" customWidth="1"/>
    <col min="2618" max="2618" width="3.28515625" style="4" customWidth="1"/>
    <col min="2619" max="2619" width="8" style="4" customWidth="1"/>
    <col min="2620" max="2620" width="42.5703125" style="4" bestFit="1" customWidth="1"/>
    <col min="2621" max="2621" width="3.28515625" style="4" customWidth="1"/>
    <col min="2622" max="2622" width="8" style="4" customWidth="1"/>
    <col min="2623" max="2623" width="42.5703125" style="4" bestFit="1" customWidth="1"/>
    <col min="2624" max="2624" width="3.28515625" style="4" customWidth="1"/>
    <col min="2625" max="2625" width="8" style="4" customWidth="1"/>
    <col min="2626" max="2626" width="42.5703125" style="4" bestFit="1" customWidth="1"/>
    <col min="2627" max="2627" width="3.28515625" style="4" customWidth="1"/>
    <col min="2628" max="2628" width="8" style="4" customWidth="1"/>
    <col min="2629" max="2629" width="42.5703125" style="4" bestFit="1" customWidth="1"/>
    <col min="2630" max="2630" width="3.28515625" style="4" customWidth="1"/>
    <col min="2631" max="2631" width="8" style="4" customWidth="1"/>
    <col min="2632" max="2632" width="42.5703125" style="4" bestFit="1" customWidth="1"/>
    <col min="2633" max="2633" width="3.28515625" style="4" customWidth="1"/>
    <col min="2634" max="2634" width="8" style="4" customWidth="1"/>
    <col min="2635" max="2635" width="42.5703125" style="4" bestFit="1" customWidth="1"/>
    <col min="2636" max="2636" width="3.28515625" style="4" customWidth="1"/>
    <col min="2637" max="2637" width="8" style="4" customWidth="1"/>
    <col min="2638" max="2638" width="42.5703125" style="4" bestFit="1" customWidth="1"/>
    <col min="2639" max="2639" width="3.28515625" style="4" customWidth="1"/>
    <col min="2640" max="2640" width="8" style="4" customWidth="1"/>
    <col min="2641" max="2641" width="42.5703125" style="4" bestFit="1" customWidth="1"/>
    <col min="2642" max="2642" width="3.28515625" style="4" customWidth="1"/>
    <col min="2643" max="2643" width="8" style="4" customWidth="1"/>
    <col min="2644" max="2644" width="42.5703125" style="4" bestFit="1" customWidth="1"/>
    <col min="2645" max="2645" width="3.28515625" style="4" customWidth="1"/>
    <col min="2646" max="2646" width="8" style="4" customWidth="1"/>
    <col min="2647" max="2647" width="42.5703125" style="4" bestFit="1" customWidth="1"/>
    <col min="2648" max="2648" width="3.28515625" style="4" customWidth="1"/>
    <col min="2649" max="2649" width="8" style="4" customWidth="1"/>
    <col min="2650" max="2650" width="42.5703125" style="4" bestFit="1" customWidth="1"/>
    <col min="2651" max="2651" width="3.28515625" style="4" customWidth="1"/>
    <col min="2652" max="2652" width="8" style="4" customWidth="1"/>
    <col min="2653" max="2653" width="42.5703125" style="4" bestFit="1" customWidth="1"/>
    <col min="2654" max="2654" width="3.28515625" style="4" customWidth="1"/>
    <col min="2655" max="2655" width="8" style="4" customWidth="1"/>
    <col min="2656" max="2656" width="42.5703125" style="4" bestFit="1" customWidth="1"/>
    <col min="2657" max="2657" width="3.28515625" style="4" customWidth="1"/>
    <col min="2658" max="2658" width="8" style="4" customWidth="1"/>
    <col min="2659" max="2659" width="42.5703125" style="4" bestFit="1" customWidth="1"/>
    <col min="2660" max="2660" width="3.28515625" style="4" customWidth="1"/>
    <col min="2661" max="2661" width="8" style="4" customWidth="1"/>
    <col min="2662" max="2662" width="42.5703125" style="4" bestFit="1" customWidth="1"/>
    <col min="2663" max="2663" width="3.28515625" style="4" customWidth="1"/>
    <col min="2664" max="2664" width="8" style="4" customWidth="1"/>
    <col min="2665" max="2665" width="42.5703125" style="4" bestFit="1" customWidth="1"/>
    <col min="2666" max="2666" width="3.28515625" style="4" customWidth="1"/>
    <col min="2667" max="2667" width="8" style="4" customWidth="1"/>
    <col min="2668" max="2668" width="42.5703125" style="4" bestFit="1" customWidth="1"/>
    <col min="2669" max="2669" width="3.28515625" style="4" customWidth="1"/>
    <col min="2670" max="2670" width="8" style="4" customWidth="1"/>
    <col min="2671" max="2671" width="42.5703125" style="4" bestFit="1" customWidth="1"/>
    <col min="2672" max="2672" width="3.28515625" style="4" customWidth="1"/>
    <col min="2673" max="2673" width="8" style="4" customWidth="1"/>
    <col min="2674" max="2674" width="42.5703125" style="4" bestFit="1" customWidth="1"/>
    <col min="2675" max="2675" width="3.28515625" style="4" customWidth="1"/>
    <col min="2676" max="2676" width="8" style="4" customWidth="1"/>
    <col min="2677" max="2677" width="42.5703125" style="4" bestFit="1" customWidth="1"/>
    <col min="2678" max="2678" width="3.28515625" style="4" customWidth="1"/>
    <col min="2679" max="2679" width="8" style="4" customWidth="1"/>
    <col min="2680" max="2680" width="42.5703125" style="4" bestFit="1" customWidth="1"/>
    <col min="2681" max="2681" width="3.28515625" style="4" customWidth="1"/>
    <col min="2682" max="2682" width="8" style="4" customWidth="1"/>
    <col min="2683" max="2683" width="42.5703125" style="4" bestFit="1" customWidth="1"/>
    <col min="2684" max="2684" width="3.28515625" style="4" customWidth="1"/>
    <col min="2685" max="2685" width="8" style="4" customWidth="1"/>
    <col min="2686" max="2686" width="42.5703125" style="4" bestFit="1" customWidth="1"/>
    <col min="2687" max="2687" width="3.28515625" style="4" customWidth="1"/>
    <col min="2688" max="2688" width="8" style="4" customWidth="1"/>
    <col min="2689" max="2689" width="42.5703125" style="4" bestFit="1" customWidth="1"/>
    <col min="2690" max="2690" width="3.28515625" style="4" customWidth="1"/>
    <col min="2691" max="2691" width="8" style="4" customWidth="1"/>
    <col min="2692" max="2692" width="42.5703125" style="4" bestFit="1" customWidth="1"/>
    <col min="2693" max="2693" width="3.28515625" style="4" customWidth="1"/>
    <col min="2694" max="2694" width="8" style="4" customWidth="1"/>
    <col min="2695" max="2695" width="42.5703125" style="4" bestFit="1" customWidth="1"/>
    <col min="2696" max="2696" width="3.28515625" style="4" customWidth="1"/>
    <col min="2697" max="2697" width="8" style="4" customWidth="1"/>
    <col min="2698" max="2698" width="42.5703125" style="4" bestFit="1" customWidth="1"/>
    <col min="2699" max="2699" width="3.28515625" style="4" customWidth="1"/>
    <col min="2700" max="2700" width="8" style="4" customWidth="1"/>
    <col min="2701" max="2701" width="42.5703125" style="4" bestFit="1" customWidth="1"/>
    <col min="2702" max="2702" width="3.28515625" style="4" customWidth="1"/>
    <col min="2703" max="2703" width="8" style="4" customWidth="1"/>
    <col min="2704" max="2704" width="42.5703125" style="4" bestFit="1" customWidth="1"/>
    <col min="2705" max="2705" width="3.28515625" style="4" customWidth="1"/>
    <col min="2706" max="2706" width="8" style="4" customWidth="1"/>
    <col min="2707" max="2707" width="42.5703125" style="4" bestFit="1" customWidth="1"/>
    <col min="2708" max="2708" width="3.28515625" style="4" customWidth="1"/>
    <col min="2709" max="2709" width="8" style="4" customWidth="1"/>
    <col min="2710" max="2710" width="42.5703125" style="4" bestFit="1" customWidth="1"/>
    <col min="2711" max="2711" width="3.28515625" style="4" customWidth="1"/>
    <col min="2712" max="2712" width="8" style="4" customWidth="1"/>
    <col min="2713" max="2713" width="42.5703125" style="4" bestFit="1" customWidth="1"/>
    <col min="2714" max="2714" width="3.28515625" style="4" customWidth="1"/>
    <col min="2715" max="2715" width="8" style="4" customWidth="1"/>
    <col min="2716" max="2716" width="42.5703125" style="4" bestFit="1" customWidth="1"/>
    <col min="2717" max="2717" width="3.28515625" style="4" customWidth="1"/>
    <col min="2718" max="2718" width="8" style="4" customWidth="1"/>
    <col min="2719" max="2719" width="42.5703125" style="4" bestFit="1" customWidth="1"/>
    <col min="2720" max="2720" width="3.28515625" style="4" customWidth="1"/>
    <col min="2721" max="2721" width="8" style="4" customWidth="1"/>
    <col min="2722" max="2722" width="42.5703125" style="4" bestFit="1" customWidth="1"/>
    <col min="2723" max="2723" width="3.28515625" style="4" customWidth="1"/>
    <col min="2724" max="2724" width="8" style="4" customWidth="1"/>
    <col min="2725" max="2725" width="42.5703125" style="4" bestFit="1" customWidth="1"/>
    <col min="2726" max="2726" width="3.28515625" style="4" customWidth="1"/>
    <col min="2727" max="2727" width="8" style="4" customWidth="1"/>
    <col min="2728" max="2728" width="42.5703125" style="4" bestFit="1" customWidth="1"/>
    <col min="2729" max="2729" width="3.28515625" style="4" customWidth="1"/>
    <col min="2730" max="2730" width="8" style="4" customWidth="1"/>
    <col min="2731" max="2731" width="42.5703125" style="4" bestFit="1" customWidth="1"/>
    <col min="2732" max="2732" width="3.28515625" style="4" customWidth="1"/>
    <col min="2733" max="2733" width="8" style="4" customWidth="1"/>
    <col min="2734" max="2734" width="42.5703125" style="4" bestFit="1" customWidth="1"/>
    <col min="2735" max="2735" width="3.28515625" style="4" customWidth="1"/>
    <col min="2736" max="2736" width="8" style="4" customWidth="1"/>
    <col min="2737" max="2737" width="42.5703125" style="4" bestFit="1" customWidth="1"/>
    <col min="2738" max="2738" width="3.28515625" style="4" customWidth="1"/>
    <col min="2739" max="2739" width="8" style="4" customWidth="1"/>
    <col min="2740" max="2740" width="42.5703125" style="4" bestFit="1" customWidth="1"/>
    <col min="2741" max="2741" width="3.28515625" style="4" customWidth="1"/>
    <col min="2742" max="2742" width="8" style="4" customWidth="1"/>
    <col min="2743" max="2743" width="42.5703125" style="4" bestFit="1" customWidth="1"/>
    <col min="2744" max="2744" width="3.28515625" style="4" customWidth="1"/>
    <col min="2745" max="2745" width="8" style="4" customWidth="1"/>
    <col min="2746" max="2746" width="42.5703125" style="4" bestFit="1" customWidth="1"/>
    <col min="2747" max="2747" width="3.28515625" style="4" customWidth="1"/>
    <col min="2748" max="2748" width="8" style="4" customWidth="1"/>
    <col min="2749" max="2749" width="42.5703125" style="4" bestFit="1" customWidth="1"/>
    <col min="2750" max="2750" width="3.28515625" style="4" customWidth="1"/>
    <col min="2751" max="2751" width="8" style="4" customWidth="1"/>
    <col min="2752" max="2752" width="42.5703125" style="4" bestFit="1" customWidth="1"/>
    <col min="2753" max="2753" width="3.28515625" style="4" customWidth="1"/>
    <col min="2754" max="2754" width="8" style="4" customWidth="1"/>
    <col min="2755" max="2755" width="42.5703125" style="4" bestFit="1" customWidth="1"/>
    <col min="2756" max="2756" width="3.28515625" style="4" customWidth="1"/>
    <col min="2757" max="2757" width="8" style="4" customWidth="1"/>
    <col min="2758" max="2758" width="42.5703125" style="4" bestFit="1" customWidth="1"/>
    <col min="2759" max="2759" width="3.28515625" style="4" customWidth="1"/>
    <col min="2760" max="2760" width="8" style="4" customWidth="1"/>
    <col min="2761" max="2761" width="42.5703125" style="4" bestFit="1" customWidth="1"/>
    <col min="2762" max="2762" width="3.28515625" style="4" customWidth="1"/>
    <col min="2763" max="2763" width="8" style="4" customWidth="1"/>
    <col min="2764" max="2764" width="42.5703125" style="4" bestFit="1" customWidth="1"/>
    <col min="2765" max="2765" width="3.28515625" style="4" customWidth="1"/>
    <col min="2766" max="2766" width="8" style="4" customWidth="1"/>
    <col min="2767" max="2767" width="42.5703125" style="4" bestFit="1" customWidth="1"/>
    <col min="2768" max="2768" width="3.28515625" style="4" customWidth="1"/>
    <col min="2769" max="2769" width="8" style="4" customWidth="1"/>
    <col min="2770" max="2770" width="42.5703125" style="4" bestFit="1" customWidth="1"/>
    <col min="2771" max="2771" width="3.28515625" style="4" customWidth="1"/>
    <col min="2772" max="2772" width="8" style="4" customWidth="1"/>
    <col min="2773" max="2773" width="42.5703125" style="4" bestFit="1" customWidth="1"/>
    <col min="2774" max="2774" width="3.28515625" style="4" customWidth="1"/>
    <col min="2775" max="2775" width="8" style="4" customWidth="1"/>
    <col min="2776" max="2776" width="42.5703125" style="4" bestFit="1" customWidth="1"/>
    <col min="2777" max="2777" width="3.28515625" style="4" customWidth="1"/>
    <col min="2778" max="2778" width="8" style="4" customWidth="1"/>
    <col min="2779" max="2779" width="42.5703125" style="4" bestFit="1" customWidth="1"/>
    <col min="2780" max="2780" width="3.28515625" style="4" customWidth="1"/>
    <col min="2781" max="2781" width="8" style="4" customWidth="1"/>
    <col min="2782" max="2782" width="42.5703125" style="4" bestFit="1" customWidth="1"/>
    <col min="2783" max="2783" width="3.28515625" style="4" customWidth="1"/>
    <col min="2784" max="2784" width="8" style="4" customWidth="1"/>
    <col min="2785" max="2785" width="42.5703125" style="4" bestFit="1" customWidth="1"/>
    <col min="2786" max="2786" width="3.28515625" style="4" customWidth="1"/>
    <col min="2787" max="2787" width="8" style="4" customWidth="1"/>
    <col min="2788" max="2788" width="42.5703125" style="4" bestFit="1" customWidth="1"/>
    <col min="2789" max="2789" width="3.28515625" style="4" customWidth="1"/>
    <col min="2790" max="2790" width="8" style="4" customWidth="1"/>
    <col min="2791" max="2791" width="42.5703125" style="4" bestFit="1" customWidth="1"/>
    <col min="2792" max="2792" width="3.28515625" style="4" customWidth="1"/>
    <col min="2793" max="2793" width="8" style="4" customWidth="1"/>
    <col min="2794" max="2794" width="42.5703125" style="4" bestFit="1" customWidth="1"/>
    <col min="2795" max="2795" width="3.28515625" style="4" customWidth="1"/>
    <col min="2796" max="2796" width="8" style="4" customWidth="1"/>
    <col min="2797" max="2797" width="42.5703125" style="4" bestFit="1" customWidth="1"/>
    <col min="2798" max="2798" width="3.28515625" style="4" customWidth="1"/>
    <col min="2799" max="2799" width="8" style="4" customWidth="1"/>
    <col min="2800" max="2800" width="42.5703125" style="4" bestFit="1" customWidth="1"/>
    <col min="2801" max="2801" width="3.28515625" style="4" customWidth="1"/>
    <col min="2802" max="2802" width="8" style="4" customWidth="1"/>
    <col min="2803" max="2803" width="42.5703125" style="4" bestFit="1" customWidth="1"/>
    <col min="2804" max="2804" width="3.28515625" style="4" customWidth="1"/>
    <col min="2805" max="2805" width="8" style="4" customWidth="1"/>
    <col min="2806" max="2806" width="42.5703125" style="4" bestFit="1" customWidth="1"/>
    <col min="2807" max="2807" width="3.28515625" style="4" customWidth="1"/>
    <col min="2808" max="2808" width="8" style="4" customWidth="1"/>
    <col min="2809" max="2809" width="42.5703125" style="4" bestFit="1" customWidth="1"/>
    <col min="2810" max="2810" width="3.28515625" style="4" customWidth="1"/>
    <col min="2811" max="2811" width="8" style="4" customWidth="1"/>
    <col min="2812" max="2812" width="42.5703125" style="4" bestFit="1" customWidth="1"/>
    <col min="2813" max="2813" width="3.28515625" style="4" customWidth="1"/>
    <col min="2814" max="2814" width="8" style="4" customWidth="1"/>
    <col min="2815" max="2815" width="42.5703125" style="4" bestFit="1" customWidth="1"/>
    <col min="2816" max="2816" width="3.28515625" style="4" customWidth="1"/>
    <col min="2817" max="2817" width="8" style="4" customWidth="1"/>
    <col min="2818" max="2818" width="42.5703125" style="4" bestFit="1" customWidth="1"/>
    <col min="2819" max="2819" width="3.28515625" style="4" customWidth="1"/>
    <col min="2820" max="2820" width="8" style="4" customWidth="1"/>
    <col min="2821" max="2821" width="42.5703125" style="4" bestFit="1" customWidth="1"/>
    <col min="2822" max="2822" width="3.28515625" style="4" customWidth="1"/>
    <col min="2823" max="2823" width="8" style="4" customWidth="1"/>
    <col min="2824" max="2824" width="42.5703125" style="4" bestFit="1" customWidth="1"/>
    <col min="2825" max="2825" width="3.28515625" style="4" customWidth="1"/>
    <col min="2826" max="2826" width="8" style="4" customWidth="1"/>
    <col min="2827" max="2827" width="42.5703125" style="4" bestFit="1" customWidth="1"/>
    <col min="2828" max="2828" width="3.28515625" style="4" customWidth="1"/>
    <col min="2829" max="2829" width="8" style="4" customWidth="1"/>
    <col min="2830" max="2830" width="42.5703125" style="4" bestFit="1" customWidth="1"/>
    <col min="2831" max="2831" width="3.28515625" style="4" customWidth="1"/>
    <col min="2832" max="2832" width="8" style="4" customWidth="1"/>
    <col min="2833" max="2833" width="42.5703125" style="4" bestFit="1" customWidth="1"/>
    <col min="2834" max="2834" width="3.28515625" style="4" customWidth="1"/>
    <col min="2835" max="2835" width="8" style="4" customWidth="1"/>
    <col min="2836" max="2836" width="42.5703125" style="4" bestFit="1" customWidth="1"/>
    <col min="2837" max="2837" width="3.28515625" style="4" customWidth="1"/>
    <col min="2838" max="2838" width="8" style="4" customWidth="1"/>
    <col min="2839" max="2839" width="42.5703125" style="4" bestFit="1" customWidth="1"/>
    <col min="2840" max="2840" width="3.28515625" style="4" customWidth="1"/>
    <col min="2841" max="2841" width="8" style="4" customWidth="1"/>
    <col min="2842" max="2842" width="42.5703125" style="4" bestFit="1" customWidth="1"/>
    <col min="2843" max="2843" width="3.28515625" style="4" customWidth="1"/>
    <col min="2844" max="2844" width="8" style="4" customWidth="1"/>
    <col min="2845" max="2845" width="42.5703125" style="4" bestFit="1" customWidth="1"/>
    <col min="2846" max="2846" width="3.28515625" style="4" customWidth="1"/>
    <col min="2847" max="2847" width="8" style="4" customWidth="1"/>
    <col min="2848" max="2848" width="42.5703125" style="4" bestFit="1" customWidth="1"/>
    <col min="2849" max="2849" width="3.28515625" style="4" customWidth="1"/>
    <col min="2850" max="2850" width="8" style="4" customWidth="1"/>
    <col min="2851" max="2851" width="42.5703125" style="4" bestFit="1" customWidth="1"/>
    <col min="2852" max="2852" width="3.28515625" style="4" customWidth="1"/>
    <col min="2853" max="2853" width="8" style="4" customWidth="1"/>
    <col min="2854" max="2854" width="42.5703125" style="4" bestFit="1" customWidth="1"/>
    <col min="2855" max="2855" width="3.28515625" style="4" customWidth="1"/>
    <col min="2856" max="2856" width="8" style="4" customWidth="1"/>
    <col min="2857" max="2857" width="42.5703125" style="4" bestFit="1" customWidth="1"/>
    <col min="2858" max="2858" width="3.28515625" style="4" customWidth="1"/>
    <col min="2859" max="2859" width="8" style="4" customWidth="1"/>
    <col min="2860" max="2860" width="42.5703125" style="4" bestFit="1" customWidth="1"/>
    <col min="2861" max="2861" width="3.28515625" style="4" customWidth="1"/>
    <col min="2862" max="2862" width="8" style="4" customWidth="1"/>
    <col min="2863" max="2863" width="42.5703125" style="4" bestFit="1" customWidth="1"/>
    <col min="2864" max="2864" width="3.28515625" style="4" customWidth="1"/>
    <col min="2865" max="2865" width="8" style="4" customWidth="1"/>
    <col min="2866" max="2866" width="42.5703125" style="4" bestFit="1" customWidth="1"/>
    <col min="2867" max="2867" width="3.28515625" style="4" customWidth="1"/>
    <col min="2868" max="2868" width="8" style="4" customWidth="1"/>
    <col min="2869" max="2869" width="42.5703125" style="4" bestFit="1" customWidth="1"/>
    <col min="2870" max="2870" width="3.28515625" style="4" customWidth="1"/>
    <col min="2871" max="2871" width="8" style="4" customWidth="1"/>
    <col min="2872" max="2872" width="42.5703125" style="4" bestFit="1" customWidth="1"/>
    <col min="2873" max="2873" width="3.28515625" style="4" customWidth="1"/>
    <col min="2874" max="2874" width="8" style="4" customWidth="1"/>
    <col min="2875" max="2875" width="42.5703125" style="4" bestFit="1" customWidth="1"/>
    <col min="2876" max="2876" width="3.28515625" style="4" customWidth="1"/>
    <col min="2877" max="2877" width="8" style="4" customWidth="1"/>
    <col min="2878" max="2878" width="42.5703125" style="4" bestFit="1" customWidth="1"/>
    <col min="2879" max="2879" width="3.28515625" style="4" customWidth="1"/>
    <col min="2880" max="2880" width="8" style="4" customWidth="1"/>
    <col min="2881" max="2881" width="42.5703125" style="4" bestFit="1" customWidth="1"/>
    <col min="2882" max="2882" width="3.28515625" style="4" customWidth="1"/>
    <col min="2883" max="2883" width="8" style="4" customWidth="1"/>
    <col min="2884" max="2884" width="42.5703125" style="4" bestFit="1" customWidth="1"/>
    <col min="2885" max="2885" width="3.28515625" style="4" customWidth="1"/>
    <col min="2886" max="2886" width="8" style="4" customWidth="1"/>
    <col min="2887" max="2887" width="42.5703125" style="4" bestFit="1" customWidth="1"/>
    <col min="2888" max="2888" width="3.28515625" style="4" customWidth="1"/>
    <col min="2889" max="2889" width="8" style="4" customWidth="1"/>
    <col min="2890" max="2890" width="42.5703125" style="4" bestFit="1" customWidth="1"/>
    <col min="2891" max="2891" width="3.28515625" style="4" customWidth="1"/>
    <col min="2892" max="2892" width="8" style="4" customWidth="1"/>
    <col min="2893" max="2893" width="42.5703125" style="4" bestFit="1" customWidth="1"/>
    <col min="2894" max="2894" width="3.28515625" style="4" customWidth="1"/>
    <col min="2895" max="2895" width="8" style="4" customWidth="1"/>
    <col min="2896" max="2896" width="42.5703125" style="4" bestFit="1" customWidth="1"/>
    <col min="2897" max="2897" width="3.28515625" style="4" customWidth="1"/>
    <col min="2898" max="2898" width="8" style="4" customWidth="1"/>
    <col min="2899" max="2899" width="42.5703125" style="4" bestFit="1" customWidth="1"/>
    <col min="2900" max="2900" width="3.28515625" style="4" customWidth="1"/>
    <col min="2901" max="2901" width="8" style="4" customWidth="1"/>
    <col min="2902" max="2902" width="42.5703125" style="4" bestFit="1" customWidth="1"/>
    <col min="2903" max="2903" width="3.28515625" style="4" customWidth="1"/>
    <col min="2904" max="2904" width="8" style="4" customWidth="1"/>
    <col min="2905" max="2905" width="42.5703125" style="4" bestFit="1" customWidth="1"/>
    <col min="2906" max="2906" width="3.28515625" style="4" customWidth="1"/>
    <col min="2907" max="2907" width="8" style="4" customWidth="1"/>
    <col min="2908" max="2908" width="42.5703125" style="4" bestFit="1" customWidth="1"/>
    <col min="2909" max="2909" width="3.28515625" style="4" customWidth="1"/>
    <col min="2910" max="2910" width="8" style="4" customWidth="1"/>
    <col min="2911" max="2911" width="42.5703125" style="4" bestFit="1" customWidth="1"/>
    <col min="2912" max="2912" width="3.28515625" style="4" customWidth="1"/>
    <col min="2913" max="2913" width="8" style="4" customWidth="1"/>
    <col min="2914" max="2914" width="42.5703125" style="4" bestFit="1" customWidth="1"/>
    <col min="2915" max="2915" width="3.28515625" style="4" customWidth="1"/>
    <col min="2916" max="2916" width="8" style="4" customWidth="1"/>
    <col min="2917" max="2917" width="42.5703125" style="4" bestFit="1" customWidth="1"/>
    <col min="2918" max="2918" width="3.28515625" style="4" customWidth="1"/>
    <col min="2919" max="2919" width="8" style="4" customWidth="1"/>
    <col min="2920" max="2920" width="42.5703125" style="4" bestFit="1" customWidth="1"/>
    <col min="2921" max="2921" width="3.28515625" style="4" customWidth="1"/>
    <col min="2922" max="2922" width="8" style="4" customWidth="1"/>
    <col min="2923" max="2923" width="42.5703125" style="4" bestFit="1" customWidth="1"/>
    <col min="2924" max="2924" width="3.28515625" style="4" customWidth="1"/>
    <col min="2925" max="2925" width="8" style="4" customWidth="1"/>
    <col min="2926" max="2926" width="42.5703125" style="4" bestFit="1" customWidth="1"/>
    <col min="2927" max="2927" width="3.28515625" style="4" customWidth="1"/>
    <col min="2928" max="2928" width="8" style="4" customWidth="1"/>
    <col min="2929" max="2929" width="42.5703125" style="4" bestFit="1" customWidth="1"/>
    <col min="2930" max="2930" width="3.28515625" style="4" customWidth="1"/>
    <col min="2931" max="2931" width="8" style="4" customWidth="1"/>
    <col min="2932" max="2932" width="42.5703125" style="4" bestFit="1" customWidth="1"/>
    <col min="2933" max="2933" width="3.28515625" style="4" customWidth="1"/>
    <col min="2934" max="2934" width="8" style="4" customWidth="1"/>
    <col min="2935" max="2935" width="42.5703125" style="4" bestFit="1" customWidth="1"/>
    <col min="2936" max="2936" width="3.28515625" style="4" customWidth="1"/>
    <col min="2937" max="2937" width="8" style="4" customWidth="1"/>
    <col min="2938" max="2938" width="42.5703125" style="4" bestFit="1" customWidth="1"/>
    <col min="2939" max="2939" width="3.28515625" style="4" customWidth="1"/>
    <col min="2940" max="2940" width="8" style="4" customWidth="1"/>
    <col min="2941" max="2941" width="42.5703125" style="4" bestFit="1" customWidth="1"/>
    <col min="2942" max="2942" width="3.28515625" style="4" customWidth="1"/>
    <col min="2943" max="2943" width="8" style="4" customWidth="1"/>
    <col min="2944" max="2944" width="42.5703125" style="4" bestFit="1" customWidth="1"/>
    <col min="2945" max="2945" width="3.28515625" style="4" customWidth="1"/>
    <col min="2946" max="2946" width="8" style="4" customWidth="1"/>
    <col min="2947" max="2947" width="42.5703125" style="4" bestFit="1" customWidth="1"/>
    <col min="2948" max="2948" width="3.28515625" style="4" customWidth="1"/>
    <col min="2949" max="2949" width="8" style="4" customWidth="1"/>
    <col min="2950" max="2950" width="42.5703125" style="4" bestFit="1" customWidth="1"/>
    <col min="2951" max="2951" width="3.28515625" style="4" customWidth="1"/>
    <col min="2952" max="2952" width="8" style="4" customWidth="1"/>
    <col min="2953" max="2953" width="42.5703125" style="4" bestFit="1" customWidth="1"/>
    <col min="2954" max="2954" width="3.28515625" style="4" customWidth="1"/>
    <col min="2955" max="2955" width="8" style="4" customWidth="1"/>
    <col min="2956" max="2956" width="42.5703125" style="4" bestFit="1" customWidth="1"/>
    <col min="2957" max="2957" width="3.28515625" style="4" customWidth="1"/>
    <col min="2958" max="2958" width="8" style="4" customWidth="1"/>
    <col min="2959" max="2959" width="42.5703125" style="4" bestFit="1" customWidth="1"/>
    <col min="2960" max="2960" width="3.28515625" style="4" customWidth="1"/>
    <col min="2961" max="2961" width="8" style="4" customWidth="1"/>
    <col min="2962" max="2962" width="42.5703125" style="4" bestFit="1" customWidth="1"/>
    <col min="2963" max="2963" width="3.28515625" style="4" customWidth="1"/>
    <col min="2964" max="2964" width="8" style="4" customWidth="1"/>
    <col min="2965" max="2965" width="42.5703125" style="4" bestFit="1" customWidth="1"/>
    <col min="2966" max="2966" width="3.28515625" style="4" customWidth="1"/>
    <col min="2967" max="2967" width="8" style="4" customWidth="1"/>
    <col min="2968" max="2968" width="42.5703125" style="4" bestFit="1" customWidth="1"/>
    <col min="2969" max="2969" width="3.28515625" style="4" customWidth="1"/>
    <col min="2970" max="2970" width="8" style="4" customWidth="1"/>
    <col min="2971" max="2971" width="42.5703125" style="4" bestFit="1" customWidth="1"/>
    <col min="2972" max="2972" width="3.28515625" style="4" customWidth="1"/>
    <col min="2973" max="2973" width="8" style="4" customWidth="1"/>
    <col min="2974" max="2974" width="42.5703125" style="4" bestFit="1" customWidth="1"/>
    <col min="2975" max="2975" width="3.28515625" style="4" customWidth="1"/>
    <col min="2976" max="2976" width="8" style="4" customWidth="1"/>
    <col min="2977" max="2977" width="42.5703125" style="4" bestFit="1" customWidth="1"/>
    <col min="2978" max="2978" width="3.28515625" style="4" customWidth="1"/>
    <col min="2979" max="2979" width="8" style="4" customWidth="1"/>
    <col min="2980" max="2980" width="42.5703125" style="4" bestFit="1" customWidth="1"/>
    <col min="2981" max="2981" width="3.28515625" style="4" customWidth="1"/>
    <col min="2982" max="2982" width="8" style="4" customWidth="1"/>
    <col min="2983" max="2983" width="42.5703125" style="4" bestFit="1" customWidth="1"/>
    <col min="2984" max="2984" width="3.28515625" style="4" customWidth="1"/>
    <col min="2985" max="2985" width="8" style="4" customWidth="1"/>
    <col min="2986" max="2986" width="42.5703125" style="4" bestFit="1" customWidth="1"/>
    <col min="2987" max="2987" width="3.28515625" style="4" customWidth="1"/>
    <col min="2988" max="2988" width="8" style="4" customWidth="1"/>
    <col min="2989" max="2989" width="42.5703125" style="4" bestFit="1" customWidth="1"/>
    <col min="2990" max="2990" width="3.28515625" style="4" customWidth="1"/>
    <col min="2991" max="2991" width="8" style="4" customWidth="1"/>
    <col min="2992" max="2992" width="42.5703125" style="4" bestFit="1" customWidth="1"/>
    <col min="2993" max="2993" width="3.28515625" style="4" customWidth="1"/>
    <col min="2994" max="2994" width="8" style="4" customWidth="1"/>
    <col min="2995" max="2995" width="42.5703125" style="4" bestFit="1" customWidth="1"/>
    <col min="2996" max="2996" width="3.28515625" style="4" customWidth="1"/>
    <col min="2997" max="2997" width="8" style="4" customWidth="1"/>
    <col min="2998" max="2998" width="42.5703125" style="4" bestFit="1" customWidth="1"/>
    <col min="2999" max="2999" width="3.28515625" style="4" customWidth="1"/>
    <col min="3000" max="3000" width="8" style="4" customWidth="1"/>
    <col min="3001" max="3001" width="42.5703125" style="4" bestFit="1" customWidth="1"/>
    <col min="3002" max="3002" width="3.28515625" style="4" customWidth="1"/>
    <col min="3003" max="3003" width="8" style="4" customWidth="1"/>
    <col min="3004" max="3004" width="42.5703125" style="4" bestFit="1" customWidth="1"/>
    <col min="3005" max="3005" width="3.28515625" style="4" customWidth="1"/>
    <col min="3006" max="3006" width="8" style="4" customWidth="1"/>
    <col min="3007" max="3007" width="42.5703125" style="4" bestFit="1" customWidth="1"/>
    <col min="3008" max="3008" width="3.28515625" style="4" customWidth="1"/>
    <col min="3009" max="3009" width="8" style="4" customWidth="1"/>
    <col min="3010" max="3010" width="42.5703125" style="4" bestFit="1" customWidth="1"/>
    <col min="3011" max="3011" width="3.28515625" style="4" customWidth="1"/>
    <col min="3012" max="3012" width="8" style="4" customWidth="1"/>
    <col min="3013" max="3013" width="42.5703125" style="4" bestFit="1" customWidth="1"/>
    <col min="3014" max="3014" width="3.28515625" style="4" customWidth="1"/>
    <col min="3015" max="3015" width="8" style="4" customWidth="1"/>
    <col min="3016" max="3016" width="42.5703125" style="4" bestFit="1" customWidth="1"/>
    <col min="3017" max="3017" width="3.28515625" style="4" customWidth="1"/>
    <col min="3018" max="3018" width="8" style="4" customWidth="1"/>
    <col min="3019" max="3019" width="42.5703125" style="4" bestFit="1" customWidth="1"/>
    <col min="3020" max="3020" width="3.28515625" style="4" customWidth="1"/>
    <col min="3021" max="3021" width="8" style="4" customWidth="1"/>
    <col min="3022" max="3022" width="42.5703125" style="4" bestFit="1" customWidth="1"/>
    <col min="3023" max="3023" width="3.28515625" style="4" customWidth="1"/>
    <col min="3024" max="3024" width="8" style="4" customWidth="1"/>
    <col min="3025" max="3025" width="42.5703125" style="4" bestFit="1" customWidth="1"/>
    <col min="3026" max="3026" width="3.28515625" style="4" customWidth="1"/>
    <col min="3027" max="3027" width="8" style="4" customWidth="1"/>
    <col min="3028" max="3028" width="42.5703125" style="4" bestFit="1" customWidth="1"/>
    <col min="3029" max="3029" width="3.28515625" style="4" customWidth="1"/>
    <col min="3030" max="3030" width="8" style="4" customWidth="1"/>
    <col min="3031" max="3031" width="42.5703125" style="4" bestFit="1" customWidth="1"/>
    <col min="3032" max="3032" width="3.28515625" style="4" customWidth="1"/>
    <col min="3033" max="3033" width="8" style="4" customWidth="1"/>
    <col min="3034" max="3034" width="42.5703125" style="4" bestFit="1" customWidth="1"/>
    <col min="3035" max="3035" width="3.28515625" style="4" customWidth="1"/>
    <col min="3036" max="3036" width="8" style="4" customWidth="1"/>
    <col min="3037" max="3037" width="42.5703125" style="4" bestFit="1" customWidth="1"/>
    <col min="3038" max="3038" width="3.28515625" style="4" customWidth="1"/>
    <col min="3039" max="3039" width="8" style="4" customWidth="1"/>
    <col min="3040" max="3040" width="42.5703125" style="4" bestFit="1" customWidth="1"/>
    <col min="3041" max="3041" width="3.28515625" style="4" customWidth="1"/>
    <col min="3042" max="3042" width="8" style="4" customWidth="1"/>
    <col min="3043" max="3043" width="42.5703125" style="4" bestFit="1" customWidth="1"/>
    <col min="3044" max="3044" width="3.28515625" style="4" customWidth="1"/>
    <col min="3045" max="3045" width="8" style="4" customWidth="1"/>
    <col min="3046" max="3046" width="42.5703125" style="4" bestFit="1" customWidth="1"/>
    <col min="3047" max="3047" width="3.28515625" style="4" customWidth="1"/>
    <col min="3048" max="3048" width="8" style="4" customWidth="1"/>
    <col min="3049" max="3049" width="42.5703125" style="4" bestFit="1" customWidth="1"/>
    <col min="3050" max="3050" width="3.28515625" style="4" customWidth="1"/>
    <col min="3051" max="3051" width="8" style="4" customWidth="1"/>
    <col min="3052" max="3052" width="42.5703125" style="4" bestFit="1" customWidth="1"/>
    <col min="3053" max="3053" width="3.28515625" style="4" customWidth="1"/>
    <col min="3054" max="3054" width="8" style="4" customWidth="1"/>
    <col min="3055" max="3055" width="42.5703125" style="4" bestFit="1" customWidth="1"/>
    <col min="3056" max="3056" width="3.28515625" style="4" customWidth="1"/>
    <col min="3057" max="3057" width="8" style="4" customWidth="1"/>
    <col min="3058" max="3058" width="42.5703125" style="4" bestFit="1" customWidth="1"/>
    <col min="3059" max="3059" width="3.28515625" style="4" customWidth="1"/>
    <col min="3060" max="3060" width="8" style="4" customWidth="1"/>
    <col min="3061" max="3061" width="42.5703125" style="4" bestFit="1" customWidth="1"/>
    <col min="3062" max="3062" width="3.28515625" style="4" customWidth="1"/>
    <col min="3063" max="3063" width="8" style="4" customWidth="1"/>
    <col min="3064" max="3064" width="42.5703125" style="4" bestFit="1" customWidth="1"/>
    <col min="3065" max="3065" width="3.28515625" style="4" customWidth="1"/>
    <col min="3066" max="3066" width="8" style="4" customWidth="1"/>
    <col min="3067" max="3067" width="42.5703125" style="4" bestFit="1" customWidth="1"/>
    <col min="3068" max="3068" width="3.28515625" style="4" customWidth="1"/>
    <col min="3069" max="3069" width="8" style="4" customWidth="1"/>
    <col min="3070" max="3070" width="42.5703125" style="4" bestFit="1" customWidth="1"/>
    <col min="3071" max="3071" width="3.28515625" style="4" customWidth="1"/>
    <col min="3072" max="3072" width="8" style="4" customWidth="1"/>
    <col min="3073" max="3073" width="42.5703125" style="4" bestFit="1" customWidth="1"/>
    <col min="3074" max="3074" width="3.28515625" style="4" customWidth="1"/>
    <col min="3075" max="3075" width="8" style="4" customWidth="1"/>
    <col min="3076" max="3076" width="42.5703125" style="4" bestFit="1" customWidth="1"/>
    <col min="3077" max="3077" width="3.28515625" style="4" customWidth="1"/>
    <col min="3078" max="3078" width="8" style="4" customWidth="1"/>
    <col min="3079" max="3079" width="42.5703125" style="4" bestFit="1" customWidth="1"/>
    <col min="3080" max="3080" width="3.28515625" style="4" customWidth="1"/>
    <col min="3081" max="3081" width="8" style="4" customWidth="1"/>
    <col min="3082" max="3082" width="42.5703125" style="4" bestFit="1" customWidth="1"/>
    <col min="3083" max="3083" width="3.28515625" style="4" customWidth="1"/>
    <col min="3084" max="3084" width="8" style="4" customWidth="1"/>
    <col min="3085" max="3085" width="42.5703125" style="4" bestFit="1" customWidth="1"/>
    <col min="3086" max="3086" width="3.28515625" style="4" customWidth="1"/>
    <col min="3087" max="3087" width="8" style="4" customWidth="1"/>
    <col min="3088" max="3088" width="42.5703125" style="4" bestFit="1" customWidth="1"/>
    <col min="3089" max="3089" width="3.28515625" style="4" customWidth="1"/>
    <col min="3090" max="3090" width="8" style="4" customWidth="1"/>
    <col min="3091" max="3091" width="42.5703125" style="4" bestFit="1" customWidth="1"/>
    <col min="3092" max="3092" width="3.28515625" style="4" customWidth="1"/>
    <col min="3093" max="3093" width="8" style="4" customWidth="1"/>
    <col min="3094" max="3094" width="42.5703125" style="4" bestFit="1" customWidth="1"/>
    <col min="3095" max="3095" width="3.28515625" style="4" customWidth="1"/>
    <col min="3096" max="3096" width="8" style="4" customWidth="1"/>
    <col min="3097" max="3097" width="42.5703125" style="4" bestFit="1" customWidth="1"/>
    <col min="3098" max="3098" width="3.28515625" style="4" customWidth="1"/>
    <col min="3099" max="3099" width="8" style="4" customWidth="1"/>
    <col min="3100" max="3100" width="42.5703125" style="4" bestFit="1" customWidth="1"/>
    <col min="3101" max="3101" width="3.28515625" style="4" customWidth="1"/>
    <col min="3102" max="3102" width="8" style="4" customWidth="1"/>
    <col min="3103" max="3103" width="42.5703125" style="4" bestFit="1" customWidth="1"/>
    <col min="3104" max="3104" width="3.28515625" style="4" customWidth="1"/>
    <col min="3105" max="3105" width="8" style="4" customWidth="1"/>
    <col min="3106" max="3106" width="42.5703125" style="4" bestFit="1" customWidth="1"/>
    <col min="3107" max="3107" width="3.28515625" style="4" customWidth="1"/>
    <col min="3108" max="3108" width="8" style="4" customWidth="1"/>
    <col min="3109" max="3109" width="42.5703125" style="4" bestFit="1" customWidth="1"/>
    <col min="3110" max="3110" width="3.28515625" style="4" customWidth="1"/>
    <col min="3111" max="3111" width="8" style="4" customWidth="1"/>
    <col min="3112" max="3112" width="42.5703125" style="4" bestFit="1" customWidth="1"/>
    <col min="3113" max="3113" width="3.28515625" style="4" customWidth="1"/>
    <col min="3114" max="3114" width="8" style="4" customWidth="1"/>
    <col min="3115" max="3115" width="42.5703125" style="4" bestFit="1" customWidth="1"/>
    <col min="3116" max="3116" width="3.28515625" style="4" customWidth="1"/>
    <col min="3117" max="3117" width="8" style="4" customWidth="1"/>
    <col min="3118" max="3118" width="42.5703125" style="4" bestFit="1" customWidth="1"/>
    <col min="3119" max="3119" width="3.28515625" style="4" customWidth="1"/>
    <col min="3120" max="3120" width="8" style="4" customWidth="1"/>
    <col min="3121" max="3121" width="42.5703125" style="4" bestFit="1" customWidth="1"/>
    <col min="3122" max="3122" width="3.28515625" style="4" customWidth="1"/>
    <col min="3123" max="3123" width="8" style="4" customWidth="1"/>
    <col min="3124" max="3124" width="42.5703125" style="4" bestFit="1" customWidth="1"/>
    <col min="3125" max="3125" width="3.28515625" style="4" customWidth="1"/>
    <col min="3126" max="3126" width="8" style="4" customWidth="1"/>
    <col min="3127" max="3127" width="42.5703125" style="4" bestFit="1" customWidth="1"/>
    <col min="3128" max="3128" width="3.28515625" style="4" customWidth="1"/>
    <col min="3129" max="3129" width="8" style="4" customWidth="1"/>
    <col min="3130" max="3130" width="42.5703125" style="4" bestFit="1" customWidth="1"/>
    <col min="3131" max="3131" width="3.28515625" style="4" customWidth="1"/>
    <col min="3132" max="3132" width="8" style="4" customWidth="1"/>
    <col min="3133" max="3133" width="42.5703125" style="4" bestFit="1" customWidth="1"/>
    <col min="3134" max="3134" width="3.28515625" style="4" customWidth="1"/>
    <col min="3135" max="3135" width="8" style="4" customWidth="1"/>
    <col min="3136" max="3136" width="42.5703125" style="4" bestFit="1" customWidth="1"/>
    <col min="3137" max="3137" width="3.28515625" style="4" customWidth="1"/>
    <col min="3138" max="3138" width="8" style="4" customWidth="1"/>
    <col min="3139" max="3139" width="42.5703125" style="4" bestFit="1" customWidth="1"/>
    <col min="3140" max="3140" width="3.28515625" style="4" customWidth="1"/>
    <col min="3141" max="3141" width="8" style="4" customWidth="1"/>
    <col min="3142" max="3142" width="42.5703125" style="4" bestFit="1" customWidth="1"/>
    <col min="3143" max="3143" width="3.28515625" style="4" customWidth="1"/>
    <col min="3144" max="3144" width="8" style="4" customWidth="1"/>
    <col min="3145" max="3145" width="42.5703125" style="4" bestFit="1" customWidth="1"/>
    <col min="3146" max="3146" width="3.28515625" style="4" customWidth="1"/>
    <col min="3147" max="3147" width="8" style="4" customWidth="1"/>
    <col min="3148" max="3148" width="42.5703125" style="4" bestFit="1" customWidth="1"/>
    <col min="3149" max="3149" width="3.28515625" style="4" customWidth="1"/>
    <col min="3150" max="3150" width="8" style="4" customWidth="1"/>
    <col min="3151" max="3151" width="42.5703125" style="4" bestFit="1" customWidth="1"/>
    <col min="3152" max="3152" width="3.28515625" style="4" customWidth="1"/>
    <col min="3153" max="3153" width="8" style="4" customWidth="1"/>
    <col min="3154" max="3154" width="42.5703125" style="4" bestFit="1" customWidth="1"/>
    <col min="3155" max="3155" width="3.28515625" style="4" customWidth="1"/>
    <col min="3156" max="3156" width="8" style="4" customWidth="1"/>
    <col min="3157" max="3157" width="42.5703125" style="4" bestFit="1" customWidth="1"/>
    <col min="3158" max="3158" width="3.28515625" style="4" customWidth="1"/>
    <col min="3159" max="3159" width="8" style="4" customWidth="1"/>
    <col min="3160" max="3160" width="42.5703125" style="4" bestFit="1" customWidth="1"/>
    <col min="3161" max="3161" width="3.28515625" style="4" customWidth="1"/>
    <col min="3162" max="3162" width="8" style="4" customWidth="1"/>
    <col min="3163" max="3163" width="42.5703125" style="4" bestFit="1" customWidth="1"/>
    <col min="3164" max="3164" width="3.28515625" style="4" customWidth="1"/>
    <col min="3165" max="3165" width="8" style="4" customWidth="1"/>
    <col min="3166" max="3166" width="42.5703125" style="4" bestFit="1" customWidth="1"/>
    <col min="3167" max="3167" width="3.28515625" style="4" customWidth="1"/>
    <col min="3168" max="3168" width="8" style="4" customWidth="1"/>
    <col min="3169" max="3169" width="42.5703125" style="4" bestFit="1" customWidth="1"/>
    <col min="3170" max="3170" width="3.28515625" style="4" customWidth="1"/>
    <col min="3171" max="3171" width="8" style="4" customWidth="1"/>
    <col min="3172" max="3172" width="42.5703125" style="4" bestFit="1" customWidth="1"/>
    <col min="3173" max="3173" width="3.28515625" style="4" customWidth="1"/>
    <col min="3174" max="3174" width="8" style="4" customWidth="1"/>
    <col min="3175" max="3175" width="42.5703125" style="4" bestFit="1" customWidth="1"/>
    <col min="3176" max="3176" width="3.28515625" style="4" customWidth="1"/>
    <col min="3177" max="3177" width="8" style="4" customWidth="1"/>
    <col min="3178" max="3178" width="42.5703125" style="4" bestFit="1" customWidth="1"/>
    <col min="3179" max="3179" width="3.28515625" style="4" customWidth="1"/>
    <col min="3180" max="3180" width="8" style="4" customWidth="1"/>
    <col min="3181" max="3181" width="42.5703125" style="4" bestFit="1" customWidth="1"/>
    <col min="3182" max="3182" width="3.28515625" style="4" customWidth="1"/>
    <col min="3183" max="3183" width="8" style="4" customWidth="1"/>
    <col min="3184" max="3184" width="42.5703125" style="4" bestFit="1" customWidth="1"/>
    <col min="3185" max="3185" width="3.28515625" style="4" customWidth="1"/>
    <col min="3186" max="3186" width="8" style="4" customWidth="1"/>
    <col min="3187" max="3187" width="42.5703125" style="4" bestFit="1" customWidth="1"/>
    <col min="3188" max="3188" width="3.28515625" style="4" customWidth="1"/>
    <col min="3189" max="3189" width="8" style="4" customWidth="1"/>
    <col min="3190" max="3190" width="42.5703125" style="4" bestFit="1" customWidth="1"/>
    <col min="3191" max="3191" width="3.28515625" style="4" customWidth="1"/>
    <col min="3192" max="3192" width="8" style="4" customWidth="1"/>
    <col min="3193" max="3193" width="42.5703125" style="4" bestFit="1" customWidth="1"/>
    <col min="3194" max="3194" width="3.28515625" style="4" customWidth="1"/>
    <col min="3195" max="3195" width="8" style="4" customWidth="1"/>
    <col min="3196" max="3196" width="42.5703125" style="4" bestFit="1" customWidth="1"/>
    <col min="3197" max="3197" width="3.28515625" style="4" customWidth="1"/>
    <col min="3198" max="3198" width="8" style="4" customWidth="1"/>
    <col min="3199" max="3199" width="42.5703125" style="4" bestFit="1" customWidth="1"/>
    <col min="3200" max="3200" width="3.28515625" style="4" customWidth="1"/>
    <col min="3201" max="3201" width="8" style="4" customWidth="1"/>
    <col min="3202" max="3202" width="42.5703125" style="4" bestFit="1" customWidth="1"/>
    <col min="3203" max="3203" width="3.28515625" style="4" customWidth="1"/>
    <col min="3204" max="3204" width="8" style="4" customWidth="1"/>
    <col min="3205" max="3205" width="42.5703125" style="4" bestFit="1" customWidth="1"/>
    <col min="3206" max="3206" width="3.28515625" style="4" customWidth="1"/>
    <col min="3207" max="3207" width="8" style="4" customWidth="1"/>
    <col min="3208" max="3208" width="42.5703125" style="4" bestFit="1" customWidth="1"/>
    <col min="3209" max="3209" width="3.28515625" style="4" customWidth="1"/>
    <col min="3210" max="3210" width="8" style="4" customWidth="1"/>
    <col min="3211" max="3211" width="42.5703125" style="4" bestFit="1" customWidth="1"/>
    <col min="3212" max="3212" width="3.28515625" style="4" customWidth="1"/>
    <col min="3213" max="3213" width="8" style="4" customWidth="1"/>
    <col min="3214" max="3214" width="42.5703125" style="4" bestFit="1" customWidth="1"/>
    <col min="3215" max="3215" width="3.28515625" style="4" customWidth="1"/>
    <col min="3216" max="3216" width="8" style="4" customWidth="1"/>
    <col min="3217" max="3217" width="42.5703125" style="4" bestFit="1" customWidth="1"/>
    <col min="3218" max="3218" width="3.28515625" style="4" customWidth="1"/>
    <col min="3219" max="3219" width="8" style="4" customWidth="1"/>
    <col min="3220" max="3220" width="42.5703125" style="4" bestFit="1" customWidth="1"/>
    <col min="3221" max="3221" width="3.28515625" style="4" customWidth="1"/>
    <col min="3222" max="3222" width="8" style="4" customWidth="1"/>
    <col min="3223" max="3223" width="42.5703125" style="4" bestFit="1" customWidth="1"/>
    <col min="3224" max="3224" width="3.28515625" style="4" customWidth="1"/>
    <col min="3225" max="3225" width="8" style="4" customWidth="1"/>
    <col min="3226" max="3226" width="42.5703125" style="4" bestFit="1" customWidth="1"/>
    <col min="3227" max="3227" width="3.28515625" style="4" customWidth="1"/>
    <col min="3228" max="3228" width="8" style="4" customWidth="1"/>
    <col min="3229" max="3229" width="42.5703125" style="4" bestFit="1" customWidth="1"/>
    <col min="3230" max="3230" width="3.28515625" style="4" customWidth="1"/>
    <col min="3231" max="3231" width="8" style="4" customWidth="1"/>
    <col min="3232" max="3232" width="42.5703125" style="4" bestFit="1" customWidth="1"/>
    <col min="3233" max="3233" width="3.28515625" style="4" customWidth="1"/>
    <col min="3234" max="3234" width="8" style="4" customWidth="1"/>
    <col min="3235" max="3235" width="42.5703125" style="4" bestFit="1" customWidth="1"/>
    <col min="3236" max="3236" width="3.28515625" style="4" customWidth="1"/>
    <col min="3237" max="3237" width="8" style="4" customWidth="1"/>
    <col min="3238" max="3238" width="42.5703125" style="4" bestFit="1" customWidth="1"/>
    <col min="3239" max="3239" width="3.28515625" style="4" customWidth="1"/>
    <col min="3240" max="3240" width="8" style="4" customWidth="1"/>
    <col min="3241" max="3241" width="42.5703125" style="4" bestFit="1" customWidth="1"/>
    <col min="3242" max="3242" width="3.28515625" style="4" customWidth="1"/>
    <col min="3243" max="3243" width="8" style="4" customWidth="1"/>
    <col min="3244" max="3244" width="42.5703125" style="4" bestFit="1" customWidth="1"/>
    <col min="3245" max="3245" width="3.28515625" style="4" customWidth="1"/>
    <col min="3246" max="3246" width="8" style="4" customWidth="1"/>
    <col min="3247" max="3247" width="42.5703125" style="4" bestFit="1" customWidth="1"/>
    <col min="3248" max="3248" width="3.28515625" style="4" customWidth="1"/>
    <col min="3249" max="3249" width="8" style="4" customWidth="1"/>
    <col min="3250" max="3250" width="42.5703125" style="4" bestFit="1" customWidth="1"/>
    <col min="3251" max="3251" width="3.28515625" style="4" customWidth="1"/>
    <col min="3252" max="3252" width="8" style="4" customWidth="1"/>
    <col min="3253" max="3253" width="42.5703125" style="4" bestFit="1" customWidth="1"/>
    <col min="3254" max="3254" width="3.28515625" style="4" customWidth="1"/>
    <col min="3255" max="3255" width="8" style="4" customWidth="1"/>
    <col min="3256" max="3256" width="42.5703125" style="4" bestFit="1" customWidth="1"/>
    <col min="3257" max="3257" width="3.28515625" style="4" customWidth="1"/>
    <col min="3258" max="3258" width="8" style="4" customWidth="1"/>
    <col min="3259" max="3259" width="42.5703125" style="4" bestFit="1" customWidth="1"/>
    <col min="3260" max="3260" width="3.28515625" style="4" customWidth="1"/>
    <col min="3261" max="3261" width="8" style="4" customWidth="1"/>
    <col min="3262" max="3262" width="42.5703125" style="4" bestFit="1" customWidth="1"/>
    <col min="3263" max="3263" width="3.28515625" style="4" customWidth="1"/>
    <col min="3264" max="3264" width="8" style="4" customWidth="1"/>
    <col min="3265" max="3265" width="42.5703125" style="4" bestFit="1" customWidth="1"/>
    <col min="3266" max="3266" width="3.28515625" style="4" customWidth="1"/>
    <col min="3267" max="3267" width="8" style="4" customWidth="1"/>
    <col min="3268" max="3268" width="42.5703125" style="4" bestFit="1" customWidth="1"/>
    <col min="3269" max="3269" width="3.28515625" style="4" customWidth="1"/>
    <col min="3270" max="3270" width="8" style="4" customWidth="1"/>
    <col min="3271" max="3271" width="42.5703125" style="4" bestFit="1" customWidth="1"/>
    <col min="3272" max="3272" width="3.28515625" style="4" customWidth="1"/>
    <col min="3273" max="3273" width="8" style="4" customWidth="1"/>
    <col min="3274" max="3274" width="42.5703125" style="4" bestFit="1" customWidth="1"/>
    <col min="3275" max="3275" width="3.28515625" style="4" customWidth="1"/>
    <col min="3276" max="3276" width="8" style="4" customWidth="1"/>
    <col min="3277" max="3277" width="42.5703125" style="4" bestFit="1" customWidth="1"/>
    <col min="3278" max="3278" width="3.28515625" style="4" customWidth="1"/>
    <col min="3279" max="3279" width="8" style="4" customWidth="1"/>
    <col min="3280" max="3280" width="42.5703125" style="4" bestFit="1" customWidth="1"/>
    <col min="3281" max="3281" width="3.28515625" style="4" customWidth="1"/>
    <col min="3282" max="3282" width="8" style="4" customWidth="1"/>
    <col min="3283" max="3283" width="42.5703125" style="4" bestFit="1" customWidth="1"/>
    <col min="3284" max="3284" width="3.28515625" style="4" customWidth="1"/>
    <col min="3285" max="3285" width="8" style="4" customWidth="1"/>
    <col min="3286" max="3286" width="42.5703125" style="4" bestFit="1" customWidth="1"/>
    <col min="3287" max="3287" width="3.28515625" style="4" customWidth="1"/>
    <col min="3288" max="3288" width="8" style="4" customWidth="1"/>
    <col min="3289" max="3289" width="42.5703125" style="4" bestFit="1" customWidth="1"/>
    <col min="3290" max="3290" width="3.28515625" style="4" customWidth="1"/>
    <col min="3291" max="3291" width="8" style="4" customWidth="1"/>
    <col min="3292" max="3292" width="42.5703125" style="4" bestFit="1" customWidth="1"/>
    <col min="3293" max="3293" width="3.28515625" style="4" customWidth="1"/>
    <col min="3294" max="3294" width="8" style="4" customWidth="1"/>
    <col min="3295" max="3295" width="42.5703125" style="4" bestFit="1" customWidth="1"/>
    <col min="3296" max="3296" width="3.28515625" style="4" customWidth="1"/>
    <col min="3297" max="3297" width="8" style="4" customWidth="1"/>
    <col min="3298" max="3298" width="42.5703125" style="4" bestFit="1" customWidth="1"/>
    <col min="3299" max="3299" width="3.28515625" style="4" customWidth="1"/>
    <col min="3300" max="3300" width="8" style="4" customWidth="1"/>
    <col min="3301" max="3301" width="42.5703125" style="4" bestFit="1" customWidth="1"/>
    <col min="3302" max="3302" width="3.28515625" style="4" customWidth="1"/>
    <col min="3303" max="3303" width="8" style="4" customWidth="1"/>
    <col min="3304" max="3304" width="42.5703125" style="4" bestFit="1" customWidth="1"/>
    <col min="3305" max="3305" width="3.28515625" style="4" customWidth="1"/>
    <col min="3306" max="3306" width="8" style="4" customWidth="1"/>
    <col min="3307" max="3307" width="42.5703125" style="4" bestFit="1" customWidth="1"/>
    <col min="3308" max="3308" width="3.28515625" style="4" customWidth="1"/>
    <col min="3309" max="3309" width="8" style="4" customWidth="1"/>
    <col min="3310" max="3310" width="42.5703125" style="4" bestFit="1" customWidth="1"/>
    <col min="3311" max="3311" width="3.28515625" style="4" customWidth="1"/>
    <col min="3312" max="3312" width="8" style="4" customWidth="1"/>
    <col min="3313" max="3313" width="42.5703125" style="4" bestFit="1" customWidth="1"/>
    <col min="3314" max="3314" width="3.28515625" style="4" customWidth="1"/>
    <col min="3315" max="3315" width="8" style="4" customWidth="1"/>
    <col min="3316" max="3316" width="42.5703125" style="4" bestFit="1" customWidth="1"/>
    <col min="3317" max="3317" width="3.28515625" style="4" customWidth="1"/>
    <col min="3318" max="3318" width="8" style="4" customWidth="1"/>
    <col min="3319" max="3319" width="42.5703125" style="4" bestFit="1" customWidth="1"/>
    <col min="3320" max="3320" width="3.28515625" style="4" customWidth="1"/>
    <col min="3321" max="3321" width="8" style="4" customWidth="1"/>
    <col min="3322" max="3322" width="42.5703125" style="4" bestFit="1" customWidth="1"/>
    <col min="3323" max="3323" width="3.28515625" style="4" customWidth="1"/>
    <col min="3324" max="3324" width="8" style="4" customWidth="1"/>
    <col min="3325" max="3325" width="42.5703125" style="4" bestFit="1" customWidth="1"/>
    <col min="3326" max="3326" width="3.28515625" style="4" customWidth="1"/>
    <col min="3327" max="3327" width="8" style="4" customWidth="1"/>
    <col min="3328" max="3328" width="42.5703125" style="4" bestFit="1" customWidth="1"/>
    <col min="3329" max="3329" width="3.28515625" style="4" customWidth="1"/>
    <col min="3330" max="3330" width="8" style="4" customWidth="1"/>
    <col min="3331" max="3331" width="42.5703125" style="4" bestFit="1" customWidth="1"/>
    <col min="3332" max="3332" width="3.28515625" style="4" customWidth="1"/>
    <col min="3333" max="3333" width="8" style="4" customWidth="1"/>
    <col min="3334" max="3334" width="42.5703125" style="4" bestFit="1" customWidth="1"/>
    <col min="3335" max="3335" width="3.28515625" style="4" customWidth="1"/>
    <col min="3336" max="3336" width="8" style="4" customWidth="1"/>
    <col min="3337" max="3337" width="42.5703125" style="4" bestFit="1" customWidth="1"/>
    <col min="3338" max="3338" width="3.28515625" style="4" customWidth="1"/>
    <col min="3339" max="3339" width="8" style="4" customWidth="1"/>
    <col min="3340" max="3340" width="42.5703125" style="4" bestFit="1" customWidth="1"/>
    <col min="3341" max="3341" width="3.28515625" style="4" customWidth="1"/>
    <col min="3342" max="3342" width="8" style="4" customWidth="1"/>
    <col min="3343" max="3343" width="42.5703125" style="4" bestFit="1" customWidth="1"/>
    <col min="3344" max="3344" width="3.28515625" style="4" customWidth="1"/>
    <col min="3345" max="3345" width="8" style="4" customWidth="1"/>
    <col min="3346" max="3346" width="42.5703125" style="4" bestFit="1" customWidth="1"/>
    <col min="3347" max="3347" width="3.28515625" style="4" customWidth="1"/>
    <col min="3348" max="3348" width="8" style="4" customWidth="1"/>
    <col min="3349" max="3349" width="42.5703125" style="4" bestFit="1" customWidth="1"/>
    <col min="3350" max="3350" width="3.28515625" style="4" customWidth="1"/>
    <col min="3351" max="3351" width="8" style="4" customWidth="1"/>
    <col min="3352" max="3352" width="42.5703125" style="4" bestFit="1" customWidth="1"/>
    <col min="3353" max="3353" width="3.28515625" style="4" customWidth="1"/>
    <col min="3354" max="3354" width="8" style="4" customWidth="1"/>
    <col min="3355" max="3355" width="42.5703125" style="4" bestFit="1" customWidth="1"/>
    <col min="3356" max="3356" width="3.28515625" style="4" customWidth="1"/>
    <col min="3357" max="3357" width="8" style="4" customWidth="1"/>
    <col min="3358" max="3358" width="42.5703125" style="4" bestFit="1" customWidth="1"/>
    <col min="3359" max="3359" width="3.28515625" style="4" customWidth="1"/>
    <col min="3360" max="3360" width="8" style="4" customWidth="1"/>
    <col min="3361" max="3361" width="42.5703125" style="4" bestFit="1" customWidth="1"/>
    <col min="3362" max="3362" width="3.28515625" style="4" customWidth="1"/>
    <col min="3363" max="3363" width="8" style="4" customWidth="1"/>
    <col min="3364" max="3364" width="42.5703125" style="4" bestFit="1" customWidth="1"/>
    <col min="3365" max="3365" width="3.28515625" style="4" customWidth="1"/>
    <col min="3366" max="3366" width="8" style="4" customWidth="1"/>
    <col min="3367" max="3367" width="42.5703125" style="4" bestFit="1" customWidth="1"/>
    <col min="3368" max="3368" width="3.28515625" style="4" customWidth="1"/>
    <col min="3369" max="3369" width="8" style="4" customWidth="1"/>
    <col min="3370" max="3370" width="42.5703125" style="4" bestFit="1" customWidth="1"/>
    <col min="3371" max="3371" width="3.28515625" style="4" customWidth="1"/>
    <col min="3372" max="3372" width="8" style="4" customWidth="1"/>
    <col min="3373" max="3373" width="42.5703125" style="4" bestFit="1" customWidth="1"/>
    <col min="3374" max="3374" width="3.28515625" style="4" customWidth="1"/>
    <col min="3375" max="3375" width="8" style="4" customWidth="1"/>
    <col min="3376" max="3376" width="42.5703125" style="4" bestFit="1" customWidth="1"/>
    <col min="3377" max="3377" width="3.28515625" style="4" customWidth="1"/>
    <col min="3378" max="3378" width="8" style="4" customWidth="1"/>
    <col min="3379" max="3379" width="42.5703125" style="4" bestFit="1" customWidth="1"/>
    <col min="3380" max="3380" width="3.28515625" style="4" customWidth="1"/>
    <col min="3381" max="3381" width="8" style="4" customWidth="1"/>
    <col min="3382" max="3382" width="42.5703125" style="4" bestFit="1" customWidth="1"/>
    <col min="3383" max="3383" width="3.28515625" style="4" customWidth="1"/>
    <col min="3384" max="3384" width="8" style="4" customWidth="1"/>
    <col min="3385" max="3385" width="42.5703125" style="4" bestFit="1" customWidth="1"/>
    <col min="3386" max="3386" width="3.28515625" style="4" customWidth="1"/>
    <col min="3387" max="3387" width="8" style="4" customWidth="1"/>
    <col min="3388" max="3388" width="42.5703125" style="4" bestFit="1" customWidth="1"/>
    <col min="3389" max="3389" width="3.28515625" style="4" customWidth="1"/>
    <col min="3390" max="3390" width="8" style="4" customWidth="1"/>
    <col min="3391" max="3391" width="42.5703125" style="4" bestFit="1" customWidth="1"/>
    <col min="3392" max="3392" width="3.28515625" style="4" customWidth="1"/>
    <col min="3393" max="3393" width="8" style="4" customWidth="1"/>
    <col min="3394" max="3394" width="42.5703125" style="4" bestFit="1" customWidth="1"/>
    <col min="3395" max="3395" width="3.28515625" style="4" customWidth="1"/>
    <col min="3396" max="3396" width="8" style="4" customWidth="1"/>
    <col min="3397" max="3397" width="42.5703125" style="4" bestFit="1" customWidth="1"/>
    <col min="3398" max="3398" width="3.28515625" style="4" customWidth="1"/>
    <col min="3399" max="3399" width="8" style="4" customWidth="1"/>
    <col min="3400" max="3400" width="42.5703125" style="4" bestFit="1" customWidth="1"/>
    <col min="3401" max="3401" width="3.28515625" style="4" customWidth="1"/>
    <col min="3402" max="3402" width="8" style="4" customWidth="1"/>
    <col min="3403" max="3403" width="42.5703125" style="4" bestFit="1" customWidth="1"/>
    <col min="3404" max="3404" width="3.28515625" style="4" customWidth="1"/>
    <col min="3405" max="3405" width="8" style="4" customWidth="1"/>
    <col min="3406" max="3406" width="42.5703125" style="4" bestFit="1" customWidth="1"/>
    <col min="3407" max="3407" width="3.28515625" style="4" customWidth="1"/>
    <col min="3408" max="3408" width="8" style="4" customWidth="1"/>
    <col min="3409" max="3409" width="42.5703125" style="4" bestFit="1" customWidth="1"/>
    <col min="3410" max="3410" width="3.28515625" style="4" customWidth="1"/>
    <col min="3411" max="3411" width="8" style="4" customWidth="1"/>
    <col min="3412" max="3412" width="42.5703125" style="4" bestFit="1" customWidth="1"/>
    <col min="3413" max="3413" width="3.28515625" style="4" customWidth="1"/>
    <col min="3414" max="3414" width="8" style="4" customWidth="1"/>
    <col min="3415" max="3415" width="42.5703125" style="4" bestFit="1" customWidth="1"/>
    <col min="3416" max="3416" width="3.28515625" style="4" customWidth="1"/>
    <col min="3417" max="3417" width="8" style="4" customWidth="1"/>
    <col min="3418" max="3418" width="42.5703125" style="4" bestFit="1" customWidth="1"/>
    <col min="3419" max="3419" width="3.28515625" style="4" customWidth="1"/>
    <col min="3420" max="3420" width="8" style="4" customWidth="1"/>
    <col min="3421" max="3421" width="42.5703125" style="4" bestFit="1" customWidth="1"/>
    <col min="3422" max="3422" width="3.28515625" style="4" customWidth="1"/>
    <col min="3423" max="3423" width="8" style="4" customWidth="1"/>
    <col min="3424" max="3424" width="42.5703125" style="4" bestFit="1" customWidth="1"/>
    <col min="3425" max="3425" width="3.28515625" style="4" customWidth="1"/>
    <col min="3426" max="3426" width="8" style="4" customWidth="1"/>
    <col min="3427" max="3427" width="42.5703125" style="4" bestFit="1" customWidth="1"/>
    <col min="3428" max="3428" width="3.28515625" style="4" customWidth="1"/>
    <col min="3429" max="3429" width="8" style="4" customWidth="1"/>
    <col min="3430" max="3430" width="42.5703125" style="4" bestFit="1" customWidth="1"/>
    <col min="3431" max="3431" width="3.28515625" style="4" customWidth="1"/>
    <col min="3432" max="3432" width="8" style="4" customWidth="1"/>
    <col min="3433" max="3433" width="42.5703125" style="4" bestFit="1" customWidth="1"/>
    <col min="3434" max="3434" width="3.28515625" style="4" customWidth="1"/>
    <col min="3435" max="3435" width="8" style="4" customWidth="1"/>
    <col min="3436" max="3436" width="42.5703125" style="4" bestFit="1" customWidth="1"/>
    <col min="3437" max="3437" width="3.28515625" style="4" customWidth="1"/>
    <col min="3438" max="3438" width="8" style="4" customWidth="1"/>
    <col min="3439" max="3439" width="42.5703125" style="4" bestFit="1" customWidth="1"/>
    <col min="3440" max="3440" width="3.28515625" style="4" customWidth="1"/>
    <col min="3441" max="3441" width="8" style="4" customWidth="1"/>
    <col min="3442" max="3442" width="42.5703125" style="4" bestFit="1" customWidth="1"/>
    <col min="3443" max="3443" width="3.28515625" style="4" customWidth="1"/>
    <col min="3444" max="3444" width="8" style="4" customWidth="1"/>
    <col min="3445" max="3445" width="42.5703125" style="4" bestFit="1" customWidth="1"/>
    <col min="3446" max="3446" width="3.28515625" style="4" customWidth="1"/>
    <col min="3447" max="3447" width="8" style="4" customWidth="1"/>
    <col min="3448" max="3448" width="42.5703125" style="4" bestFit="1" customWidth="1"/>
    <col min="3449" max="3449" width="3.28515625" style="4" customWidth="1"/>
    <col min="3450" max="3450" width="8" style="4" customWidth="1"/>
    <col min="3451" max="3451" width="42.5703125" style="4" bestFit="1" customWidth="1"/>
    <col min="3452" max="3452" width="3.28515625" style="4" customWidth="1"/>
    <col min="3453" max="3453" width="8" style="4" customWidth="1"/>
    <col min="3454" max="3454" width="42.5703125" style="4" bestFit="1" customWidth="1"/>
    <col min="3455" max="3455" width="3.28515625" style="4" customWidth="1"/>
    <col min="3456" max="3456" width="8" style="4" customWidth="1"/>
    <col min="3457" max="3457" width="42.5703125" style="4" bestFit="1" customWidth="1"/>
    <col min="3458" max="3458" width="3.28515625" style="4" customWidth="1"/>
    <col min="3459" max="3459" width="8" style="4" customWidth="1"/>
    <col min="3460" max="3460" width="42.5703125" style="4" bestFit="1" customWidth="1"/>
    <col min="3461" max="3461" width="3.28515625" style="4" customWidth="1"/>
    <col min="3462" max="3462" width="8" style="4" customWidth="1"/>
    <col min="3463" max="3463" width="42.5703125" style="4" bestFit="1" customWidth="1"/>
    <col min="3464" max="3464" width="3.28515625" style="4" customWidth="1"/>
    <col min="3465" max="3465" width="8" style="4" customWidth="1"/>
    <col min="3466" max="3466" width="42.5703125" style="4" bestFit="1" customWidth="1"/>
    <col min="3467" max="3467" width="3.28515625" style="4" customWidth="1"/>
    <col min="3468" max="3468" width="8" style="4" customWidth="1"/>
    <col min="3469" max="3469" width="42.5703125" style="4" bestFit="1" customWidth="1"/>
    <col min="3470" max="3470" width="3.28515625" style="4" customWidth="1"/>
    <col min="3471" max="3471" width="8" style="4" customWidth="1"/>
    <col min="3472" max="3472" width="42.5703125" style="4" bestFit="1" customWidth="1"/>
    <col min="3473" max="3473" width="3.28515625" style="4" customWidth="1"/>
    <col min="3474" max="3474" width="8" style="4" customWidth="1"/>
    <col min="3475" max="3475" width="42.5703125" style="4" bestFit="1" customWidth="1"/>
    <col min="3476" max="3476" width="3.28515625" style="4" customWidth="1"/>
    <col min="3477" max="3477" width="8" style="4" customWidth="1"/>
    <col min="3478" max="3478" width="42.5703125" style="4" bestFit="1" customWidth="1"/>
    <col min="3479" max="3479" width="3.28515625" style="4" customWidth="1"/>
    <col min="3480" max="3480" width="8" style="4" customWidth="1"/>
    <col min="3481" max="3481" width="42.5703125" style="4" bestFit="1" customWidth="1"/>
    <col min="3482" max="3482" width="3.28515625" style="4" customWidth="1"/>
    <col min="3483" max="3483" width="8" style="4" customWidth="1"/>
    <col min="3484" max="3484" width="42.5703125" style="4" bestFit="1" customWidth="1"/>
    <col min="3485" max="3485" width="3.28515625" style="4" customWidth="1"/>
    <col min="3486" max="3486" width="8" style="4" customWidth="1"/>
    <col min="3487" max="3487" width="42.5703125" style="4" bestFit="1" customWidth="1"/>
    <col min="3488" max="3488" width="3.28515625" style="4" customWidth="1"/>
    <col min="3489" max="3489" width="8" style="4" customWidth="1"/>
    <col min="3490" max="3490" width="42.5703125" style="4" bestFit="1" customWidth="1"/>
    <col min="3491" max="3491" width="3.28515625" style="4" customWidth="1"/>
    <col min="3492" max="3492" width="8" style="4" customWidth="1"/>
    <col min="3493" max="3493" width="42.5703125" style="4" bestFit="1" customWidth="1"/>
    <col min="3494" max="3494" width="3.28515625" style="4" customWidth="1"/>
    <col min="3495" max="3495" width="8" style="4" customWidth="1"/>
    <col min="3496" max="3496" width="42.5703125" style="4" bestFit="1" customWidth="1"/>
    <col min="3497" max="3497" width="3.28515625" style="4" customWidth="1"/>
    <col min="3498" max="3498" width="8" style="4" customWidth="1"/>
    <col min="3499" max="3499" width="42.5703125" style="4" bestFit="1" customWidth="1"/>
    <col min="3500" max="3500" width="3.28515625" style="4" customWidth="1"/>
    <col min="3501" max="3501" width="8" style="4" customWidth="1"/>
    <col min="3502" max="3502" width="42.5703125" style="4" bestFit="1" customWidth="1"/>
    <col min="3503" max="3503" width="3.28515625" style="4" customWidth="1"/>
    <col min="3504" max="3504" width="8" style="4" customWidth="1"/>
    <col min="3505" max="3505" width="42.5703125" style="4" bestFit="1" customWidth="1"/>
    <col min="3506" max="3506" width="3.28515625" style="4" customWidth="1"/>
    <col min="3507" max="3507" width="8" style="4" customWidth="1"/>
    <col min="3508" max="3508" width="42.5703125" style="4" bestFit="1" customWidth="1"/>
    <col min="3509" max="3509" width="3.28515625" style="4" customWidth="1"/>
    <col min="3510" max="3510" width="8" style="4" customWidth="1"/>
    <col min="3511" max="3511" width="42.5703125" style="4" bestFit="1" customWidth="1"/>
    <col min="3512" max="3512" width="3.28515625" style="4" customWidth="1"/>
    <col min="3513" max="3513" width="8" style="4" customWidth="1"/>
    <col min="3514" max="3514" width="42.5703125" style="4" bestFit="1" customWidth="1"/>
    <col min="3515" max="3515" width="3.28515625" style="4" customWidth="1"/>
    <col min="3516" max="3516" width="8" style="4" customWidth="1"/>
    <col min="3517" max="3517" width="42.5703125" style="4" bestFit="1" customWidth="1"/>
    <col min="3518" max="3518" width="3.28515625" style="4" customWidth="1"/>
    <col min="3519" max="3519" width="8" style="4" customWidth="1"/>
    <col min="3520" max="3520" width="42.5703125" style="4" bestFit="1" customWidth="1"/>
    <col min="3521" max="3521" width="3.28515625" style="4" customWidth="1"/>
    <col min="3522" max="3522" width="8" style="4" customWidth="1"/>
    <col min="3523" max="3523" width="42.5703125" style="4" bestFit="1" customWidth="1"/>
    <col min="3524" max="3524" width="3.28515625" style="4" customWidth="1"/>
    <col min="3525" max="3525" width="8" style="4" customWidth="1"/>
    <col min="3526" max="3526" width="42.5703125" style="4" bestFit="1" customWidth="1"/>
    <col min="3527" max="3527" width="3.28515625" style="4" customWidth="1"/>
    <col min="3528" max="3528" width="8" style="4" customWidth="1"/>
    <col min="3529" max="3529" width="42.5703125" style="4" bestFit="1" customWidth="1"/>
    <col min="3530" max="3530" width="3.28515625" style="4" customWidth="1"/>
    <col min="3531" max="3531" width="8" style="4" customWidth="1"/>
    <col min="3532" max="3532" width="42.5703125" style="4" bestFit="1" customWidth="1"/>
    <col min="3533" max="3533" width="3.28515625" style="4" customWidth="1"/>
    <col min="3534" max="3534" width="8" style="4" customWidth="1"/>
    <col min="3535" max="3535" width="42.5703125" style="4" bestFit="1" customWidth="1"/>
    <col min="3536" max="3536" width="3.28515625" style="4" customWidth="1"/>
    <col min="3537" max="3537" width="8" style="4" customWidth="1"/>
    <col min="3538" max="3538" width="42.5703125" style="4" bestFit="1" customWidth="1"/>
    <col min="3539" max="3539" width="3.28515625" style="4" customWidth="1"/>
    <col min="3540" max="3540" width="8" style="4" customWidth="1"/>
    <col min="3541" max="3541" width="42.5703125" style="4" bestFit="1" customWidth="1"/>
    <col min="3542" max="3542" width="3.28515625" style="4" customWidth="1"/>
    <col min="3543" max="3543" width="8" style="4" customWidth="1"/>
    <col min="3544" max="3544" width="42.5703125" style="4" bestFit="1" customWidth="1"/>
    <col min="3545" max="3545" width="3.28515625" style="4" customWidth="1"/>
    <col min="3546" max="3546" width="8" style="4" customWidth="1"/>
    <col min="3547" max="3547" width="42.5703125" style="4" bestFit="1" customWidth="1"/>
    <col min="3548" max="3548" width="3.28515625" style="4" customWidth="1"/>
    <col min="3549" max="3549" width="8" style="4" customWidth="1"/>
    <col min="3550" max="3550" width="42.5703125" style="4" bestFit="1" customWidth="1"/>
    <col min="3551" max="3551" width="3.28515625" style="4" customWidth="1"/>
    <col min="3552" max="3552" width="8" style="4" customWidth="1"/>
    <col min="3553" max="3553" width="42.5703125" style="4" bestFit="1" customWidth="1"/>
    <col min="3554" max="3554" width="3.28515625" style="4" customWidth="1"/>
    <col min="3555" max="3555" width="8" style="4" customWidth="1"/>
    <col min="3556" max="3556" width="42.5703125" style="4" bestFit="1" customWidth="1"/>
    <col min="3557" max="3557" width="3.28515625" style="4" customWidth="1"/>
    <col min="3558" max="3558" width="8" style="4" customWidth="1"/>
    <col min="3559" max="3559" width="42.5703125" style="4" bestFit="1" customWidth="1"/>
    <col min="3560" max="3560" width="3.28515625" style="4" customWidth="1"/>
    <col min="3561" max="3561" width="8" style="4" customWidth="1"/>
    <col min="3562" max="3562" width="42.5703125" style="4" bestFit="1" customWidth="1"/>
    <col min="3563" max="3563" width="3.28515625" style="4" customWidth="1"/>
    <col min="3564" max="3564" width="8" style="4" customWidth="1"/>
    <col min="3565" max="3565" width="42.5703125" style="4" bestFit="1" customWidth="1"/>
    <col min="3566" max="3566" width="3.28515625" style="4" customWidth="1"/>
    <col min="3567" max="3567" width="8" style="4" customWidth="1"/>
    <col min="3568" max="3568" width="42.5703125" style="4" bestFit="1" customWidth="1"/>
    <col min="3569" max="3569" width="3.28515625" style="4" customWidth="1"/>
    <col min="3570" max="3570" width="8" style="4" customWidth="1"/>
    <col min="3571" max="3571" width="42.5703125" style="4" bestFit="1" customWidth="1"/>
    <col min="3572" max="3572" width="3.28515625" style="4" customWidth="1"/>
    <col min="3573" max="3573" width="8" style="4" customWidth="1"/>
    <col min="3574" max="3574" width="42.5703125" style="4" bestFit="1" customWidth="1"/>
    <col min="3575" max="3575" width="3.28515625" style="4" customWidth="1"/>
    <col min="3576" max="3576" width="8" style="4" customWidth="1"/>
    <col min="3577" max="3577" width="42.5703125" style="4" bestFit="1" customWidth="1"/>
    <col min="3578" max="3578" width="3.28515625" style="4" customWidth="1"/>
    <col min="3579" max="3579" width="8" style="4" customWidth="1"/>
    <col min="3580" max="3580" width="42.5703125" style="4" bestFit="1" customWidth="1"/>
    <col min="3581" max="3581" width="3.28515625" style="4" customWidth="1"/>
    <col min="3582" max="3582" width="8" style="4" customWidth="1"/>
    <col min="3583" max="3583" width="42.5703125" style="4" bestFit="1" customWidth="1"/>
    <col min="3584" max="3584" width="3.28515625" style="4" customWidth="1"/>
    <col min="3585" max="3585" width="8" style="4" customWidth="1"/>
    <col min="3586" max="3586" width="42.5703125" style="4" bestFit="1" customWidth="1"/>
    <col min="3587" max="3587" width="3.28515625" style="4" customWidth="1"/>
    <col min="3588" max="3588" width="8" style="4" customWidth="1"/>
    <col min="3589" max="3589" width="42.5703125" style="4" bestFit="1" customWidth="1"/>
    <col min="3590" max="3590" width="3.28515625" style="4" customWidth="1"/>
    <col min="3591" max="3591" width="8" style="4" customWidth="1"/>
    <col min="3592" max="3592" width="42.5703125" style="4" bestFit="1" customWidth="1"/>
    <col min="3593" max="3593" width="3.28515625" style="4" customWidth="1"/>
    <col min="3594" max="3594" width="8" style="4" customWidth="1"/>
    <col min="3595" max="3595" width="42.5703125" style="4" bestFit="1" customWidth="1"/>
    <col min="3596" max="3596" width="3.28515625" style="4" customWidth="1"/>
    <col min="3597" max="3597" width="8" style="4" customWidth="1"/>
    <col min="3598" max="3598" width="42.5703125" style="4" bestFit="1" customWidth="1"/>
    <col min="3599" max="3599" width="3.28515625" style="4" customWidth="1"/>
    <col min="3600" max="3600" width="8" style="4" customWidth="1"/>
    <col min="3601" max="3601" width="42.5703125" style="4" bestFit="1" customWidth="1"/>
    <col min="3602" max="3602" width="3.28515625" style="4" customWidth="1"/>
    <col min="3603" max="3603" width="8" style="4" customWidth="1"/>
    <col min="3604" max="3604" width="42.5703125" style="4" bestFit="1" customWidth="1"/>
    <col min="3605" max="3605" width="3.28515625" style="4" customWidth="1"/>
    <col min="3606" max="3606" width="8" style="4" customWidth="1"/>
    <col min="3607" max="3607" width="42.5703125" style="4" bestFit="1" customWidth="1"/>
    <col min="3608" max="3608" width="3.28515625" style="4" customWidth="1"/>
    <col min="3609" max="3609" width="8" style="4" customWidth="1"/>
    <col min="3610" max="3610" width="42.5703125" style="4" bestFit="1" customWidth="1"/>
    <col min="3611" max="3611" width="3.28515625" style="4" customWidth="1"/>
    <col min="3612" max="3612" width="8" style="4" customWidth="1"/>
    <col min="3613" max="3613" width="42.5703125" style="4" bestFit="1" customWidth="1"/>
    <col min="3614" max="3614" width="3.28515625" style="4" customWidth="1"/>
    <col min="3615" max="3615" width="8" style="4" customWidth="1"/>
    <col min="3616" max="3616" width="42.5703125" style="4" bestFit="1" customWidth="1"/>
    <col min="3617" max="3617" width="3.28515625" style="4" customWidth="1"/>
    <col min="3618" max="3618" width="8" style="4" customWidth="1"/>
    <col min="3619" max="3619" width="42.5703125" style="4" bestFit="1" customWidth="1"/>
    <col min="3620" max="3620" width="3.28515625" style="4" customWidth="1"/>
    <col min="3621" max="3621" width="8" style="4" customWidth="1"/>
    <col min="3622" max="3622" width="42.5703125" style="4" bestFit="1" customWidth="1"/>
    <col min="3623" max="3623" width="3.28515625" style="4" customWidth="1"/>
    <col min="3624" max="3624" width="8" style="4" customWidth="1"/>
    <col min="3625" max="3625" width="42.5703125" style="4" bestFit="1" customWidth="1"/>
    <col min="3626" max="3626" width="3.28515625" style="4" customWidth="1"/>
    <col min="3627" max="3627" width="8" style="4" customWidth="1"/>
    <col min="3628" max="3628" width="42.5703125" style="4" bestFit="1" customWidth="1"/>
    <col min="3629" max="3629" width="3.28515625" style="4" customWidth="1"/>
    <col min="3630" max="3630" width="8" style="4" customWidth="1"/>
    <col min="3631" max="3631" width="42.5703125" style="4" bestFit="1" customWidth="1"/>
    <col min="3632" max="3632" width="3.28515625" style="4" customWidth="1"/>
    <col min="3633" max="3633" width="8" style="4" customWidth="1"/>
    <col min="3634" max="3634" width="42.5703125" style="4" bestFit="1" customWidth="1"/>
    <col min="3635" max="3635" width="3.28515625" style="4" customWidth="1"/>
    <col min="3636" max="3636" width="8" style="4" customWidth="1"/>
    <col min="3637" max="3637" width="42.5703125" style="4" bestFit="1" customWidth="1"/>
    <col min="3638" max="3638" width="3.28515625" style="4" customWidth="1"/>
    <col min="3639" max="3639" width="8" style="4" customWidth="1"/>
    <col min="3640" max="3640" width="42.5703125" style="4" bestFit="1" customWidth="1"/>
    <col min="3641" max="3641" width="3.28515625" style="4" customWidth="1"/>
    <col min="3642" max="3642" width="8" style="4" customWidth="1"/>
    <col min="3643" max="3643" width="42.5703125" style="4" bestFit="1" customWidth="1"/>
    <col min="3644" max="3644" width="3.28515625" style="4" customWidth="1"/>
    <col min="3645" max="3645" width="8" style="4" customWidth="1"/>
    <col min="3646" max="3646" width="42.5703125" style="4" bestFit="1" customWidth="1"/>
    <col min="3647" max="3647" width="3.28515625" style="4" customWidth="1"/>
    <col min="3648" max="3648" width="8" style="4" customWidth="1"/>
    <col min="3649" max="3649" width="42.5703125" style="4" bestFit="1" customWidth="1"/>
    <col min="3650" max="3650" width="3.28515625" style="4" customWidth="1"/>
    <col min="3651" max="3651" width="8" style="4" customWidth="1"/>
    <col min="3652" max="3652" width="42.5703125" style="4" bestFit="1" customWidth="1"/>
    <col min="3653" max="3653" width="3.28515625" style="4" customWidth="1"/>
    <col min="3654" max="3654" width="8" style="4" customWidth="1"/>
    <col min="3655" max="3655" width="42.5703125" style="4" bestFit="1" customWidth="1"/>
    <col min="3656" max="3656" width="3.28515625" style="4" customWidth="1"/>
    <col min="3657" max="3657" width="8" style="4" customWidth="1"/>
    <col min="3658" max="3658" width="42.5703125" style="4" bestFit="1" customWidth="1"/>
    <col min="3659" max="3659" width="3.28515625" style="4" customWidth="1"/>
    <col min="3660" max="3660" width="8" style="4" customWidth="1"/>
    <col min="3661" max="3661" width="42.5703125" style="4" bestFit="1" customWidth="1"/>
    <col min="3662" max="3662" width="3.28515625" style="4" customWidth="1"/>
    <col min="3663" max="3663" width="8" style="4" customWidth="1"/>
    <col min="3664" max="3664" width="42.5703125" style="4" bestFit="1" customWidth="1"/>
    <col min="3665" max="3665" width="3.28515625" style="4" customWidth="1"/>
    <col min="3666" max="3666" width="8" style="4" customWidth="1"/>
    <col min="3667" max="3667" width="42.5703125" style="4" bestFit="1" customWidth="1"/>
    <col min="3668" max="3668" width="3.28515625" style="4" customWidth="1"/>
    <col min="3669" max="3669" width="8" style="4" customWidth="1"/>
    <col min="3670" max="3670" width="42.5703125" style="4" bestFit="1" customWidth="1"/>
    <col min="3671" max="3671" width="3.28515625" style="4" customWidth="1"/>
    <col min="3672" max="3672" width="8" style="4" customWidth="1"/>
    <col min="3673" max="3673" width="42.5703125" style="4" bestFit="1" customWidth="1"/>
    <col min="3674" max="3674" width="3.28515625" style="4" customWidth="1"/>
    <col min="3675" max="3675" width="8" style="4" customWidth="1"/>
    <col min="3676" max="3676" width="42.5703125" style="4" bestFit="1" customWidth="1"/>
    <col min="3677" max="3677" width="3.28515625" style="4" customWidth="1"/>
    <col min="3678" max="3678" width="8" style="4" customWidth="1"/>
    <col min="3679" max="3679" width="42.5703125" style="4" bestFit="1" customWidth="1"/>
    <col min="3680" max="3680" width="3.28515625" style="4" customWidth="1"/>
    <col min="3681" max="3681" width="8" style="4" customWidth="1"/>
    <col min="3682" max="3682" width="42.5703125" style="4" bestFit="1" customWidth="1"/>
    <col min="3683" max="3683" width="3.28515625" style="4" customWidth="1"/>
    <col min="3684" max="3684" width="8" style="4" customWidth="1"/>
    <col min="3685" max="3685" width="42.5703125" style="4" bestFit="1" customWidth="1"/>
    <col min="3686" max="3686" width="3.28515625" style="4" customWidth="1"/>
    <col min="3687" max="3687" width="8" style="4" customWidth="1"/>
    <col min="3688" max="3688" width="42.5703125" style="4" bestFit="1" customWidth="1"/>
    <col min="3689" max="3689" width="3.28515625" style="4" customWidth="1"/>
    <col min="3690" max="3690" width="8" style="4" customWidth="1"/>
    <col min="3691" max="3691" width="42.5703125" style="4" bestFit="1" customWidth="1"/>
    <col min="3692" max="3692" width="3.28515625" style="4" customWidth="1"/>
    <col min="3693" max="3693" width="8" style="4" customWidth="1"/>
    <col min="3694" max="3694" width="42.5703125" style="4" bestFit="1" customWidth="1"/>
    <col min="3695" max="3695" width="3.28515625" style="4" customWidth="1"/>
    <col min="3696" max="3696" width="8" style="4" customWidth="1"/>
    <col min="3697" max="3697" width="42.5703125" style="4" bestFit="1" customWidth="1"/>
    <col min="3698" max="3698" width="3.28515625" style="4" customWidth="1"/>
    <col min="3699" max="3699" width="8" style="4" customWidth="1"/>
    <col min="3700" max="3700" width="42.5703125" style="4" bestFit="1" customWidth="1"/>
    <col min="3701" max="3701" width="3.28515625" style="4" customWidth="1"/>
    <col min="3702" max="3702" width="8" style="4" customWidth="1"/>
    <col min="3703" max="3703" width="42.5703125" style="4" bestFit="1" customWidth="1"/>
    <col min="3704" max="3704" width="3.28515625" style="4" customWidth="1"/>
    <col min="3705" max="3705" width="8" style="4" customWidth="1"/>
    <col min="3706" max="3706" width="42.5703125" style="4" bestFit="1" customWidth="1"/>
    <col min="3707" max="3707" width="3.28515625" style="4" customWidth="1"/>
    <col min="3708" max="3708" width="8" style="4" customWidth="1"/>
    <col min="3709" max="3709" width="42.5703125" style="4" bestFit="1" customWidth="1"/>
    <col min="3710" max="3710" width="3.28515625" style="4" customWidth="1"/>
    <col min="3711" max="3711" width="8" style="4" customWidth="1"/>
    <col min="3712" max="3712" width="42.5703125" style="4" bestFit="1" customWidth="1"/>
    <col min="3713" max="3713" width="3.28515625" style="4" customWidth="1"/>
    <col min="3714" max="3714" width="8" style="4" customWidth="1"/>
    <col min="3715" max="3715" width="42.5703125" style="4" bestFit="1" customWidth="1"/>
    <col min="3716" max="3716" width="3.28515625" style="4" customWidth="1"/>
    <col min="3717" max="3717" width="8" style="4" customWidth="1"/>
    <col min="3718" max="3718" width="42.5703125" style="4" bestFit="1" customWidth="1"/>
    <col min="3719" max="3719" width="3.28515625" style="4" customWidth="1"/>
    <col min="3720" max="3720" width="8" style="4" customWidth="1"/>
    <col min="3721" max="3721" width="42.5703125" style="4" bestFit="1" customWidth="1"/>
    <col min="3722" max="3722" width="3.28515625" style="4" customWidth="1"/>
    <col min="3723" max="3723" width="8" style="4" customWidth="1"/>
    <col min="3724" max="3724" width="42.5703125" style="4" bestFit="1" customWidth="1"/>
    <col min="3725" max="3725" width="3.28515625" style="4" customWidth="1"/>
    <col min="3726" max="3726" width="8" style="4" customWidth="1"/>
    <col min="3727" max="3727" width="42.5703125" style="4" bestFit="1" customWidth="1"/>
    <col min="3728" max="3728" width="3.28515625" style="4" customWidth="1"/>
    <col min="3729" max="3729" width="8" style="4" customWidth="1"/>
    <col min="3730" max="3730" width="42.5703125" style="4" bestFit="1" customWidth="1"/>
    <col min="3731" max="3731" width="3.28515625" style="4" customWidth="1"/>
    <col min="3732" max="3732" width="8" style="4" customWidth="1"/>
    <col min="3733" max="3733" width="42.5703125" style="4" bestFit="1" customWidth="1"/>
    <col min="3734" max="3734" width="3.28515625" style="4" customWidth="1"/>
    <col min="3735" max="3735" width="8" style="4" customWidth="1"/>
    <col min="3736" max="3736" width="42.5703125" style="4" bestFit="1" customWidth="1"/>
    <col min="3737" max="3737" width="3.28515625" style="4" customWidth="1"/>
    <col min="3738" max="3738" width="8" style="4" customWidth="1"/>
    <col min="3739" max="3739" width="42.5703125" style="4" bestFit="1" customWidth="1"/>
    <col min="3740" max="3740" width="3.28515625" style="4" customWidth="1"/>
    <col min="3741" max="3741" width="8" style="4" customWidth="1"/>
    <col min="3742" max="3742" width="42.5703125" style="4" bestFit="1" customWidth="1"/>
    <col min="3743" max="3743" width="3.28515625" style="4" customWidth="1"/>
    <col min="3744" max="3744" width="8" style="4" customWidth="1"/>
    <col min="3745" max="3745" width="42.5703125" style="4" bestFit="1" customWidth="1"/>
    <col min="3746" max="3746" width="3.28515625" style="4" customWidth="1"/>
    <col min="3747" max="3747" width="8" style="4" customWidth="1"/>
    <col min="3748" max="3748" width="42.5703125" style="4" bestFit="1" customWidth="1"/>
    <col min="3749" max="3749" width="3.28515625" style="4" customWidth="1"/>
    <col min="3750" max="3750" width="8" style="4" customWidth="1"/>
    <col min="3751" max="3751" width="42.5703125" style="4" bestFit="1" customWidth="1"/>
    <col min="3752" max="3752" width="3.28515625" style="4" customWidth="1"/>
    <col min="3753" max="3753" width="8" style="4" customWidth="1"/>
    <col min="3754" max="3754" width="42.5703125" style="4" bestFit="1" customWidth="1"/>
    <col min="3755" max="3755" width="3.28515625" style="4" customWidth="1"/>
    <col min="3756" max="3756" width="8" style="4" customWidth="1"/>
    <col min="3757" max="3757" width="42.5703125" style="4" bestFit="1" customWidth="1"/>
    <col min="3758" max="3758" width="3.28515625" style="4" customWidth="1"/>
    <col min="3759" max="3759" width="8" style="4" customWidth="1"/>
    <col min="3760" max="3760" width="42.5703125" style="4" bestFit="1" customWidth="1"/>
    <col min="3761" max="3761" width="3.28515625" style="4" customWidth="1"/>
    <col min="3762" max="3762" width="8" style="4" customWidth="1"/>
    <col min="3763" max="3763" width="42.5703125" style="4" bestFit="1" customWidth="1"/>
    <col min="3764" max="3764" width="3.28515625" style="4" customWidth="1"/>
    <col min="3765" max="3765" width="8" style="4" customWidth="1"/>
    <col min="3766" max="3766" width="42.5703125" style="4" bestFit="1" customWidth="1"/>
    <col min="3767" max="3767" width="3.28515625" style="4" customWidth="1"/>
    <col min="3768" max="3768" width="8" style="4" customWidth="1"/>
    <col min="3769" max="3769" width="42.5703125" style="4" bestFit="1" customWidth="1"/>
    <col min="3770" max="3770" width="3.28515625" style="4" customWidth="1"/>
    <col min="3771" max="3771" width="8" style="4" customWidth="1"/>
    <col min="3772" max="3772" width="42.5703125" style="4" bestFit="1" customWidth="1"/>
    <col min="3773" max="3773" width="3.28515625" style="4" customWidth="1"/>
    <col min="3774" max="3774" width="8" style="4" customWidth="1"/>
    <col min="3775" max="3775" width="42.5703125" style="4" bestFit="1" customWidth="1"/>
    <col min="3776" max="3776" width="3.28515625" style="4" customWidth="1"/>
    <col min="3777" max="3777" width="8" style="4" customWidth="1"/>
    <col min="3778" max="3778" width="42.5703125" style="4" bestFit="1" customWidth="1"/>
    <col min="3779" max="3779" width="3.28515625" style="4" customWidth="1"/>
    <col min="3780" max="3780" width="8" style="4" customWidth="1"/>
    <col min="3781" max="3781" width="42.5703125" style="4" bestFit="1" customWidth="1"/>
    <col min="3782" max="3782" width="3.28515625" style="4" customWidth="1"/>
    <col min="3783" max="3783" width="8" style="4" customWidth="1"/>
    <col min="3784" max="3784" width="42.5703125" style="4" bestFit="1" customWidth="1"/>
    <col min="3785" max="3785" width="3.28515625" style="4" customWidth="1"/>
    <col min="3786" max="3786" width="8" style="4" customWidth="1"/>
    <col min="3787" max="3787" width="42.5703125" style="4" bestFit="1" customWidth="1"/>
    <col min="3788" max="3788" width="3.28515625" style="4" customWidth="1"/>
    <col min="3789" max="3789" width="8" style="4" customWidth="1"/>
    <col min="3790" max="3790" width="42.5703125" style="4" bestFit="1" customWidth="1"/>
    <col min="3791" max="3791" width="3.28515625" style="4" customWidth="1"/>
    <col min="3792" max="3792" width="8" style="4" customWidth="1"/>
    <col min="3793" max="3793" width="42.5703125" style="4" bestFit="1" customWidth="1"/>
    <col min="3794" max="3794" width="3.28515625" style="4" customWidth="1"/>
    <col min="3795" max="3795" width="8" style="4" customWidth="1"/>
    <col min="3796" max="3796" width="42.5703125" style="4" bestFit="1" customWidth="1"/>
    <col min="3797" max="3797" width="3.28515625" style="4" customWidth="1"/>
    <col min="3798" max="3798" width="8" style="4" customWidth="1"/>
    <col min="3799" max="3799" width="42.5703125" style="4" bestFit="1" customWidth="1"/>
    <col min="3800" max="3800" width="3.28515625" style="4" customWidth="1"/>
    <col min="3801" max="3801" width="8" style="4" customWidth="1"/>
    <col min="3802" max="3802" width="42.5703125" style="4" bestFit="1" customWidth="1"/>
    <col min="3803" max="3803" width="3.28515625" style="4" customWidth="1"/>
    <col min="3804" max="3804" width="8" style="4" customWidth="1"/>
    <col min="3805" max="3805" width="42.5703125" style="4" bestFit="1" customWidth="1"/>
    <col min="3806" max="3806" width="3.28515625" style="4" customWidth="1"/>
    <col min="3807" max="3807" width="8" style="4" customWidth="1"/>
    <col min="3808" max="3808" width="42.5703125" style="4" bestFit="1" customWidth="1"/>
    <col min="3809" max="3809" width="3.28515625" style="4" customWidth="1"/>
    <col min="3810" max="3810" width="8" style="4" customWidth="1"/>
    <col min="3811" max="3811" width="42.5703125" style="4" bestFit="1" customWidth="1"/>
    <col min="3812" max="3812" width="3.28515625" style="4" customWidth="1"/>
    <col min="3813" max="3813" width="8" style="4" customWidth="1"/>
    <col min="3814" max="3814" width="42.5703125" style="4" bestFit="1" customWidth="1"/>
    <col min="3815" max="3815" width="3.28515625" style="4" customWidth="1"/>
    <col min="3816" max="3816" width="8" style="4" customWidth="1"/>
    <col min="3817" max="3817" width="42.5703125" style="4" bestFit="1" customWidth="1"/>
    <col min="3818" max="3818" width="3.28515625" style="4" customWidth="1"/>
    <col min="3819" max="3819" width="8" style="4" customWidth="1"/>
    <col min="3820" max="3820" width="42.5703125" style="4" bestFit="1" customWidth="1"/>
    <col min="3821" max="3821" width="3.28515625" style="4" customWidth="1"/>
    <col min="3822" max="3822" width="8" style="4" customWidth="1"/>
    <col min="3823" max="3823" width="42.5703125" style="4" bestFit="1" customWidth="1"/>
    <col min="3824" max="3824" width="3.28515625" style="4" customWidth="1"/>
    <col min="3825" max="3825" width="8" style="4" customWidth="1"/>
    <col min="3826" max="3826" width="42.5703125" style="4" bestFit="1" customWidth="1"/>
    <col min="3827" max="3827" width="3.28515625" style="4" customWidth="1"/>
    <col min="3828" max="3828" width="8" style="4" customWidth="1"/>
    <col min="3829" max="3829" width="42.5703125" style="4" bestFit="1" customWidth="1"/>
    <col min="3830" max="3830" width="3.28515625" style="4" customWidth="1"/>
    <col min="3831" max="3831" width="8" style="4" customWidth="1"/>
    <col min="3832" max="3832" width="42.5703125" style="4" bestFit="1" customWidth="1"/>
    <col min="3833" max="3833" width="3.28515625" style="4" customWidth="1"/>
    <col min="3834" max="3834" width="8" style="4" customWidth="1"/>
    <col min="3835" max="3835" width="42.5703125" style="4" bestFit="1" customWidth="1"/>
    <col min="3836" max="3836" width="3.28515625" style="4" customWidth="1"/>
    <col min="3837" max="3837" width="8" style="4" customWidth="1"/>
    <col min="3838" max="3838" width="42.5703125" style="4" bestFit="1" customWidth="1"/>
    <col min="3839" max="3839" width="3.28515625" style="4" customWidth="1"/>
    <col min="3840" max="3840" width="8" style="4" customWidth="1"/>
    <col min="3841" max="3841" width="42.5703125" style="4" bestFit="1" customWidth="1"/>
    <col min="3842" max="3842" width="3.28515625" style="4" customWidth="1"/>
    <col min="3843" max="3843" width="8" style="4" customWidth="1"/>
    <col min="3844" max="3844" width="42.5703125" style="4" bestFit="1" customWidth="1"/>
    <col min="3845" max="3845" width="3.28515625" style="4" customWidth="1"/>
    <col min="3846" max="3846" width="8" style="4" customWidth="1"/>
    <col min="3847" max="3847" width="42.5703125" style="4" bestFit="1" customWidth="1"/>
    <col min="3848" max="3848" width="3.28515625" style="4" customWidth="1"/>
    <col min="3849" max="3849" width="8" style="4" customWidth="1"/>
    <col min="3850" max="3850" width="42.5703125" style="4" bestFit="1" customWidth="1"/>
    <col min="3851" max="3851" width="3.28515625" style="4" customWidth="1"/>
    <col min="3852" max="3852" width="8" style="4" customWidth="1"/>
    <col min="3853" max="3853" width="42.5703125" style="4" bestFit="1" customWidth="1"/>
    <col min="3854" max="3854" width="3.28515625" style="4" customWidth="1"/>
    <col min="3855" max="3855" width="8" style="4" customWidth="1"/>
    <col min="3856" max="3856" width="42.5703125" style="4" bestFit="1" customWidth="1"/>
    <col min="3857" max="3857" width="3.28515625" style="4" customWidth="1"/>
    <col min="3858" max="3858" width="8" style="4" customWidth="1"/>
    <col min="3859" max="3859" width="42.5703125" style="4" bestFit="1" customWidth="1"/>
    <col min="3860" max="3860" width="3.28515625" style="4" customWidth="1"/>
    <col min="3861" max="3861" width="8" style="4" customWidth="1"/>
    <col min="3862" max="3862" width="42.5703125" style="4" bestFit="1" customWidth="1"/>
    <col min="3863" max="3863" width="3.28515625" style="4" customWidth="1"/>
    <col min="3864" max="3864" width="8" style="4" customWidth="1"/>
    <col min="3865" max="3865" width="42.5703125" style="4" bestFit="1" customWidth="1"/>
    <col min="3866" max="3866" width="3.28515625" style="4" customWidth="1"/>
    <col min="3867" max="3867" width="8" style="4" customWidth="1"/>
    <col min="3868" max="3868" width="42.5703125" style="4" bestFit="1" customWidth="1"/>
    <col min="3869" max="3869" width="3.28515625" style="4" customWidth="1"/>
    <col min="3870" max="3870" width="8" style="4" customWidth="1"/>
    <col min="3871" max="3871" width="42.5703125" style="4" bestFit="1" customWidth="1"/>
    <col min="3872" max="3872" width="3.28515625" style="4" customWidth="1"/>
    <col min="3873" max="3873" width="8" style="4" customWidth="1"/>
    <col min="3874" max="3874" width="42.5703125" style="4" bestFit="1" customWidth="1"/>
    <col min="3875" max="3875" width="3.28515625" style="4" customWidth="1"/>
    <col min="3876" max="3876" width="8" style="4" customWidth="1"/>
    <col min="3877" max="3877" width="42.5703125" style="4" bestFit="1" customWidth="1"/>
    <col min="3878" max="3878" width="3.28515625" style="4" customWidth="1"/>
    <col min="3879" max="3879" width="8" style="4" customWidth="1"/>
    <col min="3880" max="3880" width="42.5703125" style="4" bestFit="1" customWidth="1"/>
    <col min="3881" max="3881" width="3.28515625" style="4" customWidth="1"/>
    <col min="3882" max="3882" width="8" style="4" customWidth="1"/>
    <col min="3883" max="3883" width="42.5703125" style="4" bestFit="1" customWidth="1"/>
    <col min="3884" max="3884" width="3.28515625" style="4" customWidth="1"/>
    <col min="3885" max="3885" width="8" style="4" customWidth="1"/>
    <col min="3886" max="3886" width="42.5703125" style="4" bestFit="1" customWidth="1"/>
    <col min="3887" max="3887" width="3.28515625" style="4" customWidth="1"/>
    <col min="3888" max="3888" width="8" style="4" customWidth="1"/>
    <col min="3889" max="3889" width="42.5703125" style="4" bestFit="1" customWidth="1"/>
    <col min="3890" max="3890" width="3.28515625" style="4" customWidth="1"/>
    <col min="3891" max="3891" width="8" style="4" customWidth="1"/>
    <col min="3892" max="3892" width="42.5703125" style="4" bestFit="1" customWidth="1"/>
    <col min="3893" max="3893" width="3.28515625" style="4" customWidth="1"/>
    <col min="3894" max="3894" width="8" style="4" customWidth="1"/>
    <col min="3895" max="3895" width="42.5703125" style="4" bestFit="1" customWidth="1"/>
    <col min="3896" max="3896" width="3.28515625" style="4" customWidth="1"/>
    <col min="3897" max="3897" width="8" style="4" customWidth="1"/>
    <col min="3898" max="3898" width="42.5703125" style="4" bestFit="1" customWidth="1"/>
    <col min="3899" max="3899" width="3.28515625" style="4" customWidth="1"/>
    <col min="3900" max="3900" width="8" style="4" customWidth="1"/>
    <col min="3901" max="3901" width="42.5703125" style="4" bestFit="1" customWidth="1"/>
    <col min="3902" max="3902" width="3.28515625" style="4" customWidth="1"/>
    <col min="3903" max="3903" width="8" style="4" customWidth="1"/>
    <col min="3904" max="3904" width="42.5703125" style="4" bestFit="1" customWidth="1"/>
    <col min="3905" max="3905" width="3.28515625" style="4" customWidth="1"/>
    <col min="3906" max="3906" width="8" style="4" customWidth="1"/>
    <col min="3907" max="3907" width="42.5703125" style="4" bestFit="1" customWidth="1"/>
    <col min="3908" max="3908" width="3.28515625" style="4" customWidth="1"/>
    <col min="3909" max="3909" width="8" style="4" customWidth="1"/>
    <col min="3910" max="3910" width="42.5703125" style="4" bestFit="1" customWidth="1"/>
    <col min="3911" max="3911" width="3.28515625" style="4" customWidth="1"/>
    <col min="3912" max="3912" width="8" style="4" customWidth="1"/>
    <col min="3913" max="3913" width="42.5703125" style="4" bestFit="1" customWidth="1"/>
    <col min="3914" max="3914" width="3.28515625" style="4" customWidth="1"/>
    <col min="3915" max="3915" width="8" style="4" customWidth="1"/>
    <col min="3916" max="3916" width="42.5703125" style="4" bestFit="1" customWidth="1"/>
    <col min="3917" max="3917" width="3.28515625" style="4" customWidth="1"/>
    <col min="3918" max="3918" width="8" style="4" customWidth="1"/>
    <col min="3919" max="3919" width="42.5703125" style="4" bestFit="1" customWidth="1"/>
    <col min="3920" max="3920" width="3.28515625" style="4" customWidth="1"/>
    <col min="3921" max="3921" width="8" style="4" customWidth="1"/>
    <col min="3922" max="3922" width="42.5703125" style="4" bestFit="1" customWidth="1"/>
    <col min="3923" max="3923" width="3.28515625" style="4" customWidth="1"/>
    <col min="3924" max="3924" width="8" style="4" customWidth="1"/>
    <col min="3925" max="3925" width="42.5703125" style="4" bestFit="1" customWidth="1"/>
    <col min="3926" max="3926" width="3.28515625" style="4" customWidth="1"/>
    <col min="3927" max="3927" width="8" style="4" customWidth="1"/>
    <col min="3928" max="3928" width="42.5703125" style="4" bestFit="1" customWidth="1"/>
    <col min="3929" max="3929" width="3.28515625" style="4" customWidth="1"/>
    <col min="3930" max="3930" width="8" style="4" customWidth="1"/>
    <col min="3931" max="3931" width="42.5703125" style="4" bestFit="1" customWidth="1"/>
    <col min="3932" max="3932" width="3.28515625" style="4" customWidth="1"/>
    <col min="3933" max="3933" width="8" style="4" customWidth="1"/>
    <col min="3934" max="3934" width="42.5703125" style="4" bestFit="1" customWidth="1"/>
    <col min="3935" max="3935" width="3.28515625" style="4" customWidth="1"/>
    <col min="3936" max="3936" width="8" style="4" customWidth="1"/>
    <col min="3937" max="3937" width="42.5703125" style="4" bestFit="1" customWidth="1"/>
    <col min="3938" max="3938" width="3.28515625" style="4" customWidth="1"/>
    <col min="3939" max="3939" width="8" style="4" customWidth="1"/>
    <col min="3940" max="3940" width="42.5703125" style="4" bestFit="1" customWidth="1"/>
    <col min="3941" max="3941" width="3.28515625" style="4" customWidth="1"/>
    <col min="3942" max="3942" width="8" style="4" customWidth="1"/>
    <col min="3943" max="3943" width="42.5703125" style="4" bestFit="1" customWidth="1"/>
    <col min="3944" max="3944" width="3.28515625" style="4" customWidth="1"/>
    <col min="3945" max="3945" width="8" style="4" customWidth="1"/>
    <col min="3946" max="3946" width="42.5703125" style="4" bestFit="1" customWidth="1"/>
    <col min="3947" max="3947" width="3.28515625" style="4" customWidth="1"/>
    <col min="3948" max="3948" width="8" style="4" customWidth="1"/>
    <col min="3949" max="3949" width="42.5703125" style="4" bestFit="1" customWidth="1"/>
    <col min="3950" max="3950" width="3.28515625" style="4" customWidth="1"/>
    <col min="3951" max="3951" width="8" style="4" customWidth="1"/>
    <col min="3952" max="3952" width="42.5703125" style="4" bestFit="1" customWidth="1"/>
    <col min="3953" max="3953" width="3.28515625" style="4" customWidth="1"/>
    <col min="3954" max="3954" width="8" style="4" customWidth="1"/>
    <col min="3955" max="3955" width="42.5703125" style="4" bestFit="1" customWidth="1"/>
    <col min="3956" max="3956" width="3.28515625" style="4" customWidth="1"/>
    <col min="3957" max="3957" width="8" style="4" customWidth="1"/>
    <col min="3958" max="3958" width="42.5703125" style="4" bestFit="1" customWidth="1"/>
    <col min="3959" max="3959" width="3.28515625" style="4" customWidth="1"/>
    <col min="3960" max="3960" width="8" style="4" customWidth="1"/>
    <col min="3961" max="3961" width="42.5703125" style="4" bestFit="1" customWidth="1"/>
    <col min="3962" max="3962" width="3.28515625" style="4" customWidth="1"/>
    <col min="3963" max="3963" width="8" style="4" customWidth="1"/>
    <col min="3964" max="3964" width="42.5703125" style="4" bestFit="1" customWidth="1"/>
    <col min="3965" max="3965" width="3.28515625" style="4" customWidth="1"/>
    <col min="3966" max="3966" width="8" style="4" customWidth="1"/>
    <col min="3967" max="3967" width="42.5703125" style="4" bestFit="1" customWidth="1"/>
    <col min="3968" max="3968" width="3.28515625" style="4" customWidth="1"/>
    <col min="3969" max="3969" width="8" style="4" customWidth="1"/>
    <col min="3970" max="3970" width="42.5703125" style="4" bestFit="1" customWidth="1"/>
    <col min="3971" max="3971" width="3.28515625" style="4" customWidth="1"/>
    <col min="3972" max="3972" width="8" style="4" customWidth="1"/>
    <col min="3973" max="3973" width="42.5703125" style="4" bestFit="1" customWidth="1"/>
    <col min="3974" max="3974" width="3.28515625" style="4" customWidth="1"/>
    <col min="3975" max="3975" width="8" style="4" customWidth="1"/>
    <col min="3976" max="3976" width="42.5703125" style="4" bestFit="1" customWidth="1"/>
    <col min="3977" max="3977" width="3.28515625" style="4" customWidth="1"/>
    <col min="3978" max="3978" width="8" style="4" customWidth="1"/>
    <col min="3979" max="3979" width="42.5703125" style="4" bestFit="1" customWidth="1"/>
    <col min="3980" max="3980" width="3.28515625" style="4" customWidth="1"/>
    <col min="3981" max="3981" width="8" style="4" customWidth="1"/>
    <col min="3982" max="3982" width="42.5703125" style="4" bestFit="1" customWidth="1"/>
    <col min="3983" max="3983" width="3.28515625" style="4" customWidth="1"/>
    <col min="3984" max="3984" width="8" style="4" customWidth="1"/>
    <col min="3985" max="3985" width="42.5703125" style="4" bestFit="1" customWidth="1"/>
    <col min="3986" max="3986" width="3.28515625" style="4" customWidth="1"/>
    <col min="3987" max="3987" width="8" style="4" customWidth="1"/>
    <col min="3988" max="3988" width="42.5703125" style="4" bestFit="1" customWidth="1"/>
    <col min="3989" max="3989" width="3.28515625" style="4" customWidth="1"/>
    <col min="3990" max="3990" width="8" style="4" customWidth="1"/>
    <col min="3991" max="3991" width="42.5703125" style="4" bestFit="1" customWidth="1"/>
    <col min="3992" max="3992" width="3.28515625" style="4" customWidth="1"/>
    <col min="3993" max="3993" width="8" style="4" customWidth="1"/>
    <col min="3994" max="3994" width="42.5703125" style="4" bestFit="1" customWidth="1"/>
    <col min="3995" max="3995" width="3.28515625" style="4" customWidth="1"/>
    <col min="3996" max="3996" width="8" style="4" customWidth="1"/>
    <col min="3997" max="3997" width="42.5703125" style="4" bestFit="1" customWidth="1"/>
    <col min="3998" max="3998" width="3.28515625" style="4" customWidth="1"/>
    <col min="3999" max="3999" width="8" style="4" customWidth="1"/>
    <col min="4000" max="4000" width="42.5703125" style="4" bestFit="1" customWidth="1"/>
    <col min="4001" max="4001" width="3.28515625" style="4" customWidth="1"/>
    <col min="4002" max="4002" width="8" style="4" customWidth="1"/>
    <col min="4003" max="4003" width="42.5703125" style="4" bestFit="1" customWidth="1"/>
    <col min="4004" max="4004" width="3.28515625" style="4" customWidth="1"/>
    <col min="4005" max="4005" width="8" style="4" customWidth="1"/>
    <col min="4006" max="4006" width="42.5703125" style="4" bestFit="1" customWidth="1"/>
    <col min="4007" max="4007" width="3.28515625" style="4" customWidth="1"/>
    <col min="4008" max="4008" width="8" style="4" customWidth="1"/>
    <col min="4009" max="4009" width="42.5703125" style="4" bestFit="1" customWidth="1"/>
    <col min="4010" max="4010" width="3.28515625" style="4" customWidth="1"/>
    <col min="4011" max="4011" width="8" style="4" customWidth="1"/>
    <col min="4012" max="4012" width="42.5703125" style="4" bestFit="1" customWidth="1"/>
    <col min="4013" max="4013" width="3.28515625" style="4" customWidth="1"/>
    <col min="4014" max="4014" width="8" style="4" customWidth="1"/>
    <col min="4015" max="4015" width="42.5703125" style="4" bestFit="1" customWidth="1"/>
    <col min="4016" max="4016" width="3.28515625" style="4" customWidth="1"/>
    <col min="4017" max="4017" width="8" style="4" customWidth="1"/>
    <col min="4018" max="4018" width="42.5703125" style="4" bestFit="1" customWidth="1"/>
    <col min="4019" max="4019" width="3.28515625" style="4" customWidth="1"/>
    <col min="4020" max="4020" width="8" style="4" customWidth="1"/>
    <col min="4021" max="4021" width="42.5703125" style="4" bestFit="1" customWidth="1"/>
    <col min="4022" max="4022" width="3.28515625" style="4" customWidth="1"/>
    <col min="4023" max="4023" width="8" style="4" customWidth="1"/>
    <col min="4024" max="4024" width="42.5703125" style="4" bestFit="1" customWidth="1"/>
    <col min="4025" max="4025" width="3.28515625" style="4" customWidth="1"/>
    <col min="4026" max="4026" width="8" style="4" customWidth="1"/>
    <col min="4027" max="4027" width="42.5703125" style="4" bestFit="1" customWidth="1"/>
    <col min="4028" max="4028" width="3.28515625" style="4" customWidth="1"/>
    <col min="4029" max="4029" width="8" style="4" customWidth="1"/>
    <col min="4030" max="4030" width="42.5703125" style="4" bestFit="1" customWidth="1"/>
    <col min="4031" max="4031" width="3.28515625" style="4" customWidth="1"/>
    <col min="4032" max="4032" width="8" style="4" customWidth="1"/>
    <col min="4033" max="4033" width="42.5703125" style="4" bestFit="1" customWidth="1"/>
    <col min="4034" max="4034" width="3.28515625" style="4" customWidth="1"/>
    <col min="4035" max="4035" width="8" style="4" customWidth="1"/>
    <col min="4036" max="4036" width="42.5703125" style="4" bestFit="1" customWidth="1"/>
    <col min="4037" max="4037" width="3.28515625" style="4" customWidth="1"/>
    <col min="4038" max="4038" width="8" style="4" customWidth="1"/>
    <col min="4039" max="4039" width="42.5703125" style="4" bestFit="1" customWidth="1"/>
    <col min="4040" max="4040" width="3.28515625" style="4" customWidth="1"/>
    <col min="4041" max="4041" width="8" style="4" customWidth="1"/>
    <col min="4042" max="4042" width="42.5703125" style="4" bestFit="1" customWidth="1"/>
    <col min="4043" max="4043" width="3.28515625" style="4" customWidth="1"/>
    <col min="4044" max="4044" width="8" style="4" customWidth="1"/>
    <col min="4045" max="4045" width="42.5703125" style="4" bestFit="1" customWidth="1"/>
    <col min="4046" max="4046" width="3.28515625" style="4" customWidth="1"/>
    <col min="4047" max="4047" width="8" style="4" customWidth="1"/>
    <col min="4048" max="4048" width="42.5703125" style="4" bestFit="1" customWidth="1"/>
    <col min="4049" max="4049" width="3.28515625" style="4" customWidth="1"/>
    <col min="4050" max="4050" width="8" style="4" customWidth="1"/>
    <col min="4051" max="4051" width="42.5703125" style="4" bestFit="1" customWidth="1"/>
    <col min="4052" max="4052" width="3.28515625" style="4" customWidth="1"/>
    <col min="4053" max="4053" width="8" style="4" customWidth="1"/>
    <col min="4054" max="4054" width="42.5703125" style="4" bestFit="1" customWidth="1"/>
    <col min="4055" max="4055" width="3.28515625" style="4" customWidth="1"/>
    <col min="4056" max="4056" width="8" style="4" customWidth="1"/>
    <col min="4057" max="4057" width="42.5703125" style="4" bestFit="1" customWidth="1"/>
    <col min="4058" max="4058" width="3.28515625" style="4" customWidth="1"/>
    <col min="4059" max="4059" width="8" style="4" customWidth="1"/>
    <col min="4060" max="4060" width="42.5703125" style="4" bestFit="1" customWidth="1"/>
    <col min="4061" max="4061" width="3.28515625" style="4" customWidth="1"/>
    <col min="4062" max="4062" width="8" style="4" customWidth="1"/>
    <col min="4063" max="4063" width="42.5703125" style="4" bestFit="1" customWidth="1"/>
    <col min="4064" max="4064" width="3.28515625" style="4" customWidth="1"/>
    <col min="4065" max="4065" width="8" style="4" customWidth="1"/>
    <col min="4066" max="4066" width="42.5703125" style="4" bestFit="1" customWidth="1"/>
    <col min="4067" max="4067" width="3.28515625" style="4" customWidth="1"/>
    <col min="4068" max="4068" width="8" style="4" customWidth="1"/>
    <col min="4069" max="4069" width="42.5703125" style="4" bestFit="1" customWidth="1"/>
    <col min="4070" max="4070" width="3.28515625" style="4" customWidth="1"/>
    <col min="4071" max="4071" width="8" style="4" customWidth="1"/>
    <col min="4072" max="4072" width="42.5703125" style="4" bestFit="1" customWidth="1"/>
    <col min="4073" max="4073" width="3.28515625" style="4" customWidth="1"/>
    <col min="4074" max="4074" width="8" style="4" customWidth="1"/>
    <col min="4075" max="4075" width="42.5703125" style="4" bestFit="1" customWidth="1"/>
    <col min="4076" max="4076" width="3.28515625" style="4" customWidth="1"/>
    <col min="4077" max="4077" width="8" style="4" customWidth="1"/>
    <col min="4078" max="4078" width="42.5703125" style="4" bestFit="1" customWidth="1"/>
    <col min="4079" max="4079" width="3.28515625" style="4" customWidth="1"/>
    <col min="4080" max="4080" width="8" style="4" customWidth="1"/>
    <col min="4081" max="4081" width="42.5703125" style="4" bestFit="1" customWidth="1"/>
    <col min="4082" max="4082" width="3.28515625" style="4" customWidth="1"/>
    <col min="4083" max="4083" width="8" style="4" customWidth="1"/>
    <col min="4084" max="4084" width="42.5703125" style="4" bestFit="1" customWidth="1"/>
    <col min="4085" max="4085" width="3.28515625" style="4" customWidth="1"/>
    <col min="4086" max="4086" width="8" style="4" customWidth="1"/>
    <col min="4087" max="4087" width="42.5703125" style="4" bestFit="1" customWidth="1"/>
    <col min="4088" max="4088" width="3.28515625" style="4" customWidth="1"/>
    <col min="4089" max="4089" width="8" style="4" customWidth="1"/>
    <col min="4090" max="4090" width="42.5703125" style="4" bestFit="1" customWidth="1"/>
    <col min="4091" max="4091" width="3.28515625" style="4" customWidth="1"/>
    <col min="4092" max="4092" width="8" style="4" customWidth="1"/>
    <col min="4093" max="4093" width="42.5703125" style="4" bestFit="1" customWidth="1"/>
    <col min="4094" max="4094" width="3.28515625" style="4" customWidth="1"/>
    <col min="4095" max="4095" width="8" style="4" customWidth="1"/>
    <col min="4096" max="4096" width="42.5703125" style="4" bestFit="1" customWidth="1"/>
    <col min="4097" max="4097" width="3.28515625" style="4" customWidth="1"/>
    <col min="4098" max="4098" width="8" style="4" customWidth="1"/>
    <col min="4099" max="4099" width="42.5703125" style="4" bestFit="1" customWidth="1"/>
    <col min="4100" max="4100" width="3.28515625" style="4" customWidth="1"/>
    <col min="4101" max="4101" width="8" style="4" customWidth="1"/>
    <col min="4102" max="4102" width="42.5703125" style="4" bestFit="1" customWidth="1"/>
    <col min="4103" max="4103" width="3.28515625" style="4" customWidth="1"/>
    <col min="4104" max="4104" width="8" style="4" customWidth="1"/>
    <col min="4105" max="4105" width="42.5703125" style="4" bestFit="1" customWidth="1"/>
    <col min="4106" max="4106" width="3.28515625" style="4" customWidth="1"/>
    <col min="4107" max="4107" width="8" style="4" customWidth="1"/>
    <col min="4108" max="4108" width="42.5703125" style="4" bestFit="1" customWidth="1"/>
    <col min="4109" max="4109" width="3.28515625" style="4" customWidth="1"/>
    <col min="4110" max="4110" width="8" style="4" customWidth="1"/>
    <col min="4111" max="4111" width="42.5703125" style="4" bestFit="1" customWidth="1"/>
    <col min="4112" max="4112" width="3.28515625" style="4" customWidth="1"/>
    <col min="4113" max="4113" width="8" style="4" customWidth="1"/>
    <col min="4114" max="4114" width="42.5703125" style="4" bestFit="1" customWidth="1"/>
    <col min="4115" max="4115" width="3.28515625" style="4" customWidth="1"/>
    <col min="4116" max="4116" width="8" style="4" customWidth="1"/>
    <col min="4117" max="4117" width="42.5703125" style="4" bestFit="1" customWidth="1"/>
    <col min="4118" max="4118" width="3.28515625" style="4" customWidth="1"/>
    <col min="4119" max="4119" width="8" style="4" customWidth="1"/>
    <col min="4120" max="4120" width="42.5703125" style="4" bestFit="1" customWidth="1"/>
    <col min="4121" max="4121" width="3.28515625" style="4" customWidth="1"/>
    <col min="4122" max="4122" width="8" style="4" customWidth="1"/>
    <col min="4123" max="4123" width="42.5703125" style="4" bestFit="1" customWidth="1"/>
    <col min="4124" max="4124" width="3.28515625" style="4" customWidth="1"/>
    <col min="4125" max="4125" width="8" style="4" customWidth="1"/>
    <col min="4126" max="4126" width="42.5703125" style="4" bestFit="1" customWidth="1"/>
    <col min="4127" max="4127" width="3.28515625" style="4" customWidth="1"/>
    <col min="4128" max="4128" width="8" style="4" customWidth="1"/>
    <col min="4129" max="4129" width="42.5703125" style="4" bestFit="1" customWidth="1"/>
    <col min="4130" max="4130" width="3.28515625" style="4" customWidth="1"/>
    <col min="4131" max="4131" width="8" style="4" customWidth="1"/>
    <col min="4132" max="4132" width="42.5703125" style="4" bestFit="1" customWidth="1"/>
    <col min="4133" max="4133" width="3.28515625" style="4" customWidth="1"/>
    <col min="4134" max="4134" width="8" style="4" customWidth="1"/>
    <col min="4135" max="4135" width="42.5703125" style="4" bestFit="1" customWidth="1"/>
    <col min="4136" max="4136" width="3.28515625" style="4" customWidth="1"/>
    <col min="4137" max="4137" width="8" style="4" customWidth="1"/>
    <col min="4138" max="4138" width="42.5703125" style="4" bestFit="1" customWidth="1"/>
    <col min="4139" max="4139" width="3.28515625" style="4" customWidth="1"/>
    <col min="4140" max="4140" width="8" style="4" customWidth="1"/>
    <col min="4141" max="4141" width="42.5703125" style="4" bestFit="1" customWidth="1"/>
    <col min="4142" max="4142" width="3.28515625" style="4" customWidth="1"/>
    <col min="4143" max="4143" width="8" style="4" customWidth="1"/>
    <col min="4144" max="4144" width="42.5703125" style="4" bestFit="1" customWidth="1"/>
    <col min="4145" max="4145" width="3.28515625" style="4" customWidth="1"/>
    <col min="4146" max="4146" width="8" style="4" customWidth="1"/>
    <col min="4147" max="4147" width="42.5703125" style="4" bestFit="1" customWidth="1"/>
    <col min="4148" max="4148" width="3.28515625" style="4" customWidth="1"/>
    <col min="4149" max="4149" width="8" style="4" customWidth="1"/>
    <col min="4150" max="4150" width="42.5703125" style="4" bestFit="1" customWidth="1"/>
    <col min="4151" max="4151" width="3.28515625" style="4" customWidth="1"/>
    <col min="4152" max="4152" width="8" style="4" customWidth="1"/>
    <col min="4153" max="4153" width="42.5703125" style="4" bestFit="1" customWidth="1"/>
    <col min="4154" max="4154" width="3.28515625" style="4" customWidth="1"/>
    <col min="4155" max="4155" width="8" style="4" customWidth="1"/>
    <col min="4156" max="4156" width="42.5703125" style="4" bestFit="1" customWidth="1"/>
    <col min="4157" max="4157" width="3.28515625" style="4" customWidth="1"/>
    <col min="4158" max="4158" width="8" style="4" customWidth="1"/>
    <col min="4159" max="4159" width="42.5703125" style="4" bestFit="1" customWidth="1"/>
    <col min="4160" max="4160" width="3.28515625" style="4" customWidth="1"/>
    <col min="4161" max="4161" width="8" style="4" customWidth="1"/>
    <col min="4162" max="4162" width="42.5703125" style="4" bestFit="1" customWidth="1"/>
    <col min="4163" max="4163" width="3.28515625" style="4" customWidth="1"/>
    <col min="4164" max="4164" width="8" style="4" customWidth="1"/>
    <col min="4165" max="4165" width="42.5703125" style="4" bestFit="1" customWidth="1"/>
    <col min="4166" max="4166" width="3.28515625" style="4" customWidth="1"/>
    <col min="4167" max="4167" width="8" style="4" customWidth="1"/>
    <col min="4168" max="4168" width="42.5703125" style="4" bestFit="1" customWidth="1"/>
    <col min="4169" max="4169" width="3.28515625" style="4" customWidth="1"/>
    <col min="4170" max="4170" width="8" style="4" customWidth="1"/>
    <col min="4171" max="4171" width="42.5703125" style="4" bestFit="1" customWidth="1"/>
    <col min="4172" max="4172" width="3.28515625" style="4" customWidth="1"/>
    <col min="4173" max="4173" width="8" style="4" customWidth="1"/>
    <col min="4174" max="4174" width="42.5703125" style="4" bestFit="1" customWidth="1"/>
    <col min="4175" max="4175" width="3.28515625" style="4" customWidth="1"/>
    <col min="4176" max="4176" width="8" style="4" customWidth="1"/>
    <col min="4177" max="4177" width="42.5703125" style="4" bestFit="1" customWidth="1"/>
    <col min="4178" max="4178" width="3.28515625" style="4" customWidth="1"/>
    <col min="4179" max="4179" width="8" style="4" customWidth="1"/>
    <col min="4180" max="4180" width="42.5703125" style="4" bestFit="1" customWidth="1"/>
    <col min="4181" max="4181" width="3.28515625" style="4" customWidth="1"/>
    <col min="4182" max="4182" width="8" style="4" customWidth="1"/>
    <col min="4183" max="4183" width="42.5703125" style="4" bestFit="1" customWidth="1"/>
    <col min="4184" max="4184" width="3.28515625" style="4" customWidth="1"/>
    <col min="4185" max="4185" width="8" style="4" customWidth="1"/>
    <col min="4186" max="4186" width="42.5703125" style="4" bestFit="1" customWidth="1"/>
    <col min="4187" max="4187" width="3.28515625" style="4" customWidth="1"/>
    <col min="4188" max="4188" width="8" style="4" customWidth="1"/>
    <col min="4189" max="4189" width="42.5703125" style="4" bestFit="1" customWidth="1"/>
    <col min="4190" max="4190" width="3.28515625" style="4" customWidth="1"/>
    <col min="4191" max="4191" width="8" style="4" customWidth="1"/>
    <col min="4192" max="4192" width="42.5703125" style="4" bestFit="1" customWidth="1"/>
    <col min="4193" max="4193" width="3.28515625" style="4" customWidth="1"/>
    <col min="4194" max="4194" width="8" style="4" customWidth="1"/>
    <col min="4195" max="4195" width="42.5703125" style="4" bestFit="1" customWidth="1"/>
    <col min="4196" max="4196" width="3.28515625" style="4" customWidth="1"/>
    <col min="4197" max="4197" width="8" style="4" customWidth="1"/>
    <col min="4198" max="4198" width="42.5703125" style="4" bestFit="1" customWidth="1"/>
    <col min="4199" max="4199" width="3.28515625" style="4" customWidth="1"/>
    <col min="4200" max="4200" width="8" style="4" customWidth="1"/>
    <col min="4201" max="4201" width="42.5703125" style="4" bestFit="1" customWidth="1"/>
    <col min="4202" max="4202" width="3.28515625" style="4" customWidth="1"/>
    <col min="4203" max="4203" width="8" style="4" customWidth="1"/>
    <col min="4204" max="4204" width="42.5703125" style="4" bestFit="1" customWidth="1"/>
    <col min="4205" max="4205" width="3.28515625" style="4" customWidth="1"/>
    <col min="4206" max="4206" width="8" style="4" customWidth="1"/>
    <col min="4207" max="4207" width="42.5703125" style="4" bestFit="1" customWidth="1"/>
    <col min="4208" max="4208" width="3.28515625" style="4" customWidth="1"/>
    <col min="4209" max="4209" width="8" style="4" customWidth="1"/>
    <col min="4210" max="4210" width="42.5703125" style="4" bestFit="1" customWidth="1"/>
    <col min="4211" max="4211" width="3.28515625" style="4" customWidth="1"/>
    <col min="4212" max="4212" width="8" style="4" customWidth="1"/>
    <col min="4213" max="4213" width="42.5703125" style="4" bestFit="1" customWidth="1"/>
    <col min="4214" max="4214" width="3.28515625" style="4" customWidth="1"/>
    <col min="4215" max="4215" width="8" style="4" customWidth="1"/>
    <col min="4216" max="4216" width="42.5703125" style="4" bestFit="1" customWidth="1"/>
    <col min="4217" max="4217" width="3.28515625" style="4" customWidth="1"/>
    <col min="4218" max="4218" width="8" style="4" customWidth="1"/>
    <col min="4219" max="4219" width="42.5703125" style="4" bestFit="1" customWidth="1"/>
    <col min="4220" max="4220" width="3.28515625" style="4" customWidth="1"/>
    <col min="4221" max="4221" width="8" style="4" customWidth="1"/>
    <col min="4222" max="4222" width="42.5703125" style="4" bestFit="1" customWidth="1"/>
    <col min="4223" max="4223" width="3.28515625" style="4" customWidth="1"/>
    <col min="4224" max="4224" width="8" style="4" customWidth="1"/>
    <col min="4225" max="4225" width="42.5703125" style="4" bestFit="1" customWidth="1"/>
    <col min="4226" max="4226" width="3.28515625" style="4" customWidth="1"/>
    <col min="4227" max="4227" width="8" style="4" customWidth="1"/>
    <col min="4228" max="4228" width="42.5703125" style="4" bestFit="1" customWidth="1"/>
    <col min="4229" max="4229" width="3.28515625" style="4" customWidth="1"/>
    <col min="4230" max="4230" width="8" style="4" customWidth="1"/>
    <col min="4231" max="4231" width="42.5703125" style="4" bestFit="1" customWidth="1"/>
    <col min="4232" max="4232" width="3.28515625" style="4" customWidth="1"/>
    <col min="4233" max="4233" width="8" style="4" customWidth="1"/>
    <col min="4234" max="4234" width="42.5703125" style="4" bestFit="1" customWidth="1"/>
    <col min="4235" max="4235" width="3.28515625" style="4" customWidth="1"/>
    <col min="4236" max="4236" width="8" style="4" customWidth="1"/>
    <col min="4237" max="4237" width="42.5703125" style="4" bestFit="1" customWidth="1"/>
    <col min="4238" max="4238" width="3.28515625" style="4" customWidth="1"/>
    <col min="4239" max="4239" width="8" style="4" customWidth="1"/>
    <col min="4240" max="4240" width="42.5703125" style="4" bestFit="1" customWidth="1"/>
    <col min="4241" max="4241" width="3.28515625" style="4" customWidth="1"/>
    <col min="4242" max="4242" width="8" style="4" customWidth="1"/>
    <col min="4243" max="4243" width="42.5703125" style="4" bestFit="1" customWidth="1"/>
    <col min="4244" max="4244" width="3.28515625" style="4" customWidth="1"/>
    <col min="4245" max="4245" width="8" style="4" customWidth="1"/>
    <col min="4246" max="4246" width="42.5703125" style="4" bestFit="1" customWidth="1"/>
    <col min="4247" max="4247" width="3.28515625" style="4" customWidth="1"/>
    <col min="4248" max="4248" width="8" style="4" customWidth="1"/>
    <col min="4249" max="4249" width="42.5703125" style="4" bestFit="1" customWidth="1"/>
    <col min="4250" max="4250" width="3.28515625" style="4" customWidth="1"/>
    <col min="4251" max="4251" width="8" style="4" customWidth="1"/>
    <col min="4252" max="4252" width="42.5703125" style="4" bestFit="1" customWidth="1"/>
    <col min="4253" max="4253" width="3.28515625" style="4" customWidth="1"/>
    <col min="4254" max="4254" width="8" style="4" customWidth="1"/>
    <col min="4255" max="4255" width="42.5703125" style="4" bestFit="1" customWidth="1"/>
    <col min="4256" max="4256" width="3.28515625" style="4" customWidth="1"/>
    <col min="4257" max="4257" width="8" style="4" customWidth="1"/>
    <col min="4258" max="4258" width="42.5703125" style="4" bestFit="1" customWidth="1"/>
    <col min="4259" max="4259" width="3.28515625" style="4" customWidth="1"/>
    <col min="4260" max="4260" width="8" style="4" customWidth="1"/>
    <col min="4261" max="4261" width="42.5703125" style="4" bestFit="1" customWidth="1"/>
    <col min="4262" max="4262" width="3.28515625" style="4" customWidth="1"/>
    <col min="4263" max="4263" width="8" style="4" customWidth="1"/>
    <col min="4264" max="4264" width="42.5703125" style="4" bestFit="1" customWidth="1"/>
    <col min="4265" max="4265" width="3.28515625" style="4" customWidth="1"/>
    <col min="4266" max="4266" width="8" style="4" customWidth="1"/>
    <col min="4267" max="4267" width="42.5703125" style="4" bestFit="1" customWidth="1"/>
    <col min="4268" max="4268" width="3.28515625" style="4" customWidth="1"/>
    <col min="4269" max="4269" width="8" style="4" customWidth="1"/>
    <col min="4270" max="4270" width="42.5703125" style="4" bestFit="1" customWidth="1"/>
    <col min="4271" max="4271" width="3.28515625" style="4" customWidth="1"/>
    <col min="4272" max="4272" width="8" style="4" customWidth="1"/>
    <col min="4273" max="4273" width="42.5703125" style="4" bestFit="1" customWidth="1"/>
    <col min="4274" max="4274" width="3.28515625" style="4" customWidth="1"/>
    <col min="4275" max="4275" width="8" style="4" customWidth="1"/>
    <col min="4276" max="4276" width="42.5703125" style="4" bestFit="1" customWidth="1"/>
    <col min="4277" max="4277" width="3.28515625" style="4" customWidth="1"/>
    <col min="4278" max="4278" width="8" style="4" customWidth="1"/>
    <col min="4279" max="4279" width="42.5703125" style="4" bestFit="1" customWidth="1"/>
    <col min="4280" max="4280" width="3.28515625" style="4" customWidth="1"/>
    <col min="4281" max="4281" width="8" style="4" customWidth="1"/>
    <col min="4282" max="4282" width="42.5703125" style="4" bestFit="1" customWidth="1"/>
    <col min="4283" max="4283" width="3.28515625" style="4" customWidth="1"/>
    <col min="4284" max="4284" width="8" style="4" customWidth="1"/>
    <col min="4285" max="4285" width="42.5703125" style="4" bestFit="1" customWidth="1"/>
    <col min="4286" max="4286" width="3.28515625" style="4" customWidth="1"/>
    <col min="4287" max="4287" width="8" style="4" customWidth="1"/>
    <col min="4288" max="4288" width="42.5703125" style="4" bestFit="1" customWidth="1"/>
    <col min="4289" max="4289" width="3.28515625" style="4" customWidth="1"/>
    <col min="4290" max="4290" width="8" style="4" customWidth="1"/>
    <col min="4291" max="4291" width="42.5703125" style="4" bestFit="1" customWidth="1"/>
    <col min="4292" max="4292" width="3.28515625" style="4" customWidth="1"/>
    <col min="4293" max="4293" width="8" style="4" customWidth="1"/>
    <col min="4294" max="4294" width="42.5703125" style="4" bestFit="1" customWidth="1"/>
    <col min="4295" max="4295" width="3.28515625" style="4" customWidth="1"/>
    <col min="4296" max="4296" width="8" style="4" customWidth="1"/>
    <col min="4297" max="4297" width="42.5703125" style="4" bestFit="1" customWidth="1"/>
    <col min="4298" max="4298" width="3.28515625" style="4" customWidth="1"/>
    <col min="4299" max="4299" width="8" style="4" customWidth="1"/>
    <col min="4300" max="4300" width="42.5703125" style="4" bestFit="1" customWidth="1"/>
    <col min="4301" max="4301" width="3.28515625" style="4" customWidth="1"/>
    <col min="4302" max="4302" width="8" style="4" customWidth="1"/>
    <col min="4303" max="4303" width="42.5703125" style="4" bestFit="1" customWidth="1"/>
    <col min="4304" max="4304" width="3.28515625" style="4" customWidth="1"/>
    <col min="4305" max="4305" width="8" style="4" customWidth="1"/>
    <col min="4306" max="4306" width="42.5703125" style="4" bestFit="1" customWidth="1"/>
    <col min="4307" max="4307" width="3.28515625" style="4" customWidth="1"/>
    <col min="4308" max="4308" width="8" style="4" customWidth="1"/>
    <col min="4309" max="4309" width="42.5703125" style="4" bestFit="1" customWidth="1"/>
    <col min="4310" max="4310" width="3.28515625" style="4" customWidth="1"/>
    <col min="4311" max="4311" width="8" style="4" customWidth="1"/>
    <col min="4312" max="4312" width="42.5703125" style="4" bestFit="1" customWidth="1"/>
    <col min="4313" max="4313" width="3.28515625" style="4" customWidth="1"/>
    <col min="4314" max="4314" width="8" style="4" customWidth="1"/>
    <col min="4315" max="4315" width="42.5703125" style="4" bestFit="1" customWidth="1"/>
    <col min="4316" max="4316" width="3.28515625" style="4" customWidth="1"/>
    <col min="4317" max="4317" width="8" style="4" customWidth="1"/>
    <col min="4318" max="4318" width="42.5703125" style="4" bestFit="1" customWidth="1"/>
    <col min="4319" max="4319" width="3.28515625" style="4" customWidth="1"/>
    <col min="4320" max="4320" width="8" style="4" customWidth="1"/>
    <col min="4321" max="4321" width="42.5703125" style="4" bestFit="1" customWidth="1"/>
    <col min="4322" max="4322" width="3.28515625" style="4" customWidth="1"/>
    <col min="4323" max="4323" width="8" style="4" customWidth="1"/>
    <col min="4324" max="4324" width="42.5703125" style="4" bestFit="1" customWidth="1"/>
    <col min="4325" max="4325" width="3.28515625" style="4" customWidth="1"/>
    <col min="4326" max="4326" width="8" style="4" customWidth="1"/>
    <col min="4327" max="4327" width="42.5703125" style="4" bestFit="1" customWidth="1"/>
    <col min="4328" max="4328" width="3.28515625" style="4" customWidth="1"/>
    <col min="4329" max="4329" width="8" style="4" customWidth="1"/>
    <col min="4330" max="4330" width="42.5703125" style="4" bestFit="1" customWidth="1"/>
    <col min="4331" max="4331" width="3.28515625" style="4" customWidth="1"/>
    <col min="4332" max="4332" width="8" style="4" customWidth="1"/>
    <col min="4333" max="4333" width="42.5703125" style="4" bestFit="1" customWidth="1"/>
    <col min="4334" max="4334" width="3.28515625" style="4" customWidth="1"/>
    <col min="4335" max="4335" width="8" style="4" customWidth="1"/>
    <col min="4336" max="4336" width="42.5703125" style="4" bestFit="1" customWidth="1"/>
    <col min="4337" max="4337" width="3.28515625" style="4" customWidth="1"/>
    <col min="4338" max="4338" width="8" style="4" customWidth="1"/>
    <col min="4339" max="4339" width="42.5703125" style="4" bestFit="1" customWidth="1"/>
    <col min="4340" max="4340" width="3.28515625" style="4" customWidth="1"/>
    <col min="4341" max="4341" width="8" style="4" customWidth="1"/>
    <col min="4342" max="4342" width="42.5703125" style="4" bestFit="1" customWidth="1"/>
    <col min="4343" max="4343" width="3.28515625" style="4" customWidth="1"/>
    <col min="4344" max="4344" width="8" style="4" customWidth="1"/>
    <col min="4345" max="4345" width="42.5703125" style="4" bestFit="1" customWidth="1"/>
    <col min="4346" max="4346" width="3.28515625" style="4" customWidth="1"/>
    <col min="4347" max="4347" width="8" style="4" customWidth="1"/>
    <col min="4348" max="4348" width="42.5703125" style="4" bestFit="1" customWidth="1"/>
    <col min="4349" max="4349" width="3.28515625" style="4" customWidth="1"/>
    <col min="4350" max="4350" width="8" style="4" customWidth="1"/>
    <col min="4351" max="4351" width="42.5703125" style="4" bestFit="1" customWidth="1"/>
    <col min="4352" max="4352" width="3.28515625" style="4" customWidth="1"/>
    <col min="4353" max="4353" width="8" style="4" customWidth="1"/>
    <col min="4354" max="4354" width="42.5703125" style="4" bestFit="1" customWidth="1"/>
    <col min="4355" max="4355" width="3.28515625" style="4" customWidth="1"/>
    <col min="4356" max="4356" width="8" style="4" customWidth="1"/>
    <col min="4357" max="4357" width="42.5703125" style="4" bestFit="1" customWidth="1"/>
    <col min="4358" max="4358" width="3.28515625" style="4" customWidth="1"/>
    <col min="4359" max="4359" width="8" style="4" customWidth="1"/>
    <col min="4360" max="4360" width="42.5703125" style="4" bestFit="1" customWidth="1"/>
    <col min="4361" max="4361" width="3.28515625" style="4" customWidth="1"/>
    <col min="4362" max="4362" width="8" style="4" customWidth="1"/>
    <col min="4363" max="4363" width="42.5703125" style="4" bestFit="1" customWidth="1"/>
    <col min="4364" max="4364" width="3.28515625" style="4" customWidth="1"/>
    <col min="4365" max="4365" width="8" style="4" customWidth="1"/>
    <col min="4366" max="4366" width="42.5703125" style="4" bestFit="1" customWidth="1"/>
    <col min="4367" max="4367" width="3.28515625" style="4" customWidth="1"/>
    <col min="4368" max="4368" width="8" style="4" customWidth="1"/>
    <col min="4369" max="4369" width="42.5703125" style="4" bestFit="1" customWidth="1"/>
    <col min="4370" max="4370" width="3.28515625" style="4" customWidth="1"/>
    <col min="4371" max="4371" width="8" style="4" customWidth="1"/>
    <col min="4372" max="4372" width="42.5703125" style="4" bestFit="1" customWidth="1"/>
    <col min="4373" max="4373" width="3.28515625" style="4" customWidth="1"/>
    <col min="4374" max="4374" width="8" style="4" customWidth="1"/>
    <col min="4375" max="4375" width="42.5703125" style="4" bestFit="1" customWidth="1"/>
    <col min="4376" max="4376" width="3.28515625" style="4" customWidth="1"/>
    <col min="4377" max="4377" width="8" style="4" customWidth="1"/>
    <col min="4378" max="4378" width="42.5703125" style="4" bestFit="1" customWidth="1"/>
    <col min="4379" max="4379" width="3.28515625" style="4" customWidth="1"/>
    <col min="4380" max="4380" width="8" style="4" customWidth="1"/>
    <col min="4381" max="4381" width="42.5703125" style="4" bestFit="1" customWidth="1"/>
    <col min="4382" max="4382" width="3.28515625" style="4" customWidth="1"/>
    <col min="4383" max="4383" width="8" style="4" customWidth="1"/>
    <col min="4384" max="4384" width="42.5703125" style="4" bestFit="1" customWidth="1"/>
    <col min="4385" max="4385" width="3.28515625" style="4" customWidth="1"/>
    <col min="4386" max="4386" width="8" style="4" customWidth="1"/>
    <col min="4387" max="4387" width="42.5703125" style="4" bestFit="1" customWidth="1"/>
    <col min="4388" max="4388" width="3.28515625" style="4" customWidth="1"/>
    <col min="4389" max="4389" width="8" style="4" customWidth="1"/>
    <col min="4390" max="4390" width="42.5703125" style="4" bestFit="1" customWidth="1"/>
    <col min="4391" max="4391" width="3.28515625" style="4" customWidth="1"/>
    <col min="4392" max="4392" width="8" style="4" customWidth="1"/>
    <col min="4393" max="4393" width="42.5703125" style="4" bestFit="1" customWidth="1"/>
    <col min="4394" max="4394" width="3.28515625" style="4" customWidth="1"/>
    <col min="4395" max="4395" width="8" style="4" customWidth="1"/>
    <col min="4396" max="4396" width="42.5703125" style="4" bestFit="1" customWidth="1"/>
    <col min="4397" max="4397" width="3.28515625" style="4" customWidth="1"/>
    <col min="4398" max="4398" width="8" style="4" customWidth="1"/>
    <col min="4399" max="4399" width="42.5703125" style="4" bestFit="1" customWidth="1"/>
    <col min="4400" max="4400" width="3.28515625" style="4" customWidth="1"/>
    <col min="4401" max="4401" width="8" style="4" customWidth="1"/>
    <col min="4402" max="4402" width="42.5703125" style="4" bestFit="1" customWidth="1"/>
    <col min="4403" max="4403" width="3.28515625" style="4" customWidth="1"/>
    <col min="4404" max="4404" width="8" style="4" customWidth="1"/>
    <col min="4405" max="4405" width="42.5703125" style="4" bestFit="1" customWidth="1"/>
    <col min="4406" max="4406" width="3.28515625" style="4" customWidth="1"/>
    <col min="4407" max="4407" width="8" style="4" customWidth="1"/>
    <col min="4408" max="4408" width="42.5703125" style="4" bestFit="1" customWidth="1"/>
    <col min="4409" max="4409" width="3.28515625" style="4" customWidth="1"/>
    <col min="4410" max="4410" width="8" style="4" customWidth="1"/>
    <col min="4411" max="4411" width="42.5703125" style="4" bestFit="1" customWidth="1"/>
    <col min="4412" max="4412" width="3.28515625" style="4" customWidth="1"/>
    <col min="4413" max="4413" width="8" style="4" customWidth="1"/>
    <col min="4414" max="4414" width="42.5703125" style="4" bestFit="1" customWidth="1"/>
    <col min="4415" max="4415" width="3.28515625" style="4" customWidth="1"/>
    <col min="4416" max="4416" width="8" style="4" customWidth="1"/>
    <col min="4417" max="4417" width="42.5703125" style="4" bestFit="1" customWidth="1"/>
    <col min="4418" max="4418" width="3.28515625" style="4" customWidth="1"/>
    <col min="4419" max="4419" width="8" style="4" customWidth="1"/>
    <col min="4420" max="4420" width="42.5703125" style="4" bestFit="1" customWidth="1"/>
    <col min="4421" max="4421" width="3.28515625" style="4" customWidth="1"/>
    <col min="4422" max="4422" width="8" style="4" customWidth="1"/>
    <col min="4423" max="4423" width="42.5703125" style="4" bestFit="1" customWidth="1"/>
    <col min="4424" max="4424" width="3.28515625" style="4" customWidth="1"/>
    <col min="4425" max="4425" width="8" style="4" customWidth="1"/>
    <col min="4426" max="4426" width="42.5703125" style="4" bestFit="1" customWidth="1"/>
    <col min="4427" max="4427" width="3.28515625" style="4" customWidth="1"/>
    <col min="4428" max="4428" width="8" style="4" customWidth="1"/>
    <col min="4429" max="4429" width="42.5703125" style="4" bestFit="1" customWidth="1"/>
    <col min="4430" max="4430" width="3.28515625" style="4" customWidth="1"/>
    <col min="4431" max="4431" width="8" style="4" customWidth="1"/>
    <col min="4432" max="4432" width="42.5703125" style="4" bestFit="1" customWidth="1"/>
    <col min="4433" max="4433" width="3.28515625" style="4" customWidth="1"/>
    <col min="4434" max="4434" width="8" style="4" customWidth="1"/>
    <col min="4435" max="4435" width="42.5703125" style="4" bestFit="1" customWidth="1"/>
    <col min="4436" max="4436" width="3.28515625" style="4" customWidth="1"/>
    <col min="4437" max="4437" width="8" style="4" customWidth="1"/>
    <col min="4438" max="4438" width="42.5703125" style="4" bestFit="1" customWidth="1"/>
    <col min="4439" max="4439" width="3.28515625" style="4" customWidth="1"/>
    <col min="4440" max="4440" width="8" style="4" customWidth="1"/>
    <col min="4441" max="4441" width="42.5703125" style="4" bestFit="1" customWidth="1"/>
    <col min="4442" max="4442" width="3.28515625" style="4" customWidth="1"/>
    <col min="4443" max="4443" width="8" style="4" customWidth="1"/>
    <col min="4444" max="4444" width="42.5703125" style="4" bestFit="1" customWidth="1"/>
    <col min="4445" max="4445" width="3.28515625" style="4" customWidth="1"/>
    <col min="4446" max="4446" width="8" style="4" customWidth="1"/>
    <col min="4447" max="4447" width="42.5703125" style="4" bestFit="1" customWidth="1"/>
    <col min="4448" max="4448" width="3.28515625" style="4" customWidth="1"/>
    <col min="4449" max="4449" width="8" style="4" customWidth="1"/>
    <col min="4450" max="4450" width="42.5703125" style="4" bestFit="1" customWidth="1"/>
    <col min="4451" max="4451" width="3.28515625" style="4" customWidth="1"/>
    <col min="4452" max="4452" width="8" style="4" customWidth="1"/>
    <col min="4453" max="4453" width="42.5703125" style="4" bestFit="1" customWidth="1"/>
    <col min="4454" max="4454" width="3.28515625" style="4" customWidth="1"/>
    <col min="4455" max="4455" width="8" style="4" customWidth="1"/>
    <col min="4456" max="4456" width="42.5703125" style="4" bestFit="1" customWidth="1"/>
    <col min="4457" max="4457" width="3.28515625" style="4" customWidth="1"/>
    <col min="4458" max="4458" width="8" style="4" customWidth="1"/>
    <col min="4459" max="4459" width="42.5703125" style="4" bestFit="1" customWidth="1"/>
    <col min="4460" max="4460" width="3.28515625" style="4" customWidth="1"/>
    <col min="4461" max="4461" width="8" style="4" customWidth="1"/>
    <col min="4462" max="4462" width="42.5703125" style="4" bestFit="1" customWidth="1"/>
    <col min="4463" max="4463" width="3.28515625" style="4" customWidth="1"/>
    <col min="4464" max="4464" width="8" style="4" customWidth="1"/>
    <col min="4465" max="4465" width="42.5703125" style="4" bestFit="1" customWidth="1"/>
    <col min="4466" max="4466" width="3.28515625" style="4" customWidth="1"/>
    <col min="4467" max="4467" width="8" style="4" customWidth="1"/>
    <col min="4468" max="4468" width="42.5703125" style="4" bestFit="1" customWidth="1"/>
    <col min="4469" max="4469" width="3.28515625" style="4" customWidth="1"/>
    <col min="4470" max="4470" width="8" style="4" customWidth="1"/>
    <col min="4471" max="4471" width="42.5703125" style="4" bestFit="1" customWidth="1"/>
    <col min="4472" max="4472" width="3.28515625" style="4" customWidth="1"/>
    <col min="4473" max="4473" width="8" style="4" customWidth="1"/>
    <col min="4474" max="4474" width="42.5703125" style="4" bestFit="1" customWidth="1"/>
    <col min="4475" max="4475" width="3.28515625" style="4" customWidth="1"/>
    <col min="4476" max="4476" width="8" style="4" customWidth="1"/>
    <col min="4477" max="4477" width="42.5703125" style="4" bestFit="1" customWidth="1"/>
    <col min="4478" max="4478" width="3.28515625" style="4" customWidth="1"/>
    <col min="4479" max="4479" width="8" style="4" customWidth="1"/>
    <col min="4480" max="4480" width="42.5703125" style="4" bestFit="1" customWidth="1"/>
    <col min="4481" max="4481" width="3.28515625" style="4" customWidth="1"/>
    <col min="4482" max="4482" width="8" style="4" customWidth="1"/>
    <col min="4483" max="4483" width="42.5703125" style="4" bestFit="1" customWidth="1"/>
    <col min="4484" max="4484" width="3.28515625" style="4" customWidth="1"/>
    <col min="4485" max="4485" width="8" style="4" customWidth="1"/>
    <col min="4486" max="4486" width="42.5703125" style="4" bestFit="1" customWidth="1"/>
    <col min="4487" max="4487" width="3.28515625" style="4" customWidth="1"/>
    <col min="4488" max="4488" width="8" style="4" customWidth="1"/>
    <col min="4489" max="4489" width="42.5703125" style="4" bestFit="1" customWidth="1"/>
    <col min="4490" max="4490" width="3.28515625" style="4" customWidth="1"/>
    <col min="4491" max="4491" width="8" style="4" customWidth="1"/>
    <col min="4492" max="4492" width="42.5703125" style="4" bestFit="1" customWidth="1"/>
    <col min="4493" max="4493" width="3.28515625" style="4" customWidth="1"/>
    <col min="4494" max="4494" width="8" style="4" customWidth="1"/>
    <col min="4495" max="4495" width="42.5703125" style="4" bestFit="1" customWidth="1"/>
    <col min="4496" max="4496" width="3.28515625" style="4" customWidth="1"/>
    <col min="4497" max="4497" width="8" style="4" customWidth="1"/>
    <col min="4498" max="4498" width="42.5703125" style="4" bestFit="1" customWidth="1"/>
    <col min="4499" max="4499" width="3.28515625" style="4" customWidth="1"/>
    <col min="4500" max="4500" width="8" style="4" customWidth="1"/>
    <col min="4501" max="4501" width="42.5703125" style="4" bestFit="1" customWidth="1"/>
    <col min="4502" max="4502" width="3.28515625" style="4" customWidth="1"/>
    <col min="4503" max="4503" width="8" style="4" customWidth="1"/>
    <col min="4504" max="4504" width="42.5703125" style="4" bestFit="1" customWidth="1"/>
    <col min="4505" max="4505" width="3.28515625" style="4" customWidth="1"/>
    <col min="4506" max="4506" width="8" style="4" customWidth="1"/>
    <col min="4507" max="4507" width="42.5703125" style="4" bestFit="1" customWidth="1"/>
    <col min="4508" max="4508" width="3.28515625" style="4" customWidth="1"/>
    <col min="4509" max="4509" width="8" style="4" customWidth="1"/>
    <col min="4510" max="4510" width="42.5703125" style="4" bestFit="1" customWidth="1"/>
    <col min="4511" max="4511" width="3.28515625" style="4" customWidth="1"/>
    <col min="4512" max="4512" width="8" style="4" customWidth="1"/>
    <col min="4513" max="4513" width="42.5703125" style="4" bestFit="1" customWidth="1"/>
    <col min="4514" max="4514" width="3.28515625" style="4" customWidth="1"/>
    <col min="4515" max="4515" width="8" style="4" customWidth="1"/>
    <col min="4516" max="4516" width="42.5703125" style="4" bestFit="1" customWidth="1"/>
    <col min="4517" max="4517" width="3.28515625" style="4" customWidth="1"/>
    <col min="4518" max="4518" width="8" style="4" customWidth="1"/>
    <col min="4519" max="4519" width="42.5703125" style="4" bestFit="1" customWidth="1"/>
    <col min="4520" max="4520" width="3.28515625" style="4" customWidth="1"/>
    <col min="4521" max="4521" width="8" style="4" customWidth="1"/>
    <col min="4522" max="4522" width="42.5703125" style="4" bestFit="1" customWidth="1"/>
    <col min="4523" max="4523" width="3.28515625" style="4" customWidth="1"/>
    <col min="4524" max="4524" width="8" style="4" customWidth="1"/>
    <col min="4525" max="4525" width="42.5703125" style="4" bestFit="1" customWidth="1"/>
    <col min="4526" max="4526" width="3.28515625" style="4" customWidth="1"/>
    <col min="4527" max="4527" width="8" style="4" customWidth="1"/>
    <col min="4528" max="4528" width="42.5703125" style="4" bestFit="1" customWidth="1"/>
    <col min="4529" max="4529" width="3.28515625" style="4" customWidth="1"/>
    <col min="4530" max="4530" width="8" style="4" customWidth="1"/>
    <col min="4531" max="4531" width="42.5703125" style="4" bestFit="1" customWidth="1"/>
    <col min="4532" max="4532" width="3.28515625" style="4" customWidth="1"/>
    <col min="4533" max="4533" width="8" style="4" customWidth="1"/>
    <col min="4534" max="4534" width="42.5703125" style="4" bestFit="1" customWidth="1"/>
    <col min="4535" max="4535" width="3.28515625" style="4" customWidth="1"/>
    <col min="4536" max="4536" width="8" style="4" customWidth="1"/>
    <col min="4537" max="4537" width="42.5703125" style="4" bestFit="1" customWidth="1"/>
    <col min="4538" max="4538" width="3.28515625" style="4" customWidth="1"/>
    <col min="4539" max="4539" width="8" style="4" customWidth="1"/>
    <col min="4540" max="4540" width="42.5703125" style="4" bestFit="1" customWidth="1"/>
    <col min="4541" max="4541" width="3.28515625" style="4" customWidth="1"/>
    <col min="4542" max="4542" width="8" style="4" customWidth="1"/>
    <col min="4543" max="4543" width="42.5703125" style="4" bestFit="1" customWidth="1"/>
    <col min="4544" max="4544" width="3.28515625" style="4" customWidth="1"/>
    <col min="4545" max="4545" width="8" style="4" customWidth="1"/>
    <col min="4546" max="4546" width="42.5703125" style="4" bestFit="1" customWidth="1"/>
    <col min="4547" max="4547" width="3.28515625" style="4" customWidth="1"/>
    <col min="4548" max="4548" width="8" style="4" customWidth="1"/>
    <col min="4549" max="4549" width="42.5703125" style="4" bestFit="1" customWidth="1"/>
    <col min="4550" max="4550" width="3.28515625" style="4" customWidth="1"/>
    <col min="4551" max="4551" width="8" style="4" customWidth="1"/>
    <col min="4552" max="4552" width="42.5703125" style="4" bestFit="1" customWidth="1"/>
    <col min="4553" max="4553" width="3.28515625" style="4" customWidth="1"/>
    <col min="4554" max="4554" width="8" style="4" customWidth="1"/>
    <col min="4555" max="4555" width="42.5703125" style="4" bestFit="1" customWidth="1"/>
    <col min="4556" max="4556" width="3.28515625" style="4" customWidth="1"/>
    <col min="4557" max="4557" width="8" style="4" customWidth="1"/>
    <col min="4558" max="4558" width="42.5703125" style="4" bestFit="1" customWidth="1"/>
    <col min="4559" max="4559" width="3.28515625" style="4" customWidth="1"/>
    <col min="4560" max="4560" width="8" style="4" customWidth="1"/>
    <col min="4561" max="4561" width="42.5703125" style="4" bestFit="1" customWidth="1"/>
    <col min="4562" max="4562" width="3.28515625" style="4" customWidth="1"/>
    <col min="4563" max="4563" width="8" style="4" customWidth="1"/>
    <col min="4564" max="4564" width="42.5703125" style="4" bestFit="1" customWidth="1"/>
    <col min="4565" max="4565" width="3.28515625" style="4" customWidth="1"/>
    <col min="4566" max="4566" width="8" style="4" customWidth="1"/>
    <col min="4567" max="4567" width="42.5703125" style="4" bestFit="1" customWidth="1"/>
    <col min="4568" max="4568" width="3.28515625" style="4" customWidth="1"/>
    <col min="4569" max="4569" width="8" style="4" customWidth="1"/>
    <col min="4570" max="4570" width="42.5703125" style="4" bestFit="1" customWidth="1"/>
    <col min="4571" max="4571" width="3.28515625" style="4" customWidth="1"/>
    <col min="4572" max="4572" width="8" style="4" customWidth="1"/>
    <col min="4573" max="4573" width="42.5703125" style="4" bestFit="1" customWidth="1"/>
    <col min="4574" max="4574" width="3.28515625" style="4" customWidth="1"/>
    <col min="4575" max="4575" width="8" style="4" customWidth="1"/>
    <col min="4576" max="4576" width="42.5703125" style="4" bestFit="1" customWidth="1"/>
    <col min="4577" max="4577" width="3.28515625" style="4" customWidth="1"/>
    <col min="4578" max="4578" width="8" style="4" customWidth="1"/>
    <col min="4579" max="4579" width="42.5703125" style="4" bestFit="1" customWidth="1"/>
    <col min="4580" max="4580" width="3.28515625" style="4" customWidth="1"/>
    <col min="4581" max="4581" width="8" style="4" customWidth="1"/>
    <col min="4582" max="4582" width="42.5703125" style="4" bestFit="1" customWidth="1"/>
    <col min="4583" max="4583" width="3.28515625" style="4" customWidth="1"/>
    <col min="4584" max="4584" width="8" style="4" customWidth="1"/>
    <col min="4585" max="4585" width="42.5703125" style="4" bestFit="1" customWidth="1"/>
    <col min="4586" max="4586" width="3.28515625" style="4" customWidth="1"/>
    <col min="4587" max="4587" width="8" style="4" customWidth="1"/>
    <col min="4588" max="4588" width="42.5703125" style="4" bestFit="1" customWidth="1"/>
    <col min="4589" max="4589" width="3.28515625" style="4" customWidth="1"/>
    <col min="4590" max="4590" width="8" style="4" customWidth="1"/>
    <col min="4591" max="4591" width="42.5703125" style="4" bestFit="1" customWidth="1"/>
    <col min="4592" max="4592" width="3.28515625" style="4" customWidth="1"/>
    <col min="4593" max="4593" width="8" style="4" customWidth="1"/>
    <col min="4594" max="4594" width="42.5703125" style="4" bestFit="1" customWidth="1"/>
    <col min="4595" max="4595" width="3.28515625" style="4" customWidth="1"/>
    <col min="4596" max="4596" width="8" style="4" customWidth="1"/>
    <col min="4597" max="4597" width="42.5703125" style="4" bestFit="1" customWidth="1"/>
    <col min="4598" max="4598" width="3.28515625" style="4" customWidth="1"/>
    <col min="4599" max="4599" width="8" style="4" customWidth="1"/>
    <col min="4600" max="4600" width="42.5703125" style="4" bestFit="1" customWidth="1"/>
    <col min="4601" max="4601" width="3.28515625" style="4" customWidth="1"/>
    <col min="4602" max="4602" width="8" style="4" customWidth="1"/>
    <col min="4603" max="4603" width="42.5703125" style="4" bestFit="1" customWidth="1"/>
    <col min="4604" max="4604" width="3.28515625" style="4" customWidth="1"/>
    <col min="4605" max="4605" width="8" style="4" customWidth="1"/>
    <col min="4606" max="4606" width="42.5703125" style="4" bestFit="1" customWidth="1"/>
    <col min="4607" max="4607" width="3.28515625" style="4" customWidth="1"/>
    <col min="4608" max="4608" width="8" style="4" customWidth="1"/>
    <col min="4609" max="4609" width="42.5703125" style="4" bestFit="1" customWidth="1"/>
    <col min="4610" max="4610" width="3.28515625" style="4" customWidth="1"/>
    <col min="4611" max="4611" width="8" style="4" customWidth="1"/>
    <col min="4612" max="4612" width="42.5703125" style="4" bestFit="1" customWidth="1"/>
    <col min="4613" max="4613" width="3.28515625" style="4" customWidth="1"/>
    <col min="4614" max="4614" width="8" style="4" customWidth="1"/>
    <col min="4615" max="4615" width="42.5703125" style="4" bestFit="1" customWidth="1"/>
    <col min="4616" max="4616" width="3.28515625" style="4" customWidth="1"/>
    <col min="4617" max="4617" width="8" style="4" customWidth="1"/>
    <col min="4618" max="4618" width="42.5703125" style="4" bestFit="1" customWidth="1"/>
    <col min="4619" max="4619" width="3.28515625" style="4" customWidth="1"/>
    <col min="4620" max="4620" width="8" style="4" customWidth="1"/>
    <col min="4621" max="4621" width="42.5703125" style="4" bestFit="1" customWidth="1"/>
    <col min="4622" max="4622" width="3.28515625" style="4" customWidth="1"/>
    <col min="4623" max="4623" width="8" style="4" customWidth="1"/>
    <col min="4624" max="4624" width="42.5703125" style="4" bestFit="1" customWidth="1"/>
    <col min="4625" max="4625" width="3.28515625" style="4" customWidth="1"/>
    <col min="4626" max="4626" width="8" style="4" customWidth="1"/>
    <col min="4627" max="4627" width="42.5703125" style="4" bestFit="1" customWidth="1"/>
    <col min="4628" max="4628" width="3.28515625" style="4" customWidth="1"/>
    <col min="4629" max="4629" width="8" style="4" customWidth="1"/>
    <col min="4630" max="4630" width="42.5703125" style="4" bestFit="1" customWidth="1"/>
    <col min="4631" max="4631" width="3.28515625" style="4" customWidth="1"/>
    <col min="4632" max="4632" width="8" style="4" customWidth="1"/>
    <col min="4633" max="4633" width="42.5703125" style="4" bestFit="1" customWidth="1"/>
    <col min="4634" max="4634" width="3.28515625" style="4" customWidth="1"/>
    <col min="4635" max="4635" width="8" style="4" customWidth="1"/>
    <col min="4636" max="4636" width="42.5703125" style="4" bestFit="1" customWidth="1"/>
    <col min="4637" max="4637" width="3.28515625" style="4" customWidth="1"/>
    <col min="4638" max="4638" width="8" style="4" customWidth="1"/>
    <col min="4639" max="4639" width="42.5703125" style="4" bestFit="1" customWidth="1"/>
    <col min="4640" max="4640" width="3.28515625" style="4" customWidth="1"/>
    <col min="4641" max="4641" width="8" style="4" customWidth="1"/>
    <col min="4642" max="4642" width="42.5703125" style="4" bestFit="1" customWidth="1"/>
    <col min="4643" max="4643" width="3.28515625" style="4" customWidth="1"/>
    <col min="4644" max="4644" width="8" style="4" customWidth="1"/>
    <col min="4645" max="4645" width="42.5703125" style="4" bestFit="1" customWidth="1"/>
    <col min="4646" max="4646" width="3.28515625" style="4" customWidth="1"/>
    <col min="4647" max="4647" width="8" style="4" customWidth="1"/>
    <col min="4648" max="4648" width="42.5703125" style="4" bestFit="1" customWidth="1"/>
    <col min="4649" max="4649" width="3.28515625" style="4" customWidth="1"/>
    <col min="4650" max="4650" width="8" style="4" customWidth="1"/>
    <col min="4651" max="4651" width="42.5703125" style="4" bestFit="1" customWidth="1"/>
    <col min="4652" max="4652" width="3.28515625" style="4" customWidth="1"/>
    <col min="4653" max="4653" width="8" style="4" customWidth="1"/>
    <col min="4654" max="4654" width="42.5703125" style="4" bestFit="1" customWidth="1"/>
    <col min="4655" max="4655" width="3.28515625" style="4" customWidth="1"/>
    <col min="4656" max="4656" width="8" style="4" customWidth="1"/>
    <col min="4657" max="4657" width="42.5703125" style="4" bestFit="1" customWidth="1"/>
    <col min="4658" max="4658" width="3.28515625" style="4" customWidth="1"/>
    <col min="4659" max="4659" width="8" style="4" customWidth="1"/>
    <col min="4660" max="4660" width="42.5703125" style="4" bestFit="1" customWidth="1"/>
    <col min="4661" max="4661" width="3.28515625" style="4" customWidth="1"/>
    <col min="4662" max="4662" width="8" style="4" customWidth="1"/>
    <col min="4663" max="4663" width="42.5703125" style="4" bestFit="1" customWidth="1"/>
    <col min="4664" max="4664" width="3.28515625" style="4" customWidth="1"/>
    <col min="4665" max="4665" width="8" style="4" customWidth="1"/>
    <col min="4666" max="4666" width="42.5703125" style="4" bestFit="1" customWidth="1"/>
    <col min="4667" max="4667" width="3.28515625" style="4" customWidth="1"/>
    <col min="4668" max="4668" width="8" style="4" customWidth="1"/>
    <col min="4669" max="4669" width="42.5703125" style="4" bestFit="1" customWidth="1"/>
    <col min="4670" max="4670" width="3.28515625" style="4" customWidth="1"/>
    <col min="4671" max="4671" width="8" style="4" customWidth="1"/>
    <col min="4672" max="4672" width="42.5703125" style="4" bestFit="1" customWidth="1"/>
    <col min="4673" max="4673" width="3.28515625" style="4" customWidth="1"/>
    <col min="4674" max="4674" width="8" style="4" customWidth="1"/>
    <col min="4675" max="4675" width="42.5703125" style="4" bestFit="1" customWidth="1"/>
    <col min="4676" max="4676" width="3.28515625" style="4" customWidth="1"/>
    <col min="4677" max="4677" width="8" style="4" customWidth="1"/>
    <col min="4678" max="4678" width="42.5703125" style="4" bestFit="1" customWidth="1"/>
    <col min="4679" max="4679" width="3.28515625" style="4" customWidth="1"/>
    <col min="4680" max="4680" width="8" style="4" customWidth="1"/>
    <col min="4681" max="4681" width="42.5703125" style="4" bestFit="1" customWidth="1"/>
    <col min="4682" max="4682" width="3.28515625" style="4" customWidth="1"/>
    <col min="4683" max="4683" width="8" style="4" customWidth="1"/>
    <col min="4684" max="4684" width="42.5703125" style="4" bestFit="1" customWidth="1"/>
    <col min="4685" max="4685" width="3.28515625" style="4" customWidth="1"/>
    <col min="4686" max="4686" width="8" style="4" customWidth="1"/>
    <col min="4687" max="4687" width="42.5703125" style="4" bestFit="1" customWidth="1"/>
    <col min="4688" max="4688" width="3.28515625" style="4" customWidth="1"/>
    <col min="4689" max="4689" width="8" style="4" customWidth="1"/>
    <col min="4690" max="4690" width="42.5703125" style="4" bestFit="1" customWidth="1"/>
    <col min="4691" max="4691" width="3.28515625" style="4" customWidth="1"/>
    <col min="4692" max="4692" width="8" style="4" customWidth="1"/>
    <col min="4693" max="4693" width="42.5703125" style="4" bestFit="1" customWidth="1"/>
    <col min="4694" max="4694" width="3.28515625" style="4" customWidth="1"/>
    <col min="4695" max="4695" width="8" style="4" customWidth="1"/>
    <col min="4696" max="4696" width="42.5703125" style="4" bestFit="1" customWidth="1"/>
    <col min="4697" max="4697" width="3.28515625" style="4" customWidth="1"/>
    <col min="4698" max="4698" width="8" style="4" customWidth="1"/>
    <col min="4699" max="4699" width="42.5703125" style="4" bestFit="1" customWidth="1"/>
    <col min="4700" max="4700" width="3.28515625" style="4" customWidth="1"/>
    <col min="4701" max="4701" width="8" style="4" customWidth="1"/>
    <col min="4702" max="4702" width="42.5703125" style="4" bestFit="1" customWidth="1"/>
    <col min="4703" max="4703" width="3.28515625" style="4" customWidth="1"/>
    <col min="4704" max="4704" width="8" style="4" customWidth="1"/>
    <col min="4705" max="4705" width="42.5703125" style="4" bestFit="1" customWidth="1"/>
    <col min="4706" max="4706" width="3.28515625" style="4" customWidth="1"/>
    <col min="4707" max="4707" width="8" style="4" customWidth="1"/>
    <col min="4708" max="4708" width="42.5703125" style="4" bestFit="1" customWidth="1"/>
    <col min="4709" max="4709" width="3.28515625" style="4" customWidth="1"/>
    <col min="4710" max="4710" width="8" style="4" customWidth="1"/>
    <col min="4711" max="4711" width="42.5703125" style="4" bestFit="1" customWidth="1"/>
    <col min="4712" max="4712" width="3.28515625" style="4" customWidth="1"/>
    <col min="4713" max="4713" width="8" style="4" customWidth="1"/>
    <col min="4714" max="4714" width="42.5703125" style="4" bestFit="1" customWidth="1"/>
    <col min="4715" max="4715" width="3.28515625" style="4" customWidth="1"/>
    <col min="4716" max="4716" width="8" style="4" customWidth="1"/>
    <col min="4717" max="4717" width="42.5703125" style="4" bestFit="1" customWidth="1"/>
    <col min="4718" max="4718" width="3.28515625" style="4" customWidth="1"/>
    <col min="4719" max="4719" width="8" style="4" customWidth="1"/>
    <col min="4720" max="4720" width="42.5703125" style="4" bestFit="1" customWidth="1"/>
    <col min="4721" max="4721" width="3.28515625" style="4" customWidth="1"/>
    <col min="4722" max="4722" width="8" style="4" customWidth="1"/>
    <col min="4723" max="4723" width="42.5703125" style="4" bestFit="1" customWidth="1"/>
    <col min="4724" max="4724" width="3.28515625" style="4" customWidth="1"/>
    <col min="4725" max="4725" width="8" style="4" customWidth="1"/>
    <col min="4726" max="4726" width="42.5703125" style="4" bestFit="1" customWidth="1"/>
    <col min="4727" max="4727" width="3.28515625" style="4" customWidth="1"/>
    <col min="4728" max="4728" width="8" style="4" customWidth="1"/>
    <col min="4729" max="4729" width="42.5703125" style="4" bestFit="1" customWidth="1"/>
    <col min="4730" max="4730" width="3.28515625" style="4" customWidth="1"/>
    <col min="4731" max="4731" width="8" style="4" customWidth="1"/>
    <col min="4732" max="4732" width="42.5703125" style="4" bestFit="1" customWidth="1"/>
    <col min="4733" max="4733" width="3.28515625" style="4" customWidth="1"/>
    <col min="4734" max="4734" width="8" style="4" customWidth="1"/>
    <col min="4735" max="4735" width="42.5703125" style="4" bestFit="1" customWidth="1"/>
    <col min="4736" max="4736" width="3.28515625" style="4" customWidth="1"/>
    <col min="4737" max="4737" width="8" style="4" customWidth="1"/>
    <col min="4738" max="4738" width="42.5703125" style="4" bestFit="1" customWidth="1"/>
    <col min="4739" max="4739" width="3.28515625" style="4" customWidth="1"/>
    <col min="4740" max="4740" width="8" style="4" customWidth="1"/>
    <col min="4741" max="4741" width="42.5703125" style="4" bestFit="1" customWidth="1"/>
    <col min="4742" max="4742" width="3.28515625" style="4" customWidth="1"/>
    <col min="4743" max="4743" width="8" style="4" customWidth="1"/>
    <col min="4744" max="4744" width="42.5703125" style="4" bestFit="1" customWidth="1"/>
    <col min="4745" max="4745" width="3.28515625" style="4" customWidth="1"/>
    <col min="4746" max="4746" width="8" style="4" customWidth="1"/>
    <col min="4747" max="4747" width="42.5703125" style="4" bestFit="1" customWidth="1"/>
    <col min="4748" max="4748" width="3.28515625" style="4" customWidth="1"/>
    <col min="4749" max="4749" width="8" style="4" customWidth="1"/>
    <col min="4750" max="4750" width="42.5703125" style="4" bestFit="1" customWidth="1"/>
    <col min="4751" max="4751" width="3.28515625" style="4" customWidth="1"/>
    <col min="4752" max="4752" width="8" style="4" customWidth="1"/>
    <col min="4753" max="4753" width="42.5703125" style="4" bestFit="1" customWidth="1"/>
    <col min="4754" max="4754" width="3.28515625" style="4" customWidth="1"/>
    <col min="4755" max="4755" width="8" style="4" customWidth="1"/>
    <col min="4756" max="4756" width="42.5703125" style="4" bestFit="1" customWidth="1"/>
    <col min="4757" max="4757" width="3.28515625" style="4" customWidth="1"/>
    <col min="4758" max="4758" width="8" style="4" customWidth="1"/>
    <col min="4759" max="4759" width="42.5703125" style="4" bestFit="1" customWidth="1"/>
    <col min="4760" max="4760" width="3.28515625" style="4" customWidth="1"/>
    <col min="4761" max="4761" width="8" style="4" customWidth="1"/>
    <col min="4762" max="4762" width="42.5703125" style="4" bestFit="1" customWidth="1"/>
    <col min="4763" max="4763" width="3.28515625" style="4" customWidth="1"/>
    <col min="4764" max="4764" width="8" style="4" customWidth="1"/>
    <col min="4765" max="4765" width="42.5703125" style="4" bestFit="1" customWidth="1"/>
    <col min="4766" max="4766" width="3.28515625" style="4" customWidth="1"/>
    <col min="4767" max="4767" width="8" style="4" customWidth="1"/>
    <col min="4768" max="4768" width="42.5703125" style="4" bestFit="1" customWidth="1"/>
    <col min="4769" max="4769" width="3.28515625" style="4" customWidth="1"/>
    <col min="4770" max="4770" width="8" style="4" customWidth="1"/>
    <col min="4771" max="4771" width="42.5703125" style="4" bestFit="1" customWidth="1"/>
    <col min="4772" max="4772" width="3.28515625" style="4" customWidth="1"/>
    <col min="4773" max="4773" width="8" style="4" customWidth="1"/>
    <col min="4774" max="4774" width="42.5703125" style="4" bestFit="1" customWidth="1"/>
    <col min="4775" max="4775" width="3.28515625" style="4" customWidth="1"/>
    <col min="4776" max="4776" width="8" style="4" customWidth="1"/>
    <col min="4777" max="4777" width="42.5703125" style="4" bestFit="1" customWidth="1"/>
    <col min="4778" max="4778" width="3.28515625" style="4" customWidth="1"/>
    <col min="4779" max="4779" width="8" style="4" customWidth="1"/>
    <col min="4780" max="4780" width="42.5703125" style="4" bestFit="1" customWidth="1"/>
    <col min="4781" max="4781" width="3.28515625" style="4" customWidth="1"/>
    <col min="4782" max="4782" width="8" style="4" customWidth="1"/>
    <col min="4783" max="4783" width="42.5703125" style="4" bestFit="1" customWidth="1"/>
    <col min="4784" max="4784" width="3.28515625" style="4" customWidth="1"/>
    <col min="4785" max="4785" width="8" style="4" customWidth="1"/>
    <col min="4786" max="4786" width="42.5703125" style="4" bestFit="1" customWidth="1"/>
    <col min="4787" max="4787" width="3.28515625" style="4" customWidth="1"/>
    <col min="4788" max="4788" width="8" style="4" customWidth="1"/>
    <col min="4789" max="4789" width="42.5703125" style="4" bestFit="1" customWidth="1"/>
    <col min="4790" max="4790" width="3.28515625" style="4" customWidth="1"/>
    <col min="4791" max="4791" width="8" style="4" customWidth="1"/>
    <col min="4792" max="4792" width="42.5703125" style="4" bestFit="1" customWidth="1"/>
    <col min="4793" max="4793" width="3.28515625" style="4" customWidth="1"/>
    <col min="4794" max="4794" width="8" style="4" customWidth="1"/>
    <col min="4795" max="4795" width="42.5703125" style="4" bestFit="1" customWidth="1"/>
    <col min="4796" max="4796" width="3.28515625" style="4" customWidth="1"/>
    <col min="4797" max="4797" width="8" style="4" customWidth="1"/>
    <col min="4798" max="4798" width="42.5703125" style="4" bestFit="1" customWidth="1"/>
    <col min="4799" max="4799" width="3.28515625" style="4" customWidth="1"/>
    <col min="4800" max="4800" width="8" style="4" customWidth="1"/>
    <col min="4801" max="4801" width="42.5703125" style="4" bestFit="1" customWidth="1"/>
    <col min="4802" max="4802" width="3.28515625" style="4" customWidth="1"/>
    <col min="4803" max="4803" width="8" style="4" customWidth="1"/>
    <col min="4804" max="4804" width="42.5703125" style="4" bestFit="1" customWidth="1"/>
    <col min="4805" max="4805" width="3.28515625" style="4" customWidth="1"/>
    <col min="4806" max="4806" width="8" style="4" customWidth="1"/>
    <col min="4807" max="4807" width="42.5703125" style="4" bestFit="1" customWidth="1"/>
    <col min="4808" max="4808" width="3.28515625" style="4" customWidth="1"/>
    <col min="4809" max="4809" width="8" style="4" customWidth="1"/>
    <col min="4810" max="4810" width="42.5703125" style="4" bestFit="1" customWidth="1"/>
    <col min="4811" max="4811" width="3.28515625" style="4" customWidth="1"/>
    <col min="4812" max="4812" width="8" style="4" customWidth="1"/>
    <col min="4813" max="4813" width="42.5703125" style="4" bestFit="1" customWidth="1"/>
    <col min="4814" max="4814" width="3.28515625" style="4" customWidth="1"/>
    <col min="4815" max="4815" width="8" style="4" customWidth="1"/>
    <col min="4816" max="4816" width="42.5703125" style="4" bestFit="1" customWidth="1"/>
    <col min="4817" max="4817" width="3.28515625" style="4" customWidth="1"/>
    <col min="4818" max="4818" width="8" style="4" customWidth="1"/>
    <col min="4819" max="4819" width="42.5703125" style="4" bestFit="1" customWidth="1"/>
    <col min="4820" max="4820" width="3.28515625" style="4" customWidth="1"/>
    <col min="4821" max="4821" width="8" style="4" customWidth="1"/>
    <col min="4822" max="4822" width="42.5703125" style="4" bestFit="1" customWidth="1"/>
    <col min="4823" max="4823" width="3.28515625" style="4" customWidth="1"/>
    <col min="4824" max="4824" width="8" style="4" customWidth="1"/>
    <col min="4825" max="4825" width="42.5703125" style="4" bestFit="1" customWidth="1"/>
    <col min="4826" max="4826" width="3.28515625" style="4" customWidth="1"/>
    <col min="4827" max="4827" width="8" style="4" customWidth="1"/>
    <col min="4828" max="4828" width="42.5703125" style="4" bestFit="1" customWidth="1"/>
    <col min="4829" max="4829" width="3.28515625" style="4" customWidth="1"/>
    <col min="4830" max="4830" width="8" style="4" customWidth="1"/>
    <col min="4831" max="4831" width="42.5703125" style="4" bestFit="1" customWidth="1"/>
    <col min="4832" max="4832" width="3.28515625" style="4" customWidth="1"/>
    <col min="4833" max="4833" width="8" style="4" customWidth="1"/>
    <col min="4834" max="4834" width="42.5703125" style="4" bestFit="1" customWidth="1"/>
    <col min="4835" max="4835" width="3.28515625" style="4" customWidth="1"/>
    <col min="4836" max="4836" width="8" style="4" customWidth="1"/>
    <col min="4837" max="4837" width="42.5703125" style="4" bestFit="1" customWidth="1"/>
    <col min="4838" max="4838" width="3.28515625" style="4" customWidth="1"/>
    <col min="4839" max="4839" width="8" style="4" customWidth="1"/>
    <col min="4840" max="4840" width="42.5703125" style="4" bestFit="1" customWidth="1"/>
    <col min="4841" max="4841" width="3.28515625" style="4" customWidth="1"/>
    <col min="4842" max="4842" width="8" style="4" customWidth="1"/>
    <col min="4843" max="4843" width="42.5703125" style="4" bestFit="1" customWidth="1"/>
    <col min="4844" max="4844" width="3.28515625" style="4" customWidth="1"/>
    <col min="4845" max="4845" width="8" style="4" customWidth="1"/>
    <col min="4846" max="4846" width="42.5703125" style="4" bestFit="1" customWidth="1"/>
    <col min="4847" max="4847" width="3.28515625" style="4" customWidth="1"/>
    <col min="4848" max="4848" width="8" style="4" customWidth="1"/>
    <col min="4849" max="4849" width="42.5703125" style="4" bestFit="1" customWidth="1"/>
    <col min="4850" max="4850" width="3.28515625" style="4" customWidth="1"/>
    <col min="4851" max="4851" width="8" style="4" customWidth="1"/>
    <col min="4852" max="4852" width="42.5703125" style="4" bestFit="1" customWidth="1"/>
    <col min="4853" max="4853" width="3.28515625" style="4" customWidth="1"/>
    <col min="4854" max="4854" width="8" style="4" customWidth="1"/>
    <col min="4855" max="4855" width="42.5703125" style="4" bestFit="1" customWidth="1"/>
    <col min="4856" max="4856" width="3.28515625" style="4" customWidth="1"/>
    <col min="4857" max="4857" width="8" style="4" customWidth="1"/>
    <col min="4858" max="4858" width="42.5703125" style="4" bestFit="1" customWidth="1"/>
    <col min="4859" max="4859" width="3.28515625" style="4" customWidth="1"/>
    <col min="4860" max="4860" width="8" style="4" customWidth="1"/>
    <col min="4861" max="4861" width="42.5703125" style="4" bestFit="1" customWidth="1"/>
    <col min="4862" max="4862" width="3.28515625" style="4" customWidth="1"/>
    <col min="4863" max="4863" width="8" style="4" customWidth="1"/>
    <col min="4864" max="4864" width="42.5703125" style="4" bestFit="1" customWidth="1"/>
    <col min="4865" max="4865" width="3.28515625" style="4" customWidth="1"/>
    <col min="4866" max="4866" width="8" style="4" customWidth="1"/>
    <col min="4867" max="4867" width="42.5703125" style="4" bestFit="1" customWidth="1"/>
    <col min="4868" max="4868" width="3.28515625" style="4" customWidth="1"/>
    <col min="4869" max="4869" width="8" style="4" customWidth="1"/>
    <col min="4870" max="4870" width="42.5703125" style="4" bestFit="1" customWidth="1"/>
    <col min="4871" max="4871" width="3.28515625" style="4" customWidth="1"/>
    <col min="4872" max="4872" width="8" style="4" customWidth="1"/>
    <col min="4873" max="4873" width="42.5703125" style="4" bestFit="1" customWidth="1"/>
    <col min="4874" max="4874" width="3.28515625" style="4" customWidth="1"/>
    <col min="4875" max="4875" width="8" style="4" customWidth="1"/>
    <col min="4876" max="4876" width="42.5703125" style="4" bestFit="1" customWidth="1"/>
    <col min="4877" max="4877" width="3.28515625" style="4" customWidth="1"/>
    <col min="4878" max="4878" width="8" style="4" customWidth="1"/>
    <col min="4879" max="4879" width="42.5703125" style="4" bestFit="1" customWidth="1"/>
    <col min="4880" max="4880" width="3.28515625" style="4" customWidth="1"/>
    <col min="4881" max="4881" width="8" style="4" customWidth="1"/>
    <col min="4882" max="4882" width="42.5703125" style="4" bestFit="1" customWidth="1"/>
    <col min="4883" max="4883" width="3.28515625" style="4" customWidth="1"/>
    <col min="4884" max="4884" width="8" style="4" customWidth="1"/>
    <col min="4885" max="4885" width="42.5703125" style="4" bestFit="1" customWidth="1"/>
    <col min="4886" max="4886" width="3.28515625" style="4" customWidth="1"/>
    <col min="4887" max="4887" width="8" style="4" customWidth="1"/>
    <col min="4888" max="4888" width="42.5703125" style="4" bestFit="1" customWidth="1"/>
    <col min="4889" max="4889" width="3.28515625" style="4" customWidth="1"/>
    <col min="4890" max="4890" width="8" style="4" customWidth="1"/>
    <col min="4891" max="4891" width="42.5703125" style="4" bestFit="1" customWidth="1"/>
    <col min="4892" max="4892" width="3.28515625" style="4" customWidth="1"/>
    <col min="4893" max="4893" width="8" style="4" customWidth="1"/>
    <col min="4894" max="4894" width="42.5703125" style="4" bestFit="1" customWidth="1"/>
    <col min="4895" max="4895" width="3.28515625" style="4" customWidth="1"/>
    <col min="4896" max="4896" width="8" style="4" customWidth="1"/>
    <col min="4897" max="4897" width="42.5703125" style="4" bestFit="1" customWidth="1"/>
    <col min="4898" max="4898" width="3.28515625" style="4" customWidth="1"/>
    <col min="4899" max="4899" width="8" style="4" customWidth="1"/>
    <col min="4900" max="4900" width="42.5703125" style="4" bestFit="1" customWidth="1"/>
    <col min="4901" max="4901" width="3.28515625" style="4" customWidth="1"/>
    <col min="4902" max="4902" width="8" style="4" customWidth="1"/>
    <col min="4903" max="4903" width="42.5703125" style="4" bestFit="1" customWidth="1"/>
    <col min="4904" max="4904" width="3.28515625" style="4" customWidth="1"/>
    <col min="4905" max="4905" width="8" style="4" customWidth="1"/>
    <col min="4906" max="4906" width="42.5703125" style="4" bestFit="1" customWidth="1"/>
    <col min="4907" max="4907" width="3.28515625" style="4" customWidth="1"/>
    <col min="4908" max="4908" width="8" style="4" customWidth="1"/>
    <col min="4909" max="4909" width="42.5703125" style="4" bestFit="1" customWidth="1"/>
    <col min="4910" max="4910" width="3.28515625" style="4" customWidth="1"/>
    <col min="4911" max="4911" width="8" style="4" customWidth="1"/>
    <col min="4912" max="4912" width="42.5703125" style="4" bestFit="1" customWidth="1"/>
    <col min="4913" max="4913" width="3.28515625" style="4" customWidth="1"/>
    <col min="4914" max="4914" width="8" style="4" customWidth="1"/>
    <col min="4915" max="4915" width="42.5703125" style="4" bestFit="1" customWidth="1"/>
    <col min="4916" max="4916" width="3.28515625" style="4" customWidth="1"/>
    <col min="4917" max="4917" width="8" style="4" customWidth="1"/>
    <col min="4918" max="4918" width="42.5703125" style="4" bestFit="1" customWidth="1"/>
    <col min="4919" max="4919" width="3.28515625" style="4" customWidth="1"/>
    <col min="4920" max="4920" width="8" style="4" customWidth="1"/>
    <col min="4921" max="4921" width="42.5703125" style="4" bestFit="1" customWidth="1"/>
    <col min="4922" max="4922" width="3.28515625" style="4" customWidth="1"/>
    <col min="4923" max="4923" width="8" style="4" customWidth="1"/>
    <col min="4924" max="4924" width="42.5703125" style="4" bestFit="1" customWidth="1"/>
    <col min="4925" max="4925" width="3.28515625" style="4" customWidth="1"/>
    <col min="4926" max="4926" width="8" style="4" customWidth="1"/>
    <col min="4927" max="4927" width="42.5703125" style="4" bestFit="1" customWidth="1"/>
    <col min="4928" max="4928" width="3.28515625" style="4" customWidth="1"/>
    <col min="4929" max="4929" width="8" style="4" customWidth="1"/>
    <col min="4930" max="4930" width="42.5703125" style="4" bestFit="1" customWidth="1"/>
    <col min="4931" max="4931" width="3.28515625" style="4" customWidth="1"/>
    <col min="4932" max="4932" width="8" style="4" customWidth="1"/>
    <col min="4933" max="4933" width="42.5703125" style="4" bestFit="1" customWidth="1"/>
    <col min="4934" max="4934" width="3.28515625" style="4" customWidth="1"/>
    <col min="4935" max="4935" width="8" style="4" customWidth="1"/>
    <col min="4936" max="4936" width="42.5703125" style="4" bestFit="1" customWidth="1"/>
    <col min="4937" max="4937" width="3.28515625" style="4" customWidth="1"/>
    <col min="4938" max="4938" width="8" style="4" customWidth="1"/>
    <col min="4939" max="4939" width="42.5703125" style="4" bestFit="1" customWidth="1"/>
    <col min="4940" max="4940" width="3.28515625" style="4" customWidth="1"/>
    <col min="4941" max="4941" width="8" style="4" customWidth="1"/>
    <col min="4942" max="4942" width="42.5703125" style="4" bestFit="1" customWidth="1"/>
    <col min="4943" max="4943" width="3.28515625" style="4" customWidth="1"/>
    <col min="4944" max="4944" width="8" style="4" customWidth="1"/>
    <col min="4945" max="4945" width="42.5703125" style="4" bestFit="1" customWidth="1"/>
    <col min="4946" max="4946" width="3.28515625" style="4" customWidth="1"/>
    <col min="4947" max="4947" width="8" style="4" customWidth="1"/>
    <col min="4948" max="4948" width="42.5703125" style="4" bestFit="1" customWidth="1"/>
    <col min="4949" max="4949" width="3.28515625" style="4" customWidth="1"/>
    <col min="4950" max="4950" width="8" style="4" customWidth="1"/>
    <col min="4951" max="4951" width="42.5703125" style="4" bestFit="1" customWidth="1"/>
    <col min="4952" max="4952" width="3.28515625" style="4" customWidth="1"/>
    <col min="4953" max="4953" width="8" style="4" customWidth="1"/>
    <col min="4954" max="4954" width="42.5703125" style="4" bestFit="1" customWidth="1"/>
    <col min="4955" max="4955" width="3.28515625" style="4" customWidth="1"/>
    <col min="4956" max="4956" width="8" style="4" customWidth="1"/>
    <col min="4957" max="4957" width="42.5703125" style="4" bestFit="1" customWidth="1"/>
    <col min="4958" max="4958" width="3.28515625" style="4" customWidth="1"/>
    <col min="4959" max="4959" width="8" style="4" customWidth="1"/>
    <col min="4960" max="4960" width="42.5703125" style="4" bestFit="1" customWidth="1"/>
    <col min="4961" max="4961" width="3.28515625" style="4" customWidth="1"/>
    <col min="4962" max="4962" width="8" style="4" customWidth="1"/>
    <col min="4963" max="4963" width="42.5703125" style="4" bestFit="1" customWidth="1"/>
    <col min="4964" max="4964" width="3.28515625" style="4" customWidth="1"/>
    <col min="4965" max="4965" width="8" style="4" customWidth="1"/>
    <col min="4966" max="4966" width="42.5703125" style="4" bestFit="1" customWidth="1"/>
    <col min="4967" max="4967" width="3.28515625" style="4" customWidth="1"/>
    <col min="4968" max="4968" width="8" style="4" customWidth="1"/>
    <col min="4969" max="4969" width="42.5703125" style="4" bestFit="1" customWidth="1"/>
    <col min="4970" max="4970" width="3.28515625" style="4" customWidth="1"/>
    <col min="4971" max="4971" width="8" style="4" customWidth="1"/>
    <col min="4972" max="4972" width="42.5703125" style="4" bestFit="1" customWidth="1"/>
    <col min="4973" max="4973" width="3.28515625" style="4" customWidth="1"/>
    <col min="4974" max="4974" width="8" style="4" customWidth="1"/>
    <col min="4975" max="4975" width="42.5703125" style="4" bestFit="1" customWidth="1"/>
    <col min="4976" max="4976" width="3.28515625" style="4" customWidth="1"/>
    <col min="4977" max="4977" width="8" style="4" customWidth="1"/>
    <col min="4978" max="4978" width="42.5703125" style="4" bestFit="1" customWidth="1"/>
    <col min="4979" max="4979" width="3.28515625" style="4" customWidth="1"/>
    <col min="4980" max="4980" width="8" style="4" customWidth="1"/>
    <col min="4981" max="4981" width="42.5703125" style="4" bestFit="1" customWidth="1"/>
    <col min="4982" max="4982" width="3.28515625" style="4" customWidth="1"/>
    <col min="4983" max="4983" width="8" style="4" customWidth="1"/>
    <col min="4984" max="4984" width="42.5703125" style="4" bestFit="1" customWidth="1"/>
    <col min="4985" max="4985" width="3.28515625" style="4" customWidth="1"/>
    <col min="4986" max="4986" width="8" style="4" customWidth="1"/>
    <col min="4987" max="4987" width="42.5703125" style="4" bestFit="1" customWidth="1"/>
    <col min="4988" max="4988" width="3.28515625" style="4" customWidth="1"/>
    <col min="4989" max="4989" width="8" style="4" customWidth="1"/>
    <col min="4990" max="4990" width="42.5703125" style="4" bestFit="1" customWidth="1"/>
    <col min="4991" max="4991" width="3.28515625" style="4" customWidth="1"/>
    <col min="4992" max="4992" width="8" style="4" customWidth="1"/>
    <col min="4993" max="4993" width="42.5703125" style="4" bestFit="1" customWidth="1"/>
    <col min="4994" max="4994" width="3.28515625" style="4" customWidth="1"/>
    <col min="4995" max="4995" width="8" style="4" customWidth="1"/>
    <col min="4996" max="4996" width="42.5703125" style="4" bestFit="1" customWidth="1"/>
    <col min="4997" max="4997" width="3.28515625" style="4" customWidth="1"/>
    <col min="4998" max="4998" width="8" style="4" customWidth="1"/>
    <col min="4999" max="4999" width="42.5703125" style="4" bestFit="1" customWidth="1"/>
    <col min="5000" max="5000" width="3.28515625" style="4" customWidth="1"/>
    <col min="5001" max="5001" width="8" style="4" customWidth="1"/>
    <col min="5002" max="5002" width="42.5703125" style="4" bestFit="1" customWidth="1"/>
    <col min="5003" max="5003" width="3.28515625" style="4" customWidth="1"/>
    <col min="5004" max="5004" width="8" style="4" customWidth="1"/>
    <col min="5005" max="5005" width="42.5703125" style="4" bestFit="1" customWidth="1"/>
    <col min="5006" max="5006" width="3.28515625" style="4" customWidth="1"/>
    <col min="5007" max="5007" width="8" style="4" customWidth="1"/>
    <col min="5008" max="5008" width="42.5703125" style="4" bestFit="1" customWidth="1"/>
    <col min="5009" max="5009" width="3.28515625" style="4" customWidth="1"/>
    <col min="5010" max="5010" width="8" style="4" customWidth="1"/>
    <col min="5011" max="5011" width="42.5703125" style="4" bestFit="1" customWidth="1"/>
    <col min="5012" max="5012" width="3.28515625" style="4" customWidth="1"/>
    <col min="5013" max="5013" width="8" style="4" customWidth="1"/>
    <col min="5014" max="5014" width="42.5703125" style="4" bestFit="1" customWidth="1"/>
    <col min="5015" max="5015" width="3.28515625" style="4" customWidth="1"/>
    <col min="5016" max="5016" width="8" style="4" customWidth="1"/>
    <col min="5017" max="5017" width="42.5703125" style="4" bestFit="1" customWidth="1"/>
    <col min="5018" max="5018" width="3.28515625" style="4" customWidth="1"/>
    <col min="5019" max="5019" width="8" style="4" customWidth="1"/>
    <col min="5020" max="5020" width="42.5703125" style="4" bestFit="1" customWidth="1"/>
    <col min="5021" max="5021" width="3.28515625" style="4" customWidth="1"/>
    <col min="5022" max="5022" width="8" style="4" customWidth="1"/>
    <col min="5023" max="5023" width="42.5703125" style="4" bestFit="1" customWidth="1"/>
    <col min="5024" max="5024" width="3.28515625" style="4" customWidth="1"/>
    <col min="5025" max="5025" width="8" style="4" customWidth="1"/>
    <col min="5026" max="5026" width="42.5703125" style="4" bestFit="1" customWidth="1"/>
    <col min="5027" max="5027" width="3.28515625" style="4" customWidth="1"/>
    <col min="5028" max="5028" width="8" style="4" customWidth="1"/>
    <col min="5029" max="5029" width="42.5703125" style="4" bestFit="1" customWidth="1"/>
    <col min="5030" max="5030" width="3.28515625" style="4" customWidth="1"/>
    <col min="5031" max="5031" width="8" style="4" customWidth="1"/>
    <col min="5032" max="5032" width="42.5703125" style="4" bestFit="1" customWidth="1"/>
    <col min="5033" max="5033" width="3.28515625" style="4" customWidth="1"/>
    <col min="5034" max="5034" width="8" style="4" customWidth="1"/>
    <col min="5035" max="5035" width="42.5703125" style="4" bestFit="1" customWidth="1"/>
    <col min="5036" max="5036" width="3.28515625" style="4" customWidth="1"/>
    <col min="5037" max="5037" width="8" style="4" customWidth="1"/>
    <col min="5038" max="5038" width="42.5703125" style="4" bestFit="1" customWidth="1"/>
    <col min="5039" max="5039" width="3.28515625" style="4" customWidth="1"/>
    <col min="5040" max="5040" width="8" style="4" customWidth="1"/>
    <col min="5041" max="5041" width="42.5703125" style="4" bestFit="1" customWidth="1"/>
    <col min="5042" max="5042" width="3.28515625" style="4" customWidth="1"/>
    <col min="5043" max="5043" width="8" style="4" customWidth="1"/>
    <col min="5044" max="5044" width="42.5703125" style="4" bestFit="1" customWidth="1"/>
    <col min="5045" max="5045" width="3.28515625" style="4" customWidth="1"/>
    <col min="5046" max="5046" width="8" style="4" customWidth="1"/>
    <col min="5047" max="5047" width="42.5703125" style="4" bestFit="1" customWidth="1"/>
    <col min="5048" max="5048" width="3.28515625" style="4" customWidth="1"/>
    <col min="5049" max="5049" width="8" style="4" customWidth="1"/>
    <col min="5050" max="5050" width="42.5703125" style="4" bestFit="1" customWidth="1"/>
    <col min="5051" max="5051" width="3.28515625" style="4" customWidth="1"/>
    <col min="5052" max="5052" width="8" style="4" customWidth="1"/>
    <col min="5053" max="5053" width="42.5703125" style="4" bestFit="1" customWidth="1"/>
    <col min="5054" max="5054" width="3.28515625" style="4" customWidth="1"/>
    <col min="5055" max="5055" width="8" style="4" customWidth="1"/>
    <col min="5056" max="5056" width="42.5703125" style="4" bestFit="1" customWidth="1"/>
    <col min="5057" max="5057" width="3.28515625" style="4" customWidth="1"/>
    <col min="5058" max="5058" width="8" style="4" customWidth="1"/>
    <col min="5059" max="5059" width="42.5703125" style="4" bestFit="1" customWidth="1"/>
    <col min="5060" max="5060" width="3.28515625" style="4" customWidth="1"/>
    <col min="5061" max="5061" width="8" style="4" customWidth="1"/>
    <col min="5062" max="5062" width="42.5703125" style="4" bestFit="1" customWidth="1"/>
    <col min="5063" max="5063" width="3.28515625" style="4" customWidth="1"/>
    <col min="5064" max="5064" width="8" style="4" customWidth="1"/>
    <col min="5065" max="5065" width="42.5703125" style="4" bestFit="1" customWidth="1"/>
    <col min="5066" max="5066" width="3.28515625" style="4" customWidth="1"/>
    <col min="5067" max="5067" width="8" style="4" customWidth="1"/>
    <col min="5068" max="5068" width="42.5703125" style="4" bestFit="1" customWidth="1"/>
    <col min="5069" max="5069" width="3.28515625" style="4" customWidth="1"/>
    <col min="5070" max="5070" width="8" style="4" customWidth="1"/>
    <col min="5071" max="5071" width="42.5703125" style="4" bestFit="1" customWidth="1"/>
    <col min="5072" max="5072" width="3.28515625" style="4" customWidth="1"/>
    <col min="5073" max="5073" width="8" style="4" customWidth="1"/>
    <col min="5074" max="5074" width="42.5703125" style="4" bestFit="1" customWidth="1"/>
    <col min="5075" max="5075" width="3.28515625" style="4" customWidth="1"/>
    <col min="5076" max="5076" width="8" style="4" customWidth="1"/>
    <col min="5077" max="5077" width="42.5703125" style="4" bestFit="1" customWidth="1"/>
    <col min="5078" max="5078" width="3.28515625" style="4" customWidth="1"/>
    <col min="5079" max="5079" width="8" style="4" customWidth="1"/>
    <col min="5080" max="5080" width="42.5703125" style="4" bestFit="1" customWidth="1"/>
    <col min="5081" max="5081" width="3.28515625" style="4" customWidth="1"/>
    <col min="5082" max="5082" width="8" style="4" customWidth="1"/>
    <col min="5083" max="5083" width="42.5703125" style="4" bestFit="1" customWidth="1"/>
    <col min="5084" max="5084" width="3.28515625" style="4" customWidth="1"/>
    <col min="5085" max="5085" width="8" style="4" customWidth="1"/>
    <col min="5086" max="5086" width="42.5703125" style="4" bestFit="1" customWidth="1"/>
    <col min="5087" max="5087" width="3.28515625" style="4" customWidth="1"/>
    <col min="5088" max="5088" width="8" style="4" customWidth="1"/>
    <col min="5089" max="5089" width="42.5703125" style="4" bestFit="1" customWidth="1"/>
    <col min="5090" max="5090" width="3.28515625" style="4" customWidth="1"/>
    <col min="5091" max="5091" width="8" style="4" customWidth="1"/>
    <col min="5092" max="5092" width="42.5703125" style="4" bestFit="1" customWidth="1"/>
    <col min="5093" max="5093" width="3.28515625" style="4" customWidth="1"/>
    <col min="5094" max="5094" width="8" style="4" customWidth="1"/>
    <col min="5095" max="5095" width="42.5703125" style="4" bestFit="1" customWidth="1"/>
    <col min="5096" max="5096" width="3.28515625" style="4" customWidth="1"/>
    <col min="5097" max="5097" width="8" style="4" customWidth="1"/>
    <col min="5098" max="5098" width="42.5703125" style="4" bestFit="1" customWidth="1"/>
    <col min="5099" max="5099" width="3.28515625" style="4" customWidth="1"/>
    <col min="5100" max="5100" width="8" style="4" customWidth="1"/>
    <col min="5101" max="5101" width="42.5703125" style="4" bestFit="1" customWidth="1"/>
    <col min="5102" max="5102" width="3.28515625" style="4" customWidth="1"/>
    <col min="5103" max="5103" width="8" style="4" customWidth="1"/>
    <col min="5104" max="5104" width="42.5703125" style="4" bestFit="1" customWidth="1"/>
    <col min="5105" max="5105" width="3.28515625" style="4" customWidth="1"/>
    <col min="5106" max="5106" width="8" style="4" customWidth="1"/>
    <col min="5107" max="5107" width="42.5703125" style="4" bestFit="1" customWidth="1"/>
    <col min="5108" max="5108" width="3.28515625" style="4" customWidth="1"/>
    <col min="5109" max="5109" width="8" style="4" customWidth="1"/>
    <col min="5110" max="5110" width="42.5703125" style="4" bestFit="1" customWidth="1"/>
    <col min="5111" max="5111" width="3.28515625" style="4" customWidth="1"/>
    <col min="5112" max="5112" width="8" style="4" customWidth="1"/>
    <col min="5113" max="5113" width="42.5703125" style="4" bestFit="1" customWidth="1"/>
    <col min="5114" max="5114" width="3.28515625" style="4" customWidth="1"/>
    <col min="5115" max="5115" width="8" style="4" customWidth="1"/>
    <col min="5116" max="5116" width="42.5703125" style="4" bestFit="1" customWidth="1"/>
    <col min="5117" max="5117" width="3.28515625" style="4" customWidth="1"/>
    <col min="5118" max="5118" width="8" style="4" customWidth="1"/>
    <col min="5119" max="5119" width="42.5703125" style="4" bestFit="1" customWidth="1"/>
    <col min="5120" max="5120" width="3.28515625" style="4" customWidth="1"/>
    <col min="5121" max="5121" width="8" style="4" customWidth="1"/>
    <col min="5122" max="5122" width="42.5703125" style="4" bestFit="1" customWidth="1"/>
    <col min="5123" max="5123" width="3.28515625" style="4" customWidth="1"/>
    <col min="5124" max="5124" width="8" style="4" customWidth="1"/>
    <col min="5125" max="5125" width="42.5703125" style="4" bestFit="1" customWidth="1"/>
    <col min="5126" max="5126" width="3.28515625" style="4" customWidth="1"/>
    <col min="5127" max="5127" width="8" style="4" customWidth="1"/>
    <col min="5128" max="5128" width="42.5703125" style="4" bestFit="1" customWidth="1"/>
    <col min="5129" max="5129" width="3.28515625" style="4" customWidth="1"/>
    <col min="5130" max="5130" width="8" style="4" customWidth="1"/>
    <col min="5131" max="5131" width="42.5703125" style="4" bestFit="1" customWidth="1"/>
    <col min="5132" max="5132" width="3.28515625" style="4" customWidth="1"/>
    <col min="5133" max="5133" width="8" style="4" customWidth="1"/>
    <col min="5134" max="5134" width="42.5703125" style="4" bestFit="1" customWidth="1"/>
    <col min="5135" max="5135" width="3.28515625" style="4" customWidth="1"/>
    <col min="5136" max="5136" width="8" style="4" customWidth="1"/>
    <col min="5137" max="5137" width="42.5703125" style="4" bestFit="1" customWidth="1"/>
    <col min="5138" max="5138" width="3.28515625" style="4" customWidth="1"/>
    <col min="5139" max="5139" width="8" style="4" customWidth="1"/>
    <col min="5140" max="5140" width="42.5703125" style="4" bestFit="1" customWidth="1"/>
    <col min="5141" max="5141" width="3.28515625" style="4" customWidth="1"/>
    <col min="5142" max="5142" width="8" style="4" customWidth="1"/>
    <col min="5143" max="5143" width="42.5703125" style="4" bestFit="1" customWidth="1"/>
    <col min="5144" max="5144" width="3.28515625" style="4" customWidth="1"/>
    <col min="5145" max="5145" width="8" style="4" customWidth="1"/>
    <col min="5146" max="5146" width="42.5703125" style="4" bestFit="1" customWidth="1"/>
    <col min="5147" max="5147" width="3.28515625" style="4" customWidth="1"/>
    <col min="5148" max="5148" width="8" style="4" customWidth="1"/>
    <col min="5149" max="5149" width="42.5703125" style="4" bestFit="1" customWidth="1"/>
    <col min="5150" max="5150" width="3.28515625" style="4" customWidth="1"/>
    <col min="5151" max="5151" width="8" style="4" customWidth="1"/>
    <col min="5152" max="5152" width="42.5703125" style="4" bestFit="1" customWidth="1"/>
    <col min="5153" max="5153" width="3.28515625" style="4" customWidth="1"/>
    <col min="5154" max="5154" width="8" style="4" customWidth="1"/>
    <col min="5155" max="5155" width="42.5703125" style="4" bestFit="1" customWidth="1"/>
    <col min="5156" max="5156" width="3.28515625" style="4" customWidth="1"/>
    <col min="5157" max="5157" width="8" style="4" customWidth="1"/>
    <col min="5158" max="5158" width="42.5703125" style="4" bestFit="1" customWidth="1"/>
    <col min="5159" max="5159" width="3.28515625" style="4" customWidth="1"/>
    <col min="5160" max="5160" width="8" style="4" customWidth="1"/>
    <col min="5161" max="5161" width="42.5703125" style="4" bestFit="1" customWidth="1"/>
    <col min="5162" max="5162" width="3.28515625" style="4" customWidth="1"/>
    <col min="5163" max="5163" width="8" style="4" customWidth="1"/>
    <col min="5164" max="5164" width="42.5703125" style="4" bestFit="1" customWidth="1"/>
    <col min="5165" max="5165" width="3.28515625" style="4" customWidth="1"/>
    <col min="5166" max="5166" width="8" style="4" customWidth="1"/>
    <col min="5167" max="5167" width="42.5703125" style="4" bestFit="1" customWidth="1"/>
    <col min="5168" max="5168" width="3.28515625" style="4" customWidth="1"/>
    <col min="5169" max="5169" width="8" style="4" customWidth="1"/>
    <col min="5170" max="5170" width="42.5703125" style="4" bestFit="1" customWidth="1"/>
    <col min="5171" max="5171" width="3.28515625" style="4" customWidth="1"/>
    <col min="5172" max="5172" width="8" style="4" customWidth="1"/>
    <col min="5173" max="5173" width="42.5703125" style="4" bestFit="1" customWidth="1"/>
    <col min="5174" max="5174" width="3.28515625" style="4" customWidth="1"/>
    <col min="5175" max="5175" width="8" style="4" customWidth="1"/>
    <col min="5176" max="5176" width="42.5703125" style="4" bestFit="1" customWidth="1"/>
    <col min="5177" max="5177" width="3.28515625" style="4" customWidth="1"/>
    <col min="5178" max="5178" width="8" style="4" customWidth="1"/>
    <col min="5179" max="5179" width="42.5703125" style="4" bestFit="1" customWidth="1"/>
    <col min="5180" max="5180" width="3.28515625" style="4" customWidth="1"/>
    <col min="5181" max="5181" width="8" style="4" customWidth="1"/>
    <col min="5182" max="5182" width="42.5703125" style="4" bestFit="1" customWidth="1"/>
    <col min="5183" max="5183" width="3.28515625" style="4" customWidth="1"/>
    <col min="5184" max="5184" width="8" style="4" customWidth="1"/>
    <col min="5185" max="5185" width="42.5703125" style="4" bestFit="1" customWidth="1"/>
    <col min="5186" max="5186" width="3.28515625" style="4" customWidth="1"/>
    <col min="5187" max="5187" width="8" style="4" customWidth="1"/>
    <col min="5188" max="5188" width="42.5703125" style="4" bestFit="1" customWidth="1"/>
    <col min="5189" max="5189" width="3.28515625" style="4" customWidth="1"/>
    <col min="5190" max="5190" width="8" style="4" customWidth="1"/>
    <col min="5191" max="5191" width="42.5703125" style="4" bestFit="1" customWidth="1"/>
    <col min="5192" max="5192" width="3.28515625" style="4" customWidth="1"/>
    <col min="5193" max="5193" width="8" style="4" customWidth="1"/>
    <col min="5194" max="5194" width="42.5703125" style="4" bestFit="1" customWidth="1"/>
    <col min="5195" max="5195" width="3.28515625" style="4" customWidth="1"/>
    <col min="5196" max="5196" width="8" style="4" customWidth="1"/>
    <col min="5197" max="5197" width="42.5703125" style="4" bestFit="1" customWidth="1"/>
    <col min="5198" max="5198" width="3.28515625" style="4" customWidth="1"/>
    <col min="5199" max="5199" width="8" style="4" customWidth="1"/>
    <col min="5200" max="5200" width="42.5703125" style="4" bestFit="1" customWidth="1"/>
    <col min="5201" max="5201" width="3.28515625" style="4" customWidth="1"/>
    <col min="5202" max="5202" width="8" style="4" customWidth="1"/>
    <col min="5203" max="5203" width="42.5703125" style="4" bestFit="1" customWidth="1"/>
    <col min="5204" max="5204" width="3.28515625" style="4" customWidth="1"/>
    <col min="5205" max="5205" width="8" style="4" customWidth="1"/>
    <col min="5206" max="5206" width="42.5703125" style="4" bestFit="1" customWidth="1"/>
    <col min="5207" max="5207" width="3.28515625" style="4" customWidth="1"/>
    <col min="5208" max="5208" width="8" style="4" customWidth="1"/>
    <col min="5209" max="5209" width="42.5703125" style="4" bestFit="1" customWidth="1"/>
    <col min="5210" max="5210" width="3.28515625" style="4" customWidth="1"/>
    <col min="5211" max="5211" width="8" style="4" customWidth="1"/>
    <col min="5212" max="5212" width="42.5703125" style="4" bestFit="1" customWidth="1"/>
    <col min="5213" max="5213" width="3.28515625" style="4" customWidth="1"/>
    <col min="5214" max="5214" width="8" style="4" customWidth="1"/>
    <col min="5215" max="5215" width="42.5703125" style="4" bestFit="1" customWidth="1"/>
    <col min="5216" max="5216" width="3.28515625" style="4" customWidth="1"/>
    <col min="5217" max="5217" width="8" style="4" customWidth="1"/>
    <col min="5218" max="5218" width="42.5703125" style="4" bestFit="1" customWidth="1"/>
    <col min="5219" max="5219" width="3.28515625" style="4" customWidth="1"/>
    <col min="5220" max="5220" width="8" style="4" customWidth="1"/>
    <col min="5221" max="5221" width="42.5703125" style="4" bestFit="1" customWidth="1"/>
    <col min="5222" max="5222" width="3.28515625" style="4" customWidth="1"/>
    <col min="5223" max="5223" width="8" style="4" customWidth="1"/>
    <col min="5224" max="5224" width="42.5703125" style="4" bestFit="1" customWidth="1"/>
    <col min="5225" max="5225" width="3.28515625" style="4" customWidth="1"/>
    <col min="5226" max="5226" width="8" style="4" customWidth="1"/>
    <col min="5227" max="5227" width="42.5703125" style="4" bestFit="1" customWidth="1"/>
    <col min="5228" max="5228" width="3.28515625" style="4" customWidth="1"/>
    <col min="5229" max="5229" width="8" style="4" customWidth="1"/>
    <col min="5230" max="5230" width="42.5703125" style="4" bestFit="1" customWidth="1"/>
    <col min="5231" max="5231" width="3.28515625" style="4" customWidth="1"/>
    <col min="5232" max="5232" width="8" style="4" customWidth="1"/>
    <col min="5233" max="5233" width="42.5703125" style="4" bestFit="1" customWidth="1"/>
    <col min="5234" max="5234" width="3.28515625" style="4" customWidth="1"/>
    <col min="5235" max="5235" width="8" style="4" customWidth="1"/>
    <col min="5236" max="5236" width="42.5703125" style="4" bestFit="1" customWidth="1"/>
    <col min="5237" max="5237" width="3.28515625" style="4" customWidth="1"/>
    <col min="5238" max="5238" width="8" style="4" customWidth="1"/>
    <col min="5239" max="5239" width="42.5703125" style="4" bestFit="1" customWidth="1"/>
    <col min="5240" max="5240" width="3.28515625" style="4" customWidth="1"/>
    <col min="5241" max="5241" width="8" style="4" customWidth="1"/>
    <col min="5242" max="5242" width="42.5703125" style="4" bestFit="1" customWidth="1"/>
    <col min="5243" max="5243" width="3.28515625" style="4" customWidth="1"/>
    <col min="5244" max="5244" width="8" style="4" customWidth="1"/>
    <col min="5245" max="5245" width="42.5703125" style="4" bestFit="1" customWidth="1"/>
    <col min="5246" max="5246" width="3.28515625" style="4" customWidth="1"/>
    <col min="5247" max="5247" width="8" style="4" customWidth="1"/>
    <col min="5248" max="5248" width="42.5703125" style="4" bestFit="1" customWidth="1"/>
    <col min="5249" max="5249" width="3.28515625" style="4" customWidth="1"/>
    <col min="5250" max="5250" width="8" style="4" customWidth="1"/>
    <col min="5251" max="5251" width="42.5703125" style="4" bestFit="1" customWidth="1"/>
    <col min="5252" max="5252" width="3.28515625" style="4" customWidth="1"/>
    <col min="5253" max="5253" width="8" style="4" customWidth="1"/>
    <col min="5254" max="5254" width="42.5703125" style="4" bestFit="1" customWidth="1"/>
    <col min="5255" max="5255" width="3.28515625" style="4" customWidth="1"/>
    <col min="5256" max="5256" width="8" style="4" customWidth="1"/>
    <col min="5257" max="5257" width="42.5703125" style="4" bestFit="1" customWidth="1"/>
    <col min="5258" max="5258" width="3.28515625" style="4" customWidth="1"/>
    <col min="5259" max="5259" width="8" style="4" customWidth="1"/>
    <col min="5260" max="5260" width="42.5703125" style="4" bestFit="1" customWidth="1"/>
    <col min="5261" max="5261" width="3.28515625" style="4" customWidth="1"/>
    <col min="5262" max="5262" width="8" style="4" customWidth="1"/>
    <col min="5263" max="5263" width="42.5703125" style="4" bestFit="1" customWidth="1"/>
    <col min="5264" max="5264" width="3.28515625" style="4" customWidth="1"/>
    <col min="5265" max="5265" width="8" style="4" customWidth="1"/>
    <col min="5266" max="5266" width="42.5703125" style="4" bestFit="1" customWidth="1"/>
    <col min="5267" max="5267" width="3.28515625" style="4" customWidth="1"/>
    <col min="5268" max="5268" width="8" style="4" customWidth="1"/>
    <col min="5269" max="5269" width="42.5703125" style="4" bestFit="1" customWidth="1"/>
    <col min="5270" max="5270" width="3.28515625" style="4" customWidth="1"/>
    <col min="5271" max="5271" width="8" style="4" customWidth="1"/>
    <col min="5272" max="5272" width="42.5703125" style="4" bestFit="1" customWidth="1"/>
    <col min="5273" max="5273" width="3.28515625" style="4" customWidth="1"/>
    <col min="5274" max="5274" width="8" style="4" customWidth="1"/>
    <col min="5275" max="5275" width="42.5703125" style="4" bestFit="1" customWidth="1"/>
    <col min="5276" max="5276" width="3.28515625" style="4" customWidth="1"/>
    <col min="5277" max="5277" width="8" style="4" customWidth="1"/>
    <col min="5278" max="5278" width="42.5703125" style="4" bestFit="1" customWidth="1"/>
    <col min="5279" max="5279" width="3.28515625" style="4" customWidth="1"/>
    <col min="5280" max="5280" width="8" style="4" customWidth="1"/>
    <col min="5281" max="5281" width="42.5703125" style="4" bestFit="1" customWidth="1"/>
    <col min="5282" max="5282" width="3.28515625" style="4" customWidth="1"/>
    <col min="5283" max="5283" width="8" style="4" customWidth="1"/>
    <col min="5284" max="5284" width="42.5703125" style="4" bestFit="1" customWidth="1"/>
    <col min="5285" max="5285" width="3.28515625" style="4" customWidth="1"/>
    <col min="5286" max="5286" width="8" style="4" customWidth="1"/>
    <col min="5287" max="5287" width="42.5703125" style="4" bestFit="1" customWidth="1"/>
    <col min="5288" max="5288" width="3.28515625" style="4" customWidth="1"/>
    <col min="5289" max="5289" width="8" style="4" customWidth="1"/>
    <col min="5290" max="5290" width="42.5703125" style="4" bestFit="1" customWidth="1"/>
    <col min="5291" max="5291" width="3.28515625" style="4" customWidth="1"/>
    <col min="5292" max="5292" width="8" style="4" customWidth="1"/>
    <col min="5293" max="5293" width="42.5703125" style="4" bestFit="1" customWidth="1"/>
    <col min="5294" max="5294" width="3.28515625" style="4" customWidth="1"/>
    <col min="5295" max="5295" width="8" style="4" customWidth="1"/>
    <col min="5296" max="5296" width="42.5703125" style="4" bestFit="1" customWidth="1"/>
    <col min="5297" max="5297" width="3.28515625" style="4" customWidth="1"/>
    <col min="5298" max="5298" width="8" style="4" customWidth="1"/>
    <col min="5299" max="5299" width="42.5703125" style="4" bestFit="1" customWidth="1"/>
    <col min="5300" max="5300" width="3.28515625" style="4" customWidth="1"/>
    <col min="5301" max="5301" width="8" style="4" customWidth="1"/>
    <col min="5302" max="5302" width="42.5703125" style="4" bestFit="1" customWidth="1"/>
    <col min="5303" max="5303" width="3.28515625" style="4" customWidth="1"/>
    <col min="5304" max="5304" width="8" style="4" customWidth="1"/>
    <col min="5305" max="5305" width="42.5703125" style="4" bestFit="1" customWidth="1"/>
    <col min="5306" max="5306" width="3.28515625" style="4" customWidth="1"/>
    <col min="5307" max="5307" width="8" style="4" customWidth="1"/>
    <col min="5308" max="5308" width="42.5703125" style="4" bestFit="1" customWidth="1"/>
    <col min="5309" max="5309" width="3.28515625" style="4" customWidth="1"/>
    <col min="5310" max="5310" width="8" style="4" customWidth="1"/>
    <col min="5311" max="5311" width="42.5703125" style="4" bestFit="1" customWidth="1"/>
    <col min="5312" max="5312" width="3.28515625" style="4" customWidth="1"/>
    <col min="5313" max="5313" width="8" style="4" customWidth="1"/>
    <col min="5314" max="5314" width="42.5703125" style="4" bestFit="1" customWidth="1"/>
    <col min="5315" max="5315" width="3.28515625" style="4" customWidth="1"/>
    <col min="5316" max="5316" width="8" style="4" customWidth="1"/>
    <col min="5317" max="5317" width="42.5703125" style="4" bestFit="1" customWidth="1"/>
    <col min="5318" max="5318" width="3.28515625" style="4" customWidth="1"/>
    <col min="5319" max="5319" width="8" style="4" customWidth="1"/>
    <col min="5320" max="5320" width="42.5703125" style="4" bestFit="1" customWidth="1"/>
    <col min="5321" max="5321" width="3.28515625" style="4" customWidth="1"/>
    <col min="5322" max="5322" width="8" style="4" customWidth="1"/>
    <col min="5323" max="5323" width="42.5703125" style="4" bestFit="1" customWidth="1"/>
    <col min="5324" max="5324" width="3.28515625" style="4" customWidth="1"/>
    <col min="5325" max="5325" width="8" style="4" customWidth="1"/>
    <col min="5326" max="5326" width="42.5703125" style="4" bestFit="1" customWidth="1"/>
    <col min="5327" max="5327" width="3.28515625" style="4" customWidth="1"/>
    <col min="5328" max="5328" width="8" style="4" customWidth="1"/>
    <col min="5329" max="5329" width="42.5703125" style="4" bestFit="1" customWidth="1"/>
    <col min="5330" max="5330" width="3.28515625" style="4" customWidth="1"/>
    <col min="5331" max="5331" width="8" style="4" customWidth="1"/>
    <col min="5332" max="5332" width="42.5703125" style="4" bestFit="1" customWidth="1"/>
    <col min="5333" max="5333" width="3.28515625" style="4" customWidth="1"/>
    <col min="5334" max="5334" width="8" style="4" customWidth="1"/>
    <col min="5335" max="5335" width="42.5703125" style="4" bestFit="1" customWidth="1"/>
    <col min="5336" max="5336" width="3.28515625" style="4" customWidth="1"/>
    <col min="5337" max="5337" width="8" style="4" customWidth="1"/>
    <col min="5338" max="5338" width="42.5703125" style="4" bestFit="1" customWidth="1"/>
    <col min="5339" max="5339" width="3.28515625" style="4" customWidth="1"/>
    <col min="5340" max="5340" width="8" style="4" customWidth="1"/>
    <col min="5341" max="5341" width="42.5703125" style="4" bestFit="1" customWidth="1"/>
    <col min="5342" max="5342" width="3.28515625" style="4" customWidth="1"/>
    <col min="5343" max="5343" width="8" style="4" customWidth="1"/>
    <col min="5344" max="5344" width="42.5703125" style="4" bestFit="1" customWidth="1"/>
    <col min="5345" max="5345" width="3.28515625" style="4" customWidth="1"/>
    <col min="5346" max="5346" width="8" style="4" customWidth="1"/>
    <col min="5347" max="5347" width="42.5703125" style="4" bestFit="1" customWidth="1"/>
    <col min="5348" max="5348" width="3.28515625" style="4" customWidth="1"/>
    <col min="5349" max="5349" width="8" style="4" customWidth="1"/>
    <col min="5350" max="5350" width="42.5703125" style="4" bestFit="1" customWidth="1"/>
    <col min="5351" max="5351" width="3.28515625" style="4" customWidth="1"/>
    <col min="5352" max="5352" width="8" style="4" customWidth="1"/>
    <col min="5353" max="5353" width="42.5703125" style="4" bestFit="1" customWidth="1"/>
    <col min="5354" max="5354" width="3.28515625" style="4" customWidth="1"/>
    <col min="5355" max="5355" width="8" style="4" customWidth="1"/>
    <col min="5356" max="5356" width="42.5703125" style="4" bestFit="1" customWidth="1"/>
    <col min="5357" max="5357" width="3.28515625" style="4" customWidth="1"/>
    <col min="5358" max="5358" width="8" style="4" customWidth="1"/>
    <col min="5359" max="5359" width="42.5703125" style="4" bestFit="1" customWidth="1"/>
    <col min="5360" max="5360" width="3.28515625" style="4" customWidth="1"/>
    <col min="5361" max="5361" width="8" style="4" customWidth="1"/>
    <col min="5362" max="5362" width="42.5703125" style="4" bestFit="1" customWidth="1"/>
    <col min="5363" max="5363" width="3.28515625" style="4" customWidth="1"/>
    <col min="5364" max="5364" width="8" style="4" customWidth="1"/>
    <col min="5365" max="5365" width="42.5703125" style="4" bestFit="1" customWidth="1"/>
    <col min="5366" max="5366" width="3.28515625" style="4" customWidth="1"/>
    <col min="5367" max="5367" width="8" style="4" customWidth="1"/>
    <col min="5368" max="5368" width="42.5703125" style="4" bestFit="1" customWidth="1"/>
    <col min="5369" max="5369" width="3.28515625" style="4" customWidth="1"/>
    <col min="5370" max="5370" width="8" style="4" customWidth="1"/>
    <col min="5371" max="5371" width="42.5703125" style="4" bestFit="1" customWidth="1"/>
    <col min="5372" max="5372" width="3.28515625" style="4" customWidth="1"/>
    <col min="5373" max="5373" width="8" style="4" customWidth="1"/>
    <col min="5374" max="5374" width="42.5703125" style="4" bestFit="1" customWidth="1"/>
    <col min="5375" max="5375" width="3.28515625" style="4" customWidth="1"/>
    <col min="5376" max="5376" width="8" style="4" customWidth="1"/>
    <col min="5377" max="5377" width="42.5703125" style="4" bestFit="1" customWidth="1"/>
    <col min="5378" max="5378" width="3.28515625" style="4" customWidth="1"/>
    <col min="5379" max="5379" width="8" style="4" customWidth="1"/>
    <col min="5380" max="5380" width="42.5703125" style="4" bestFit="1" customWidth="1"/>
    <col min="5381" max="5381" width="3.28515625" style="4" customWidth="1"/>
    <col min="5382" max="5382" width="8" style="4" customWidth="1"/>
    <col min="5383" max="5383" width="42.5703125" style="4" bestFit="1" customWidth="1"/>
    <col min="5384" max="5384" width="3.28515625" style="4" customWidth="1"/>
    <col min="5385" max="5385" width="8" style="4" customWidth="1"/>
    <col min="5386" max="5386" width="42.5703125" style="4" bestFit="1" customWidth="1"/>
    <col min="5387" max="5387" width="3.28515625" style="4" customWidth="1"/>
    <col min="5388" max="5388" width="8" style="4" customWidth="1"/>
    <col min="5389" max="5389" width="42.5703125" style="4" bestFit="1" customWidth="1"/>
    <col min="5390" max="5390" width="3.28515625" style="4" customWidth="1"/>
    <col min="5391" max="5391" width="8" style="4" customWidth="1"/>
    <col min="5392" max="5392" width="42.5703125" style="4" bestFit="1" customWidth="1"/>
    <col min="5393" max="5393" width="3.28515625" style="4" customWidth="1"/>
    <col min="5394" max="5394" width="8" style="4" customWidth="1"/>
    <col min="5395" max="5395" width="42.5703125" style="4" bestFit="1" customWidth="1"/>
    <col min="5396" max="5396" width="3.28515625" style="4" customWidth="1"/>
    <col min="5397" max="5397" width="8" style="4" customWidth="1"/>
    <col min="5398" max="5398" width="42.5703125" style="4" bestFit="1" customWidth="1"/>
    <col min="5399" max="5399" width="3.28515625" style="4" customWidth="1"/>
    <col min="5400" max="5400" width="8" style="4" customWidth="1"/>
    <col min="5401" max="5401" width="42.5703125" style="4" bestFit="1" customWidth="1"/>
    <col min="5402" max="5402" width="3.28515625" style="4" customWidth="1"/>
    <col min="5403" max="5403" width="8" style="4" customWidth="1"/>
    <col min="5404" max="5404" width="42.5703125" style="4" bestFit="1" customWidth="1"/>
    <col min="5405" max="5405" width="3.28515625" style="4" customWidth="1"/>
    <col min="5406" max="5406" width="8" style="4" customWidth="1"/>
    <col min="5407" max="5407" width="42.5703125" style="4" bestFit="1" customWidth="1"/>
    <col min="5408" max="5408" width="3.28515625" style="4" customWidth="1"/>
    <col min="5409" max="5409" width="8" style="4" customWidth="1"/>
    <col min="5410" max="5410" width="42.5703125" style="4" bestFit="1" customWidth="1"/>
    <col min="5411" max="5411" width="3.28515625" style="4" customWidth="1"/>
    <col min="5412" max="5412" width="8" style="4" customWidth="1"/>
    <col min="5413" max="5413" width="42.5703125" style="4" bestFit="1" customWidth="1"/>
    <col min="5414" max="5414" width="3.28515625" style="4" customWidth="1"/>
    <col min="5415" max="5415" width="8" style="4" customWidth="1"/>
    <col min="5416" max="5416" width="42.5703125" style="4" bestFit="1" customWidth="1"/>
    <col min="5417" max="5417" width="3.28515625" style="4" customWidth="1"/>
    <col min="5418" max="5418" width="8" style="4" customWidth="1"/>
    <col min="5419" max="5419" width="42.5703125" style="4" bestFit="1" customWidth="1"/>
    <col min="5420" max="5420" width="3.28515625" style="4" customWidth="1"/>
    <col min="5421" max="5421" width="8" style="4" customWidth="1"/>
    <col min="5422" max="5422" width="42.5703125" style="4" bestFit="1" customWidth="1"/>
    <col min="5423" max="5423" width="3.28515625" style="4" customWidth="1"/>
    <col min="5424" max="5424" width="8" style="4" customWidth="1"/>
    <col min="5425" max="5425" width="42.5703125" style="4" bestFit="1" customWidth="1"/>
    <col min="5426" max="5426" width="3.28515625" style="4" customWidth="1"/>
    <col min="5427" max="5427" width="8" style="4" customWidth="1"/>
    <col min="5428" max="5428" width="42.5703125" style="4" bestFit="1" customWidth="1"/>
    <col min="5429" max="5429" width="3.28515625" style="4" customWidth="1"/>
    <col min="5430" max="5430" width="8" style="4" customWidth="1"/>
    <col min="5431" max="5431" width="42.5703125" style="4" bestFit="1" customWidth="1"/>
    <col min="5432" max="5432" width="3.28515625" style="4" customWidth="1"/>
    <col min="5433" max="5433" width="8" style="4" customWidth="1"/>
    <col min="5434" max="5434" width="42.5703125" style="4" bestFit="1" customWidth="1"/>
    <col min="5435" max="5435" width="3.28515625" style="4" customWidth="1"/>
    <col min="5436" max="5436" width="8" style="4" customWidth="1"/>
    <col min="5437" max="5437" width="42.5703125" style="4" bestFit="1" customWidth="1"/>
    <col min="5438" max="5438" width="3.28515625" style="4" customWidth="1"/>
    <col min="5439" max="5439" width="8" style="4" customWidth="1"/>
    <col min="5440" max="5440" width="42.5703125" style="4" bestFit="1" customWidth="1"/>
    <col min="5441" max="5441" width="3.28515625" style="4" customWidth="1"/>
    <col min="5442" max="5442" width="8" style="4" customWidth="1"/>
    <col min="5443" max="5443" width="42.5703125" style="4" bestFit="1" customWidth="1"/>
    <col min="5444" max="5444" width="3.28515625" style="4" customWidth="1"/>
    <col min="5445" max="5445" width="8" style="4" customWidth="1"/>
    <col min="5446" max="5446" width="42.5703125" style="4" bestFit="1" customWidth="1"/>
    <col min="5447" max="5447" width="3.28515625" style="4" customWidth="1"/>
    <col min="5448" max="5448" width="8" style="4" customWidth="1"/>
    <col min="5449" max="5449" width="42.5703125" style="4" bestFit="1" customWidth="1"/>
    <col min="5450" max="5450" width="3.28515625" style="4" customWidth="1"/>
    <col min="5451" max="5451" width="8" style="4" customWidth="1"/>
    <col min="5452" max="5452" width="42.5703125" style="4" bestFit="1" customWidth="1"/>
    <col min="5453" max="5453" width="3.28515625" style="4" customWidth="1"/>
    <col min="5454" max="5454" width="8" style="4" customWidth="1"/>
    <col min="5455" max="5455" width="42.5703125" style="4" bestFit="1" customWidth="1"/>
    <col min="5456" max="5456" width="3.28515625" style="4" customWidth="1"/>
    <col min="5457" max="5457" width="8" style="4" customWidth="1"/>
    <col min="5458" max="5458" width="42.5703125" style="4" bestFit="1" customWidth="1"/>
    <col min="5459" max="5459" width="3.28515625" style="4" customWidth="1"/>
    <col min="5460" max="5460" width="8" style="4" customWidth="1"/>
    <col min="5461" max="5461" width="42.5703125" style="4" bestFit="1" customWidth="1"/>
    <col min="5462" max="5462" width="3.28515625" style="4" customWidth="1"/>
    <col min="5463" max="5463" width="8" style="4" customWidth="1"/>
    <col min="5464" max="5464" width="42.5703125" style="4" bestFit="1" customWidth="1"/>
    <col min="5465" max="5465" width="3.28515625" style="4" customWidth="1"/>
    <col min="5466" max="5466" width="8" style="4" customWidth="1"/>
    <col min="5467" max="5467" width="42.5703125" style="4" bestFit="1" customWidth="1"/>
    <col min="5468" max="5468" width="3.28515625" style="4" customWidth="1"/>
    <col min="5469" max="5469" width="8" style="4" customWidth="1"/>
    <col min="5470" max="5470" width="42.5703125" style="4" bestFit="1" customWidth="1"/>
    <col min="5471" max="5471" width="3.28515625" style="4" customWidth="1"/>
    <col min="5472" max="5472" width="8" style="4" customWidth="1"/>
    <col min="5473" max="5473" width="42.5703125" style="4" bestFit="1" customWidth="1"/>
    <col min="5474" max="5474" width="3.28515625" style="4" customWidth="1"/>
    <col min="5475" max="5475" width="8" style="4" customWidth="1"/>
    <col min="5476" max="5476" width="42.5703125" style="4" bestFit="1" customWidth="1"/>
    <col min="5477" max="5477" width="3.28515625" style="4" customWidth="1"/>
    <col min="5478" max="5478" width="8" style="4" customWidth="1"/>
    <col min="5479" max="5479" width="42.5703125" style="4" bestFit="1" customWidth="1"/>
    <col min="5480" max="5480" width="3.28515625" style="4" customWidth="1"/>
    <col min="5481" max="5481" width="8" style="4" customWidth="1"/>
    <col min="5482" max="5482" width="42.5703125" style="4" bestFit="1" customWidth="1"/>
    <col min="5483" max="5483" width="3.28515625" style="4" customWidth="1"/>
    <col min="5484" max="5484" width="8" style="4" customWidth="1"/>
    <col min="5485" max="5485" width="42.5703125" style="4" bestFit="1" customWidth="1"/>
    <col min="5486" max="5486" width="3.28515625" style="4" customWidth="1"/>
    <col min="5487" max="5487" width="8" style="4" customWidth="1"/>
    <col min="5488" max="5488" width="42.5703125" style="4" bestFit="1" customWidth="1"/>
    <col min="5489" max="5489" width="3.28515625" style="4" customWidth="1"/>
    <col min="5490" max="5490" width="8" style="4" customWidth="1"/>
    <col min="5491" max="5491" width="42.5703125" style="4" bestFit="1" customWidth="1"/>
    <col min="5492" max="5492" width="3.28515625" style="4" customWidth="1"/>
    <col min="5493" max="5493" width="8" style="4" customWidth="1"/>
    <col min="5494" max="5494" width="42.5703125" style="4" bestFit="1" customWidth="1"/>
    <col min="5495" max="5495" width="3.28515625" style="4" customWidth="1"/>
    <col min="5496" max="5496" width="8" style="4" customWidth="1"/>
    <col min="5497" max="5497" width="42.5703125" style="4" bestFit="1" customWidth="1"/>
    <col min="5498" max="5498" width="3.28515625" style="4" customWidth="1"/>
    <col min="5499" max="5499" width="8" style="4" customWidth="1"/>
    <col min="5500" max="5500" width="42.5703125" style="4" bestFit="1" customWidth="1"/>
    <col min="5501" max="5501" width="3.28515625" style="4" customWidth="1"/>
    <col min="5502" max="5502" width="8" style="4" customWidth="1"/>
    <col min="5503" max="5503" width="42.5703125" style="4" bestFit="1" customWidth="1"/>
    <col min="5504" max="5504" width="3.28515625" style="4" customWidth="1"/>
    <col min="5505" max="5505" width="8" style="4" customWidth="1"/>
    <col min="5506" max="5506" width="42.5703125" style="4" bestFit="1" customWidth="1"/>
    <col min="5507" max="5507" width="3.28515625" style="4" customWidth="1"/>
    <col min="5508" max="5508" width="8" style="4" customWidth="1"/>
    <col min="5509" max="5509" width="42.5703125" style="4" bestFit="1" customWidth="1"/>
    <col min="5510" max="5510" width="3.28515625" style="4" customWidth="1"/>
    <col min="5511" max="5511" width="8" style="4" customWidth="1"/>
    <col min="5512" max="5512" width="42.5703125" style="4" bestFit="1" customWidth="1"/>
    <col min="5513" max="5513" width="3.28515625" style="4" customWidth="1"/>
    <col min="5514" max="5514" width="8" style="4" customWidth="1"/>
    <col min="5515" max="5515" width="42.5703125" style="4" bestFit="1" customWidth="1"/>
    <col min="5516" max="5516" width="3.28515625" style="4" customWidth="1"/>
    <col min="5517" max="5517" width="8" style="4" customWidth="1"/>
    <col min="5518" max="5518" width="42.5703125" style="4" bestFit="1" customWidth="1"/>
    <col min="5519" max="5519" width="3.28515625" style="4" customWidth="1"/>
    <col min="5520" max="5520" width="8" style="4" customWidth="1"/>
    <col min="5521" max="5521" width="42.5703125" style="4" bestFit="1" customWidth="1"/>
    <col min="5522" max="5522" width="3.28515625" style="4" customWidth="1"/>
    <col min="5523" max="5523" width="8" style="4" customWidth="1"/>
    <col min="5524" max="5524" width="42.5703125" style="4" bestFit="1" customWidth="1"/>
    <col min="5525" max="5525" width="3.28515625" style="4" customWidth="1"/>
    <col min="5526" max="5526" width="8" style="4" customWidth="1"/>
    <col min="5527" max="5527" width="42.5703125" style="4" bestFit="1" customWidth="1"/>
    <col min="5528" max="5528" width="3.28515625" style="4" customWidth="1"/>
    <col min="5529" max="5529" width="8" style="4" customWidth="1"/>
    <col min="5530" max="5530" width="42.5703125" style="4" bestFit="1" customWidth="1"/>
    <col min="5531" max="5531" width="3.28515625" style="4" customWidth="1"/>
    <col min="5532" max="5532" width="8" style="4" customWidth="1"/>
    <col min="5533" max="5533" width="42.5703125" style="4" bestFit="1" customWidth="1"/>
    <col min="5534" max="5534" width="3.28515625" style="4" customWidth="1"/>
    <col min="5535" max="5535" width="8" style="4" customWidth="1"/>
    <col min="5536" max="5536" width="42.5703125" style="4" bestFit="1" customWidth="1"/>
    <col min="5537" max="5537" width="3.28515625" style="4" customWidth="1"/>
    <col min="5538" max="5538" width="8" style="4" customWidth="1"/>
    <col min="5539" max="5539" width="42.5703125" style="4" bestFit="1" customWidth="1"/>
    <col min="5540" max="5540" width="3.28515625" style="4" customWidth="1"/>
    <col min="5541" max="5541" width="8" style="4" customWidth="1"/>
    <col min="5542" max="5542" width="42.5703125" style="4" bestFit="1" customWidth="1"/>
    <col min="5543" max="5543" width="3.28515625" style="4" customWidth="1"/>
    <col min="5544" max="5544" width="8" style="4" customWidth="1"/>
    <col min="5545" max="5545" width="42.5703125" style="4" bestFit="1" customWidth="1"/>
    <col min="5546" max="5546" width="3.28515625" style="4" customWidth="1"/>
    <col min="5547" max="5547" width="8" style="4" customWidth="1"/>
    <col min="5548" max="5548" width="42.5703125" style="4" bestFit="1" customWidth="1"/>
    <col min="5549" max="5549" width="3.28515625" style="4" customWidth="1"/>
    <col min="5550" max="5550" width="8" style="4" customWidth="1"/>
    <col min="5551" max="5551" width="42.5703125" style="4" bestFit="1" customWidth="1"/>
    <col min="5552" max="5552" width="3.28515625" style="4" customWidth="1"/>
    <col min="5553" max="5553" width="8" style="4" customWidth="1"/>
    <col min="5554" max="5554" width="42.5703125" style="4" bestFit="1" customWidth="1"/>
    <col min="5555" max="5555" width="3.28515625" style="4" customWidth="1"/>
    <col min="5556" max="5556" width="8" style="4" customWidth="1"/>
    <col min="5557" max="5557" width="42.5703125" style="4" bestFit="1" customWidth="1"/>
    <col min="5558" max="5558" width="3.28515625" style="4" customWidth="1"/>
    <col min="5559" max="5559" width="8" style="4" customWidth="1"/>
    <col min="5560" max="5560" width="42.5703125" style="4" bestFit="1" customWidth="1"/>
    <col min="5561" max="5561" width="3.28515625" style="4" customWidth="1"/>
    <col min="5562" max="5562" width="8" style="4" customWidth="1"/>
    <col min="5563" max="5563" width="42.5703125" style="4" bestFit="1" customWidth="1"/>
    <col min="5564" max="5564" width="3.28515625" style="4" customWidth="1"/>
    <col min="5565" max="5565" width="8" style="4" customWidth="1"/>
    <col min="5566" max="5566" width="42.5703125" style="4" bestFit="1" customWidth="1"/>
    <col min="5567" max="5567" width="3.28515625" style="4" customWidth="1"/>
    <col min="5568" max="5568" width="8" style="4" customWidth="1"/>
    <col min="5569" max="5569" width="42.5703125" style="4" bestFit="1" customWidth="1"/>
    <col min="5570" max="5570" width="3.28515625" style="4" customWidth="1"/>
    <col min="5571" max="5571" width="8" style="4" customWidth="1"/>
    <col min="5572" max="5572" width="42.5703125" style="4" bestFit="1" customWidth="1"/>
    <col min="5573" max="5573" width="3.28515625" style="4" customWidth="1"/>
    <col min="5574" max="5574" width="8" style="4" customWidth="1"/>
    <col min="5575" max="5575" width="42.5703125" style="4" bestFit="1" customWidth="1"/>
    <col min="5576" max="5576" width="3.28515625" style="4" customWidth="1"/>
    <col min="5577" max="5577" width="8" style="4" customWidth="1"/>
    <col min="5578" max="5578" width="42.5703125" style="4" bestFit="1" customWidth="1"/>
    <col min="5579" max="5579" width="3.28515625" style="4" customWidth="1"/>
    <col min="5580" max="5580" width="8" style="4" customWidth="1"/>
    <col min="5581" max="5581" width="42.5703125" style="4" bestFit="1" customWidth="1"/>
    <col min="5582" max="5582" width="3.28515625" style="4" customWidth="1"/>
    <col min="5583" max="5583" width="8" style="4" customWidth="1"/>
    <col min="5584" max="5584" width="42.5703125" style="4" bestFit="1" customWidth="1"/>
    <col min="5585" max="5585" width="3.28515625" style="4" customWidth="1"/>
    <col min="5586" max="5586" width="8" style="4" customWidth="1"/>
    <col min="5587" max="5587" width="42.5703125" style="4" bestFit="1" customWidth="1"/>
    <col min="5588" max="5588" width="3.28515625" style="4" customWidth="1"/>
    <col min="5589" max="5589" width="8" style="4" customWidth="1"/>
    <col min="5590" max="5590" width="42.5703125" style="4" bestFit="1" customWidth="1"/>
    <col min="5591" max="5591" width="3.28515625" style="4" customWidth="1"/>
    <col min="5592" max="5592" width="8" style="4" customWidth="1"/>
    <col min="5593" max="5593" width="42.5703125" style="4" bestFit="1" customWidth="1"/>
    <col min="5594" max="5594" width="3.28515625" style="4" customWidth="1"/>
    <col min="5595" max="5595" width="8" style="4" customWidth="1"/>
    <col min="5596" max="5596" width="42.5703125" style="4" bestFit="1" customWidth="1"/>
    <col min="5597" max="5597" width="3.28515625" style="4" customWidth="1"/>
    <col min="5598" max="5598" width="8" style="4" customWidth="1"/>
    <col min="5599" max="5599" width="42.5703125" style="4" bestFit="1" customWidth="1"/>
    <col min="5600" max="5600" width="3.28515625" style="4" customWidth="1"/>
    <col min="5601" max="5601" width="8" style="4" customWidth="1"/>
    <col min="5602" max="5602" width="42.5703125" style="4" bestFit="1" customWidth="1"/>
    <col min="5603" max="5603" width="3.28515625" style="4" customWidth="1"/>
    <col min="5604" max="5604" width="8" style="4" customWidth="1"/>
    <col min="5605" max="5605" width="42.5703125" style="4" bestFit="1" customWidth="1"/>
    <col min="5606" max="5606" width="3.28515625" style="4" customWidth="1"/>
    <col min="5607" max="5607" width="8" style="4" customWidth="1"/>
    <col min="5608" max="5608" width="42.5703125" style="4" bestFit="1" customWidth="1"/>
    <col min="5609" max="5609" width="3.28515625" style="4" customWidth="1"/>
    <col min="5610" max="5610" width="8" style="4" customWidth="1"/>
    <col min="5611" max="5611" width="42.5703125" style="4" bestFit="1" customWidth="1"/>
    <col min="5612" max="5612" width="3.28515625" style="4" customWidth="1"/>
    <col min="5613" max="5613" width="8" style="4" customWidth="1"/>
    <col min="5614" max="5614" width="42.5703125" style="4" bestFit="1" customWidth="1"/>
    <col min="5615" max="5615" width="3.28515625" style="4" customWidth="1"/>
    <col min="5616" max="5616" width="8" style="4" customWidth="1"/>
    <col min="5617" max="5617" width="42.5703125" style="4" bestFit="1" customWidth="1"/>
    <col min="5618" max="5618" width="3.28515625" style="4" customWidth="1"/>
    <col min="5619" max="5619" width="8" style="4" customWidth="1"/>
    <col min="5620" max="5620" width="42.5703125" style="4" bestFit="1" customWidth="1"/>
    <col min="5621" max="5621" width="3.28515625" style="4" customWidth="1"/>
    <col min="5622" max="5622" width="8" style="4" customWidth="1"/>
    <col min="5623" max="5623" width="42.5703125" style="4" bestFit="1" customWidth="1"/>
    <col min="5624" max="5624" width="3.28515625" style="4" customWidth="1"/>
    <col min="5625" max="5625" width="8" style="4" customWidth="1"/>
    <col min="5626" max="5626" width="42.5703125" style="4" bestFit="1" customWidth="1"/>
    <col min="5627" max="5627" width="3.28515625" style="4" customWidth="1"/>
    <col min="5628" max="5628" width="8" style="4" customWidth="1"/>
    <col min="5629" max="5629" width="42.5703125" style="4" bestFit="1" customWidth="1"/>
    <col min="5630" max="5630" width="3.28515625" style="4" customWidth="1"/>
    <col min="5631" max="5631" width="8" style="4" customWidth="1"/>
    <col min="5632" max="5632" width="42.5703125" style="4" bestFit="1" customWidth="1"/>
    <col min="5633" max="5633" width="3.28515625" style="4" customWidth="1"/>
    <col min="5634" max="5634" width="8" style="4" customWidth="1"/>
    <col min="5635" max="5635" width="42.5703125" style="4" bestFit="1" customWidth="1"/>
    <col min="5636" max="5636" width="3.28515625" style="4" customWidth="1"/>
    <col min="5637" max="5637" width="8" style="4" customWidth="1"/>
    <col min="5638" max="5638" width="42.5703125" style="4" bestFit="1" customWidth="1"/>
    <col min="5639" max="5639" width="3.28515625" style="4" customWidth="1"/>
    <col min="5640" max="5640" width="8" style="4" customWidth="1"/>
    <col min="5641" max="5641" width="42.5703125" style="4" bestFit="1" customWidth="1"/>
    <col min="5642" max="5642" width="3.28515625" style="4" customWidth="1"/>
    <col min="5643" max="5643" width="8" style="4" customWidth="1"/>
    <col min="5644" max="5644" width="42.5703125" style="4" bestFit="1" customWidth="1"/>
    <col min="5645" max="5645" width="3.28515625" style="4" customWidth="1"/>
    <col min="5646" max="5646" width="8" style="4" customWidth="1"/>
    <col min="5647" max="5647" width="42.5703125" style="4" bestFit="1" customWidth="1"/>
    <col min="5648" max="5648" width="3.28515625" style="4" customWidth="1"/>
    <col min="5649" max="5649" width="8" style="4" customWidth="1"/>
    <col min="5650" max="5650" width="42.5703125" style="4" bestFit="1" customWidth="1"/>
    <col min="5651" max="5651" width="3.28515625" style="4" customWidth="1"/>
    <col min="5652" max="5652" width="8" style="4" customWidth="1"/>
    <col min="5653" max="5653" width="42.5703125" style="4" bestFit="1" customWidth="1"/>
    <col min="5654" max="5654" width="3.28515625" style="4" customWidth="1"/>
    <col min="5655" max="5655" width="8" style="4" customWidth="1"/>
    <col min="5656" max="5656" width="42.5703125" style="4" bestFit="1" customWidth="1"/>
    <col min="5657" max="5657" width="3.28515625" style="4" customWidth="1"/>
    <col min="5658" max="5658" width="8" style="4" customWidth="1"/>
    <col min="5659" max="5659" width="42.5703125" style="4" bestFit="1" customWidth="1"/>
    <col min="5660" max="5660" width="3.28515625" style="4" customWidth="1"/>
    <col min="5661" max="5661" width="8" style="4" customWidth="1"/>
    <col min="5662" max="5662" width="42.5703125" style="4" bestFit="1" customWidth="1"/>
    <col min="5663" max="5663" width="3.28515625" style="4" customWidth="1"/>
    <col min="5664" max="5664" width="8" style="4" customWidth="1"/>
    <col min="5665" max="5665" width="42.5703125" style="4" bestFit="1" customWidth="1"/>
    <col min="5666" max="5666" width="3.28515625" style="4" customWidth="1"/>
    <col min="5667" max="5667" width="8" style="4" customWidth="1"/>
    <col min="5668" max="5668" width="42.5703125" style="4" bestFit="1" customWidth="1"/>
    <col min="5669" max="5669" width="3.28515625" style="4" customWidth="1"/>
    <col min="5670" max="5670" width="8" style="4" customWidth="1"/>
    <col min="5671" max="5671" width="42.5703125" style="4" bestFit="1" customWidth="1"/>
    <col min="5672" max="5672" width="3.28515625" style="4" customWidth="1"/>
    <col min="5673" max="5673" width="8" style="4" customWidth="1"/>
    <col min="5674" max="5674" width="42.5703125" style="4" bestFit="1" customWidth="1"/>
    <col min="5675" max="5675" width="3.28515625" style="4" customWidth="1"/>
    <col min="5676" max="5676" width="8" style="4" customWidth="1"/>
    <col min="5677" max="5677" width="42.5703125" style="4" bestFit="1" customWidth="1"/>
    <col min="5678" max="5678" width="3.28515625" style="4" customWidth="1"/>
    <col min="5679" max="5679" width="8" style="4" customWidth="1"/>
    <col min="5680" max="5680" width="42.5703125" style="4" bestFit="1" customWidth="1"/>
    <col min="5681" max="5681" width="3.28515625" style="4" customWidth="1"/>
    <col min="5682" max="5682" width="8" style="4" customWidth="1"/>
    <col min="5683" max="5683" width="42.5703125" style="4" bestFit="1" customWidth="1"/>
    <col min="5684" max="5684" width="3.28515625" style="4" customWidth="1"/>
    <col min="5685" max="5685" width="8" style="4" customWidth="1"/>
    <col min="5686" max="5686" width="42.5703125" style="4" bestFit="1" customWidth="1"/>
    <col min="5687" max="5687" width="3.28515625" style="4" customWidth="1"/>
    <col min="5688" max="5688" width="8" style="4" customWidth="1"/>
    <col min="5689" max="5689" width="42.5703125" style="4" bestFit="1" customWidth="1"/>
    <col min="5690" max="5690" width="3.28515625" style="4" customWidth="1"/>
    <col min="5691" max="5691" width="8" style="4" customWidth="1"/>
    <col min="5692" max="5692" width="42.5703125" style="4" bestFit="1" customWidth="1"/>
    <col min="5693" max="5693" width="3.28515625" style="4" customWidth="1"/>
    <col min="5694" max="5694" width="8" style="4" customWidth="1"/>
    <col min="5695" max="5695" width="42.5703125" style="4" bestFit="1" customWidth="1"/>
    <col min="5696" max="5696" width="3.28515625" style="4" customWidth="1"/>
    <col min="5697" max="5697" width="8" style="4" customWidth="1"/>
    <col min="5698" max="5698" width="42.5703125" style="4" bestFit="1" customWidth="1"/>
    <col min="5699" max="5699" width="3.28515625" style="4" customWidth="1"/>
    <col min="5700" max="5700" width="8" style="4" customWidth="1"/>
    <col min="5701" max="5701" width="42.5703125" style="4" bestFit="1" customWidth="1"/>
    <col min="5702" max="5702" width="3.28515625" style="4" customWidth="1"/>
    <col min="5703" max="5703" width="8" style="4" customWidth="1"/>
    <col min="5704" max="5704" width="42.5703125" style="4" bestFit="1" customWidth="1"/>
    <col min="5705" max="5705" width="3.28515625" style="4" customWidth="1"/>
    <col min="5706" max="5706" width="8" style="4" customWidth="1"/>
    <col min="5707" max="5707" width="42.5703125" style="4" bestFit="1" customWidth="1"/>
    <col min="5708" max="5708" width="3.28515625" style="4" customWidth="1"/>
    <col min="5709" max="5709" width="8" style="4" customWidth="1"/>
    <col min="5710" max="5710" width="42.5703125" style="4" bestFit="1" customWidth="1"/>
    <col min="5711" max="5711" width="3.28515625" style="4" customWidth="1"/>
    <col min="5712" max="5712" width="8" style="4" customWidth="1"/>
    <col min="5713" max="5713" width="42.5703125" style="4" bestFit="1" customWidth="1"/>
    <col min="5714" max="5714" width="3.28515625" style="4" customWidth="1"/>
    <col min="5715" max="5715" width="8" style="4" customWidth="1"/>
    <col min="5716" max="5716" width="42.5703125" style="4" bestFit="1" customWidth="1"/>
    <col min="5717" max="5717" width="3.28515625" style="4" customWidth="1"/>
    <col min="5718" max="5718" width="8" style="4" customWidth="1"/>
    <col min="5719" max="5719" width="42.5703125" style="4" bestFit="1" customWidth="1"/>
    <col min="5720" max="5720" width="3.28515625" style="4" customWidth="1"/>
    <col min="5721" max="5721" width="8" style="4" customWidth="1"/>
    <col min="5722" max="5722" width="42.5703125" style="4" bestFit="1" customWidth="1"/>
    <col min="5723" max="5723" width="3.28515625" style="4" customWidth="1"/>
    <col min="5724" max="5724" width="8" style="4" customWidth="1"/>
    <col min="5725" max="5725" width="42.5703125" style="4" bestFit="1" customWidth="1"/>
    <col min="5726" max="5726" width="3.28515625" style="4" customWidth="1"/>
    <col min="5727" max="5727" width="8" style="4" customWidth="1"/>
    <col min="5728" max="5728" width="42.5703125" style="4" bestFit="1" customWidth="1"/>
    <col min="5729" max="5729" width="3.28515625" style="4" customWidth="1"/>
    <col min="5730" max="5730" width="8" style="4" customWidth="1"/>
    <col min="5731" max="5731" width="42.5703125" style="4" bestFit="1" customWidth="1"/>
    <col min="5732" max="5732" width="3.28515625" style="4" customWidth="1"/>
    <col min="5733" max="5733" width="8" style="4" customWidth="1"/>
    <col min="5734" max="5734" width="42.5703125" style="4" bestFit="1" customWidth="1"/>
    <col min="5735" max="5735" width="3.28515625" style="4" customWidth="1"/>
    <col min="5736" max="5736" width="8" style="4" customWidth="1"/>
    <col min="5737" max="5737" width="42.5703125" style="4" bestFit="1" customWidth="1"/>
    <col min="5738" max="5738" width="3.28515625" style="4" customWidth="1"/>
    <col min="5739" max="5739" width="8" style="4" customWidth="1"/>
    <col min="5740" max="5740" width="42.5703125" style="4" bestFit="1" customWidth="1"/>
    <col min="5741" max="5741" width="3.28515625" style="4" customWidth="1"/>
    <col min="5742" max="5742" width="8" style="4" customWidth="1"/>
    <col min="5743" max="5743" width="42.5703125" style="4" bestFit="1" customWidth="1"/>
    <col min="5744" max="5744" width="3.28515625" style="4" customWidth="1"/>
    <col min="5745" max="5745" width="8" style="4" customWidth="1"/>
    <col min="5746" max="5746" width="42.5703125" style="4" bestFit="1" customWidth="1"/>
    <col min="5747" max="5747" width="3.28515625" style="4" customWidth="1"/>
    <col min="5748" max="5748" width="8" style="4" customWidth="1"/>
    <col min="5749" max="5749" width="42.5703125" style="4" bestFit="1" customWidth="1"/>
    <col min="5750" max="5750" width="3.28515625" style="4" customWidth="1"/>
    <col min="5751" max="5751" width="8" style="4" customWidth="1"/>
    <col min="5752" max="5752" width="42.5703125" style="4" bestFit="1" customWidth="1"/>
    <col min="5753" max="5753" width="3.28515625" style="4" customWidth="1"/>
    <col min="5754" max="5754" width="8" style="4" customWidth="1"/>
    <col min="5755" max="5755" width="42.5703125" style="4" bestFit="1" customWidth="1"/>
    <col min="5756" max="5756" width="3.28515625" style="4" customWidth="1"/>
    <col min="5757" max="5757" width="8" style="4" customWidth="1"/>
    <col min="5758" max="5758" width="42.5703125" style="4" bestFit="1" customWidth="1"/>
    <col min="5759" max="5759" width="3.28515625" style="4" customWidth="1"/>
    <col min="5760" max="5760" width="8" style="4" customWidth="1"/>
    <col min="5761" max="5761" width="42.5703125" style="4" bestFit="1" customWidth="1"/>
    <col min="5762" max="5762" width="3.28515625" style="4" customWidth="1"/>
    <col min="5763" max="5763" width="8" style="4" customWidth="1"/>
    <col min="5764" max="5764" width="42.5703125" style="4" bestFit="1" customWidth="1"/>
    <col min="5765" max="5765" width="3.28515625" style="4" customWidth="1"/>
    <col min="5766" max="5766" width="8" style="4" customWidth="1"/>
    <col min="5767" max="5767" width="42.5703125" style="4" bestFit="1" customWidth="1"/>
    <col min="5768" max="5768" width="3.28515625" style="4" customWidth="1"/>
    <col min="5769" max="5769" width="8" style="4" customWidth="1"/>
    <col min="5770" max="5770" width="42.5703125" style="4" bestFit="1" customWidth="1"/>
    <col min="5771" max="5771" width="3.28515625" style="4" customWidth="1"/>
    <col min="5772" max="5772" width="8" style="4" customWidth="1"/>
    <col min="5773" max="5773" width="42.5703125" style="4" bestFit="1" customWidth="1"/>
    <col min="5774" max="5774" width="3.28515625" style="4" customWidth="1"/>
    <col min="5775" max="5775" width="8" style="4" customWidth="1"/>
    <col min="5776" max="5776" width="42.5703125" style="4" bestFit="1" customWidth="1"/>
    <col min="5777" max="5777" width="3.28515625" style="4" customWidth="1"/>
    <col min="5778" max="5778" width="8" style="4" customWidth="1"/>
    <col min="5779" max="5779" width="42.5703125" style="4" bestFit="1" customWidth="1"/>
    <col min="5780" max="5780" width="3.28515625" style="4" customWidth="1"/>
    <col min="5781" max="5781" width="8" style="4" customWidth="1"/>
    <col min="5782" max="5782" width="42.5703125" style="4" bestFit="1" customWidth="1"/>
    <col min="5783" max="5783" width="3.28515625" style="4" customWidth="1"/>
    <col min="5784" max="5784" width="8" style="4" customWidth="1"/>
    <col min="5785" max="5785" width="42.5703125" style="4" bestFit="1" customWidth="1"/>
    <col min="5786" max="5786" width="3.28515625" style="4" customWidth="1"/>
    <col min="5787" max="5787" width="8" style="4" customWidth="1"/>
    <col min="5788" max="5788" width="42.5703125" style="4" bestFit="1" customWidth="1"/>
    <col min="5789" max="5789" width="3.28515625" style="4" customWidth="1"/>
    <col min="5790" max="5790" width="8" style="4" customWidth="1"/>
    <col min="5791" max="5791" width="42.5703125" style="4" bestFit="1" customWidth="1"/>
    <col min="5792" max="5792" width="3.28515625" style="4" customWidth="1"/>
    <col min="5793" max="5793" width="8" style="4" customWidth="1"/>
    <col min="5794" max="5794" width="42.5703125" style="4" bestFit="1" customWidth="1"/>
    <col min="5795" max="5795" width="3.28515625" style="4" customWidth="1"/>
    <col min="5796" max="5796" width="8" style="4" customWidth="1"/>
    <col min="5797" max="5797" width="42.5703125" style="4" bestFit="1" customWidth="1"/>
    <col min="5798" max="5798" width="3.28515625" style="4" customWidth="1"/>
    <col min="5799" max="5799" width="8" style="4" customWidth="1"/>
    <col min="5800" max="5800" width="42.5703125" style="4" bestFit="1" customWidth="1"/>
    <col min="5801" max="5801" width="3.28515625" style="4" customWidth="1"/>
    <col min="5802" max="5802" width="8" style="4" customWidth="1"/>
    <col min="5803" max="5803" width="42.5703125" style="4" bestFit="1" customWidth="1"/>
    <col min="5804" max="5804" width="3.28515625" style="4" customWidth="1"/>
    <col min="5805" max="5805" width="8" style="4" customWidth="1"/>
    <col min="5806" max="5806" width="42.5703125" style="4" bestFit="1" customWidth="1"/>
    <col min="5807" max="5807" width="3.28515625" style="4" customWidth="1"/>
    <col min="5808" max="5808" width="8" style="4" customWidth="1"/>
    <col min="5809" max="5809" width="42.5703125" style="4" bestFit="1" customWidth="1"/>
    <col min="5810" max="5810" width="3.28515625" style="4" customWidth="1"/>
    <col min="5811" max="5811" width="8" style="4" customWidth="1"/>
    <col min="5812" max="5812" width="42.5703125" style="4" bestFit="1" customWidth="1"/>
    <col min="5813" max="5813" width="3.28515625" style="4" customWidth="1"/>
    <col min="5814" max="5814" width="8" style="4" customWidth="1"/>
    <col min="5815" max="5815" width="42.5703125" style="4" bestFit="1" customWidth="1"/>
    <col min="5816" max="5816" width="3.28515625" style="4" customWidth="1"/>
    <col min="5817" max="5817" width="8" style="4" customWidth="1"/>
    <col min="5818" max="5818" width="42.5703125" style="4" bestFit="1" customWidth="1"/>
    <col min="5819" max="5819" width="3.28515625" style="4" customWidth="1"/>
    <col min="5820" max="5820" width="8" style="4" customWidth="1"/>
    <col min="5821" max="5821" width="42.5703125" style="4" bestFit="1" customWidth="1"/>
    <col min="5822" max="5822" width="3.28515625" style="4" customWidth="1"/>
    <col min="5823" max="5823" width="8" style="4" customWidth="1"/>
    <col min="5824" max="5824" width="42.5703125" style="4" bestFit="1" customWidth="1"/>
    <col min="5825" max="5825" width="3.28515625" style="4" customWidth="1"/>
    <col min="5826" max="5826" width="8" style="4" customWidth="1"/>
    <col min="5827" max="5827" width="42.5703125" style="4" bestFit="1" customWidth="1"/>
    <col min="5828" max="5828" width="3.28515625" style="4" customWidth="1"/>
    <col min="5829" max="5829" width="8" style="4" customWidth="1"/>
    <col min="5830" max="5830" width="42.5703125" style="4" bestFit="1" customWidth="1"/>
    <col min="5831" max="5831" width="3.28515625" style="4" customWidth="1"/>
    <col min="5832" max="5832" width="8" style="4" customWidth="1"/>
    <col min="5833" max="5833" width="42.5703125" style="4" bestFit="1" customWidth="1"/>
    <col min="5834" max="5834" width="3.28515625" style="4" customWidth="1"/>
    <col min="5835" max="5835" width="8" style="4" customWidth="1"/>
    <col min="5836" max="5836" width="42.5703125" style="4" bestFit="1" customWidth="1"/>
    <col min="5837" max="5837" width="3.28515625" style="4" customWidth="1"/>
    <col min="5838" max="5838" width="8" style="4" customWidth="1"/>
    <col min="5839" max="5839" width="42.5703125" style="4" bestFit="1" customWidth="1"/>
    <col min="5840" max="5840" width="3.28515625" style="4" customWidth="1"/>
    <col min="5841" max="5841" width="8" style="4" customWidth="1"/>
    <col min="5842" max="5842" width="42.5703125" style="4" bestFit="1" customWidth="1"/>
    <col min="5843" max="5843" width="3.28515625" style="4" customWidth="1"/>
    <col min="5844" max="5844" width="8" style="4" customWidth="1"/>
    <col min="5845" max="5845" width="42.5703125" style="4" bestFit="1" customWidth="1"/>
    <col min="5846" max="5846" width="3.28515625" style="4" customWidth="1"/>
    <col min="5847" max="5847" width="8" style="4" customWidth="1"/>
    <col min="5848" max="5848" width="42.5703125" style="4" bestFit="1" customWidth="1"/>
    <col min="5849" max="5849" width="3.28515625" style="4" customWidth="1"/>
    <col min="5850" max="5850" width="8" style="4" customWidth="1"/>
    <col min="5851" max="5851" width="42.5703125" style="4" bestFit="1" customWidth="1"/>
    <col min="5852" max="5852" width="3.28515625" style="4" customWidth="1"/>
    <col min="5853" max="5853" width="8" style="4" customWidth="1"/>
    <col min="5854" max="5854" width="42.5703125" style="4" bestFit="1" customWidth="1"/>
    <col min="5855" max="5855" width="3.28515625" style="4" customWidth="1"/>
    <col min="5856" max="5856" width="8" style="4" customWidth="1"/>
    <col min="5857" max="5857" width="42.5703125" style="4" bestFit="1" customWidth="1"/>
    <col min="5858" max="5858" width="3.28515625" style="4" customWidth="1"/>
    <col min="5859" max="5859" width="8" style="4" customWidth="1"/>
    <col min="5860" max="5860" width="42.5703125" style="4" bestFit="1" customWidth="1"/>
    <col min="5861" max="5861" width="3.28515625" style="4" customWidth="1"/>
    <col min="5862" max="5862" width="8" style="4" customWidth="1"/>
    <col min="5863" max="5863" width="42.5703125" style="4" bestFit="1" customWidth="1"/>
    <col min="5864" max="5864" width="3.28515625" style="4" customWidth="1"/>
    <col min="5865" max="5865" width="8" style="4" customWidth="1"/>
    <col min="5866" max="5866" width="42.5703125" style="4" bestFit="1" customWidth="1"/>
    <col min="5867" max="5867" width="3.28515625" style="4" customWidth="1"/>
    <col min="5868" max="5868" width="8" style="4" customWidth="1"/>
    <col min="5869" max="5869" width="42.5703125" style="4" bestFit="1" customWidth="1"/>
    <col min="5870" max="5870" width="3.28515625" style="4" customWidth="1"/>
    <col min="5871" max="5871" width="8" style="4" customWidth="1"/>
    <col min="5872" max="5872" width="42.5703125" style="4" bestFit="1" customWidth="1"/>
    <col min="5873" max="5873" width="3.28515625" style="4" customWidth="1"/>
    <col min="5874" max="5874" width="8" style="4" customWidth="1"/>
    <col min="5875" max="5875" width="42.5703125" style="4" bestFit="1" customWidth="1"/>
    <col min="5876" max="5876" width="3.28515625" style="4" customWidth="1"/>
    <col min="5877" max="5877" width="8" style="4" customWidth="1"/>
    <col min="5878" max="5878" width="42.5703125" style="4" bestFit="1" customWidth="1"/>
    <col min="5879" max="5879" width="3.28515625" style="4" customWidth="1"/>
    <col min="5880" max="5880" width="8" style="4" customWidth="1"/>
    <col min="5881" max="5881" width="42.5703125" style="4" bestFit="1" customWidth="1"/>
    <col min="5882" max="5882" width="3.28515625" style="4" customWidth="1"/>
    <col min="5883" max="5883" width="8" style="4" customWidth="1"/>
    <col min="5884" max="5884" width="42.5703125" style="4" bestFit="1" customWidth="1"/>
    <col min="5885" max="5885" width="3.28515625" style="4" customWidth="1"/>
    <col min="5886" max="5886" width="8" style="4" customWidth="1"/>
    <col min="5887" max="5887" width="42.5703125" style="4" bestFit="1" customWidth="1"/>
    <col min="5888" max="5888" width="3.28515625" style="4" customWidth="1"/>
    <col min="5889" max="5889" width="8" style="4" customWidth="1"/>
    <col min="5890" max="5890" width="42.5703125" style="4" bestFit="1" customWidth="1"/>
    <col min="5891" max="5891" width="3.28515625" style="4" customWidth="1"/>
    <col min="5892" max="5892" width="8" style="4" customWidth="1"/>
    <col min="5893" max="5893" width="42.5703125" style="4" bestFit="1" customWidth="1"/>
    <col min="5894" max="5894" width="3.28515625" style="4" customWidth="1"/>
    <col min="5895" max="5895" width="8" style="4" customWidth="1"/>
    <col min="5896" max="5896" width="42.5703125" style="4" bestFit="1" customWidth="1"/>
    <col min="5897" max="5897" width="3.28515625" style="4" customWidth="1"/>
    <col min="5898" max="5898" width="8" style="4" customWidth="1"/>
    <col min="5899" max="5899" width="42.5703125" style="4" bestFit="1" customWidth="1"/>
    <col min="5900" max="5900" width="3.28515625" style="4" customWidth="1"/>
    <col min="5901" max="5901" width="8" style="4" customWidth="1"/>
    <col min="5902" max="5902" width="42.5703125" style="4" bestFit="1" customWidth="1"/>
    <col min="5903" max="5903" width="3.28515625" style="4" customWidth="1"/>
    <col min="5904" max="5904" width="8" style="4" customWidth="1"/>
    <col min="5905" max="5905" width="42.5703125" style="4" bestFit="1" customWidth="1"/>
    <col min="5906" max="5906" width="3.28515625" style="4" customWidth="1"/>
    <col min="5907" max="5907" width="8" style="4" customWidth="1"/>
    <col min="5908" max="5908" width="42.5703125" style="4" bestFit="1" customWidth="1"/>
    <col min="5909" max="5909" width="3.28515625" style="4" customWidth="1"/>
    <col min="5910" max="5910" width="8" style="4" customWidth="1"/>
    <col min="5911" max="5911" width="42.5703125" style="4" bestFit="1" customWidth="1"/>
    <col min="5912" max="5912" width="3.28515625" style="4" customWidth="1"/>
    <col min="5913" max="5913" width="8" style="4" customWidth="1"/>
    <col min="5914" max="5914" width="42.5703125" style="4" bestFit="1" customWidth="1"/>
    <col min="5915" max="5915" width="3.28515625" style="4" customWidth="1"/>
    <col min="5916" max="5916" width="8" style="4" customWidth="1"/>
    <col min="5917" max="5917" width="42.5703125" style="4" bestFit="1" customWidth="1"/>
    <col min="5918" max="5918" width="3.28515625" style="4" customWidth="1"/>
    <col min="5919" max="5919" width="8" style="4" customWidth="1"/>
    <col min="5920" max="5920" width="42.5703125" style="4" bestFit="1" customWidth="1"/>
    <col min="5921" max="5921" width="3.28515625" style="4" customWidth="1"/>
    <col min="5922" max="5922" width="8" style="4" customWidth="1"/>
    <col min="5923" max="5923" width="42.5703125" style="4" bestFit="1" customWidth="1"/>
    <col min="5924" max="5924" width="3.28515625" style="4" customWidth="1"/>
    <col min="5925" max="5925" width="8" style="4" customWidth="1"/>
    <col min="5926" max="5926" width="42.5703125" style="4" bestFit="1" customWidth="1"/>
    <col min="5927" max="5927" width="3.28515625" style="4" customWidth="1"/>
    <col min="5928" max="5928" width="8" style="4" customWidth="1"/>
    <col min="5929" max="5929" width="42.5703125" style="4" bestFit="1" customWidth="1"/>
    <col min="5930" max="5930" width="3.28515625" style="4" customWidth="1"/>
    <col min="5931" max="5931" width="8" style="4" customWidth="1"/>
    <col min="5932" max="5932" width="42.5703125" style="4" bestFit="1" customWidth="1"/>
    <col min="5933" max="5933" width="3.28515625" style="4" customWidth="1"/>
    <col min="5934" max="5934" width="8" style="4" customWidth="1"/>
    <col min="5935" max="5935" width="42.5703125" style="4" bestFit="1" customWidth="1"/>
    <col min="5936" max="5936" width="3.28515625" style="4" customWidth="1"/>
    <col min="5937" max="5937" width="8" style="4" customWidth="1"/>
    <col min="5938" max="5938" width="42.5703125" style="4" bestFit="1" customWidth="1"/>
    <col min="5939" max="5939" width="3.28515625" style="4" customWidth="1"/>
    <col min="5940" max="5940" width="8" style="4" customWidth="1"/>
    <col min="5941" max="5941" width="42.5703125" style="4" bestFit="1" customWidth="1"/>
    <col min="5942" max="5942" width="3.28515625" style="4" customWidth="1"/>
    <col min="5943" max="5943" width="8" style="4" customWidth="1"/>
    <col min="5944" max="5944" width="42.5703125" style="4" bestFit="1" customWidth="1"/>
    <col min="5945" max="5945" width="3.28515625" style="4" customWidth="1"/>
    <col min="5946" max="5946" width="8" style="4" customWidth="1"/>
    <col min="5947" max="5947" width="42.5703125" style="4" bestFit="1" customWidth="1"/>
    <col min="5948" max="5948" width="3.28515625" style="4" customWidth="1"/>
    <col min="5949" max="5949" width="8" style="4" customWidth="1"/>
    <col min="5950" max="5950" width="42.5703125" style="4" bestFit="1" customWidth="1"/>
    <col min="5951" max="5951" width="3.28515625" style="4" customWidth="1"/>
    <col min="5952" max="5952" width="8" style="4" customWidth="1"/>
    <col min="5953" max="5953" width="42.5703125" style="4" bestFit="1" customWidth="1"/>
    <col min="5954" max="5954" width="3.28515625" style="4" customWidth="1"/>
    <col min="5955" max="5955" width="8" style="4" customWidth="1"/>
    <col min="5956" max="5956" width="42.5703125" style="4" bestFit="1" customWidth="1"/>
    <col min="5957" max="5957" width="3.28515625" style="4" customWidth="1"/>
    <col min="5958" max="5958" width="8" style="4" customWidth="1"/>
    <col min="5959" max="5959" width="42.5703125" style="4" bestFit="1" customWidth="1"/>
    <col min="5960" max="5960" width="3.28515625" style="4" customWidth="1"/>
    <col min="5961" max="5961" width="8" style="4" customWidth="1"/>
    <col min="5962" max="5962" width="42.5703125" style="4" bestFit="1" customWidth="1"/>
    <col min="5963" max="5963" width="3.28515625" style="4" customWidth="1"/>
    <col min="5964" max="5964" width="8" style="4" customWidth="1"/>
    <col min="5965" max="5965" width="42.5703125" style="4" bestFit="1" customWidth="1"/>
    <col min="5966" max="5966" width="3.28515625" style="4" customWidth="1"/>
    <col min="5967" max="5967" width="8" style="4" customWidth="1"/>
    <col min="5968" max="5968" width="42.5703125" style="4" bestFit="1" customWidth="1"/>
    <col min="5969" max="5969" width="3.28515625" style="4" customWidth="1"/>
    <col min="5970" max="5970" width="8" style="4" customWidth="1"/>
    <col min="5971" max="5971" width="42.5703125" style="4" bestFit="1" customWidth="1"/>
    <col min="5972" max="5972" width="3.28515625" style="4" customWidth="1"/>
    <col min="5973" max="5973" width="8" style="4" customWidth="1"/>
    <col min="5974" max="5974" width="42.5703125" style="4" bestFit="1" customWidth="1"/>
    <col min="5975" max="5975" width="3.28515625" style="4" customWidth="1"/>
    <col min="5976" max="5976" width="8" style="4" customWidth="1"/>
    <col min="5977" max="5977" width="42.5703125" style="4" bestFit="1" customWidth="1"/>
    <col min="5978" max="5978" width="3.28515625" style="4" customWidth="1"/>
    <col min="5979" max="5979" width="8" style="4" customWidth="1"/>
    <col min="5980" max="5980" width="42.5703125" style="4" bestFit="1" customWidth="1"/>
    <col min="5981" max="5981" width="3.28515625" style="4" customWidth="1"/>
    <col min="5982" max="5982" width="8" style="4" customWidth="1"/>
    <col min="5983" max="5983" width="42.5703125" style="4" bestFit="1" customWidth="1"/>
    <col min="5984" max="5984" width="3.28515625" style="4" customWidth="1"/>
    <col min="5985" max="5985" width="8" style="4" customWidth="1"/>
    <col min="5986" max="5986" width="42.5703125" style="4" bestFit="1" customWidth="1"/>
    <col min="5987" max="5987" width="3.28515625" style="4" customWidth="1"/>
    <col min="5988" max="5988" width="8" style="4" customWidth="1"/>
    <col min="5989" max="5989" width="42.5703125" style="4" bestFit="1" customWidth="1"/>
    <col min="5990" max="5990" width="3.28515625" style="4" customWidth="1"/>
    <col min="5991" max="5991" width="8" style="4" customWidth="1"/>
    <col min="5992" max="5992" width="42.5703125" style="4" bestFit="1" customWidth="1"/>
    <col min="5993" max="5993" width="3.28515625" style="4" customWidth="1"/>
    <col min="5994" max="5994" width="8" style="4" customWidth="1"/>
    <col min="5995" max="5995" width="42.5703125" style="4" bestFit="1" customWidth="1"/>
    <col min="5996" max="5996" width="3.28515625" style="4" customWidth="1"/>
    <col min="5997" max="5997" width="8" style="4" customWidth="1"/>
    <col min="5998" max="5998" width="42.5703125" style="4" bestFit="1" customWidth="1"/>
    <col min="5999" max="5999" width="3.28515625" style="4" customWidth="1"/>
    <col min="6000" max="6000" width="8" style="4" customWidth="1"/>
    <col min="6001" max="6001" width="42.5703125" style="4" bestFit="1" customWidth="1"/>
    <col min="6002" max="6002" width="3.28515625" style="4" customWidth="1"/>
    <col min="6003" max="6003" width="8" style="4" customWidth="1"/>
    <col min="6004" max="6004" width="42.5703125" style="4" bestFit="1" customWidth="1"/>
    <col min="6005" max="6005" width="3.28515625" style="4" customWidth="1"/>
    <col min="6006" max="6006" width="8" style="4" customWidth="1"/>
    <col min="6007" max="6007" width="42.5703125" style="4" bestFit="1" customWidth="1"/>
    <col min="6008" max="6008" width="3.28515625" style="4" customWidth="1"/>
    <col min="6009" max="6009" width="8" style="4" customWidth="1"/>
    <col min="6010" max="6010" width="42.5703125" style="4" bestFit="1" customWidth="1"/>
    <col min="6011" max="6011" width="3.28515625" style="4" customWidth="1"/>
    <col min="6012" max="6012" width="8" style="4" customWidth="1"/>
    <col min="6013" max="6013" width="42.5703125" style="4" bestFit="1" customWidth="1"/>
    <col min="6014" max="6014" width="3.28515625" style="4" customWidth="1"/>
    <col min="6015" max="6015" width="8" style="4" customWidth="1"/>
    <col min="6016" max="6016" width="42.5703125" style="4" bestFit="1" customWidth="1"/>
    <col min="6017" max="6017" width="3.28515625" style="4" customWidth="1"/>
    <col min="6018" max="6018" width="8" style="4" customWidth="1"/>
    <col min="6019" max="6019" width="42.5703125" style="4" bestFit="1" customWidth="1"/>
    <col min="6020" max="6020" width="3.28515625" style="4" customWidth="1"/>
    <col min="6021" max="6021" width="8" style="4" customWidth="1"/>
    <col min="6022" max="6022" width="42.5703125" style="4" bestFit="1" customWidth="1"/>
    <col min="6023" max="6023" width="3.28515625" style="4" customWidth="1"/>
    <col min="6024" max="6024" width="8" style="4" customWidth="1"/>
    <col min="6025" max="6025" width="42.5703125" style="4" bestFit="1" customWidth="1"/>
    <col min="6026" max="6026" width="3.28515625" style="4" customWidth="1"/>
    <col min="6027" max="6027" width="8" style="4" customWidth="1"/>
    <col min="6028" max="6028" width="42.5703125" style="4" bestFit="1" customWidth="1"/>
    <col min="6029" max="6029" width="3.28515625" style="4" customWidth="1"/>
    <col min="6030" max="6030" width="8" style="4" customWidth="1"/>
    <col min="6031" max="6031" width="42.5703125" style="4" bestFit="1" customWidth="1"/>
    <col min="6032" max="6032" width="3.28515625" style="4" customWidth="1"/>
    <col min="6033" max="6033" width="8" style="4" customWidth="1"/>
    <col min="6034" max="6034" width="42.5703125" style="4" bestFit="1" customWidth="1"/>
    <col min="6035" max="6035" width="3.28515625" style="4" customWidth="1"/>
    <col min="6036" max="6036" width="8" style="4" customWidth="1"/>
    <col min="6037" max="6037" width="42.5703125" style="4" bestFit="1" customWidth="1"/>
    <col min="6038" max="6038" width="3.28515625" style="4" customWidth="1"/>
    <col min="6039" max="6039" width="8" style="4" customWidth="1"/>
    <col min="6040" max="6040" width="42.5703125" style="4" bestFit="1" customWidth="1"/>
    <col min="6041" max="6041" width="3.28515625" style="4" customWidth="1"/>
    <col min="6042" max="6042" width="8" style="4" customWidth="1"/>
    <col min="6043" max="6043" width="42.5703125" style="4" bestFit="1" customWidth="1"/>
    <col min="6044" max="6044" width="3.28515625" style="4" customWidth="1"/>
    <col min="6045" max="6045" width="8" style="4" customWidth="1"/>
    <col min="6046" max="6046" width="42.5703125" style="4" bestFit="1" customWidth="1"/>
    <col min="6047" max="6047" width="3.28515625" style="4" customWidth="1"/>
    <col min="6048" max="6048" width="8" style="4" customWidth="1"/>
    <col min="6049" max="6049" width="42.5703125" style="4" bestFit="1" customWidth="1"/>
    <col min="6050" max="6050" width="3.28515625" style="4" customWidth="1"/>
    <col min="6051" max="6051" width="8" style="4" customWidth="1"/>
    <col min="6052" max="6052" width="42.5703125" style="4" bestFit="1" customWidth="1"/>
    <col min="6053" max="6053" width="3.28515625" style="4" customWidth="1"/>
    <col min="6054" max="6054" width="8" style="4" customWidth="1"/>
    <col min="6055" max="6055" width="42.5703125" style="4" bestFit="1" customWidth="1"/>
    <col min="6056" max="6056" width="3.28515625" style="4" customWidth="1"/>
    <col min="6057" max="6057" width="8" style="4" customWidth="1"/>
    <col min="6058" max="6058" width="42.5703125" style="4" bestFit="1" customWidth="1"/>
    <col min="6059" max="6059" width="3.28515625" style="4" customWidth="1"/>
    <col min="6060" max="6060" width="8" style="4" customWidth="1"/>
    <col min="6061" max="6061" width="42.5703125" style="4" bestFit="1" customWidth="1"/>
    <col min="6062" max="6062" width="3.28515625" style="4" customWidth="1"/>
    <col min="6063" max="6063" width="8" style="4" customWidth="1"/>
    <col min="6064" max="6064" width="42.5703125" style="4" bestFit="1" customWidth="1"/>
    <col min="6065" max="6065" width="3.28515625" style="4" customWidth="1"/>
    <col min="6066" max="6066" width="8" style="4" customWidth="1"/>
    <col min="6067" max="6067" width="42.5703125" style="4" bestFit="1" customWidth="1"/>
    <col min="6068" max="6068" width="3.28515625" style="4" customWidth="1"/>
    <col min="6069" max="6069" width="8" style="4" customWidth="1"/>
    <col min="6070" max="6070" width="42.5703125" style="4" bestFit="1" customWidth="1"/>
    <col min="6071" max="6071" width="3.28515625" style="4" customWidth="1"/>
    <col min="6072" max="6072" width="8" style="4" customWidth="1"/>
    <col min="6073" max="6073" width="42.5703125" style="4" bestFit="1" customWidth="1"/>
    <col min="6074" max="6074" width="3.28515625" style="4" customWidth="1"/>
    <col min="6075" max="6075" width="8" style="4" customWidth="1"/>
    <col min="6076" max="6076" width="42.5703125" style="4" bestFit="1" customWidth="1"/>
    <col min="6077" max="6077" width="3.28515625" style="4" customWidth="1"/>
    <col min="6078" max="6078" width="8" style="4" customWidth="1"/>
    <col min="6079" max="6079" width="42.5703125" style="4" bestFit="1" customWidth="1"/>
    <col min="6080" max="6080" width="3.28515625" style="4" customWidth="1"/>
    <col min="6081" max="6081" width="8" style="4" customWidth="1"/>
    <col min="6082" max="6082" width="42.5703125" style="4" bestFit="1" customWidth="1"/>
    <col min="6083" max="6083" width="3.28515625" style="4" customWidth="1"/>
    <col min="6084" max="6084" width="8" style="4" customWidth="1"/>
    <col min="6085" max="6085" width="42.5703125" style="4" bestFit="1" customWidth="1"/>
    <col min="6086" max="6086" width="3.28515625" style="4" customWidth="1"/>
    <col min="6087" max="6087" width="8" style="4" customWidth="1"/>
    <col min="6088" max="6088" width="42.5703125" style="4" bestFit="1" customWidth="1"/>
    <col min="6089" max="6089" width="3.28515625" style="4" customWidth="1"/>
    <col min="6090" max="6090" width="8" style="4" customWidth="1"/>
    <col min="6091" max="6091" width="42.5703125" style="4" bestFit="1" customWidth="1"/>
    <col min="6092" max="6092" width="3.28515625" style="4" customWidth="1"/>
    <col min="6093" max="6093" width="8" style="4" customWidth="1"/>
    <col min="6094" max="6094" width="42.5703125" style="4" bestFit="1" customWidth="1"/>
    <col min="6095" max="6095" width="3.28515625" style="4" customWidth="1"/>
    <col min="6096" max="6096" width="8" style="4" customWidth="1"/>
    <col min="6097" max="6097" width="42.5703125" style="4" bestFit="1" customWidth="1"/>
    <col min="6098" max="6098" width="3.28515625" style="4" customWidth="1"/>
    <col min="6099" max="6099" width="8" style="4" customWidth="1"/>
    <col min="6100" max="6100" width="42.5703125" style="4" bestFit="1" customWidth="1"/>
    <col min="6101" max="6101" width="3.28515625" style="4" customWidth="1"/>
    <col min="6102" max="6102" width="8" style="4" customWidth="1"/>
    <col min="6103" max="6103" width="42.5703125" style="4" bestFit="1" customWidth="1"/>
    <col min="6104" max="6104" width="3.28515625" style="4" customWidth="1"/>
    <col min="6105" max="6105" width="8" style="4" customWidth="1"/>
    <col min="6106" max="6106" width="42.5703125" style="4" bestFit="1" customWidth="1"/>
    <col min="6107" max="6107" width="3.28515625" style="4" customWidth="1"/>
    <col min="6108" max="6108" width="8" style="4" customWidth="1"/>
    <col min="6109" max="6109" width="42.5703125" style="4" bestFit="1" customWidth="1"/>
    <col min="6110" max="6110" width="3.28515625" style="4" customWidth="1"/>
    <col min="6111" max="6111" width="8" style="4" customWidth="1"/>
    <col min="6112" max="6112" width="42.5703125" style="4" bestFit="1" customWidth="1"/>
    <col min="6113" max="6113" width="3.28515625" style="4" customWidth="1"/>
    <col min="6114" max="6114" width="8" style="4" customWidth="1"/>
    <col min="6115" max="6115" width="42.5703125" style="4" bestFit="1" customWidth="1"/>
    <col min="6116" max="6116" width="3.28515625" style="4" customWidth="1"/>
    <col min="6117" max="6117" width="8" style="4" customWidth="1"/>
    <col min="6118" max="6118" width="42.5703125" style="4" bestFit="1" customWidth="1"/>
    <col min="6119" max="6119" width="3.28515625" style="4" customWidth="1"/>
    <col min="6120" max="6120" width="8" style="4" customWidth="1"/>
    <col min="6121" max="6121" width="42.5703125" style="4" bestFit="1" customWidth="1"/>
    <col min="6122" max="6122" width="3.28515625" style="4" customWidth="1"/>
    <col min="6123" max="6123" width="8" style="4" customWidth="1"/>
    <col min="6124" max="6124" width="42.5703125" style="4" bestFit="1" customWidth="1"/>
    <col min="6125" max="6125" width="3.28515625" style="4" customWidth="1"/>
    <col min="6126" max="6126" width="8" style="4" customWidth="1"/>
    <col min="6127" max="6127" width="42.5703125" style="4" bestFit="1" customWidth="1"/>
    <col min="6128" max="6128" width="3.28515625" style="4" customWidth="1"/>
    <col min="6129" max="6129" width="8" style="4" customWidth="1"/>
    <col min="6130" max="6130" width="42.5703125" style="4" bestFit="1" customWidth="1"/>
    <col min="6131" max="6131" width="3.28515625" style="4" customWidth="1"/>
    <col min="6132" max="6132" width="8" style="4" customWidth="1"/>
    <col min="6133" max="6133" width="42.5703125" style="4" bestFit="1" customWidth="1"/>
    <col min="6134" max="6134" width="3.28515625" style="4" customWidth="1"/>
    <col min="6135" max="6135" width="8" style="4" customWidth="1"/>
    <col min="6136" max="6136" width="42.5703125" style="4" bestFit="1" customWidth="1"/>
    <col min="6137" max="6137" width="3.28515625" style="4" customWidth="1"/>
    <col min="6138" max="6138" width="8" style="4" customWidth="1"/>
    <col min="6139" max="6139" width="42.5703125" style="4" bestFit="1" customWidth="1"/>
    <col min="6140" max="6140" width="3.28515625" style="4" customWidth="1"/>
    <col min="6141" max="6141" width="8" style="4" customWidth="1"/>
    <col min="6142" max="6142" width="42.5703125" style="4" bestFit="1" customWidth="1"/>
    <col min="6143" max="6143" width="3.28515625" style="4" customWidth="1"/>
    <col min="6144" max="6144" width="8" style="4" customWidth="1"/>
    <col min="6145" max="6145" width="42.5703125" style="4" bestFit="1" customWidth="1"/>
    <col min="6146" max="6146" width="3.28515625" style="4" customWidth="1"/>
    <col min="6147" max="6147" width="8" style="4" customWidth="1"/>
    <col min="6148" max="6148" width="42.5703125" style="4" bestFit="1" customWidth="1"/>
    <col min="6149" max="6149" width="3.28515625" style="4" customWidth="1"/>
    <col min="6150" max="6150" width="8" style="4" customWidth="1"/>
    <col min="6151" max="6151" width="42.5703125" style="4" bestFit="1" customWidth="1"/>
    <col min="6152" max="6152" width="3.28515625" style="4" customWidth="1"/>
    <col min="6153" max="6153" width="8" style="4" customWidth="1"/>
    <col min="6154" max="6154" width="42.5703125" style="4" bestFit="1" customWidth="1"/>
    <col min="6155" max="6155" width="3.28515625" style="4" customWidth="1"/>
    <col min="6156" max="6156" width="8" style="4" customWidth="1"/>
    <col min="6157" max="6157" width="42.5703125" style="4" bestFit="1" customWidth="1"/>
    <col min="6158" max="6158" width="3.28515625" style="4" customWidth="1"/>
    <col min="6159" max="6159" width="8" style="4" customWidth="1"/>
    <col min="6160" max="6160" width="42.5703125" style="4" bestFit="1" customWidth="1"/>
    <col min="6161" max="6161" width="3.28515625" style="4" customWidth="1"/>
    <col min="6162" max="6162" width="8" style="4" customWidth="1"/>
    <col min="6163" max="6163" width="42.5703125" style="4" bestFit="1" customWidth="1"/>
    <col min="6164" max="6164" width="3.28515625" style="4" customWidth="1"/>
    <col min="6165" max="6165" width="8" style="4" customWidth="1"/>
    <col min="6166" max="6166" width="42.5703125" style="4" bestFit="1" customWidth="1"/>
    <col min="6167" max="6167" width="3.28515625" style="4" customWidth="1"/>
    <col min="6168" max="6168" width="8" style="4" customWidth="1"/>
    <col min="6169" max="6169" width="42.5703125" style="4" bestFit="1" customWidth="1"/>
    <col min="6170" max="6170" width="3.28515625" style="4" customWidth="1"/>
    <col min="6171" max="6171" width="8" style="4" customWidth="1"/>
    <col min="6172" max="6172" width="42.5703125" style="4" bestFit="1" customWidth="1"/>
    <col min="6173" max="6173" width="3.28515625" style="4" customWidth="1"/>
    <col min="6174" max="6174" width="8" style="4" customWidth="1"/>
    <col min="6175" max="6175" width="42.5703125" style="4" bestFit="1" customWidth="1"/>
    <col min="6176" max="6176" width="3.28515625" style="4" customWidth="1"/>
    <col min="6177" max="6177" width="8" style="4" customWidth="1"/>
    <col min="6178" max="6178" width="42.5703125" style="4" bestFit="1" customWidth="1"/>
    <col min="6179" max="6179" width="3.28515625" style="4" customWidth="1"/>
    <col min="6180" max="6180" width="8" style="4" customWidth="1"/>
    <col min="6181" max="6181" width="42.5703125" style="4" bestFit="1" customWidth="1"/>
    <col min="6182" max="6182" width="3.28515625" style="4" customWidth="1"/>
    <col min="6183" max="6183" width="8" style="4" customWidth="1"/>
    <col min="6184" max="6184" width="42.5703125" style="4" bestFit="1" customWidth="1"/>
    <col min="6185" max="6185" width="3.28515625" style="4" customWidth="1"/>
    <col min="6186" max="6186" width="8" style="4" customWidth="1"/>
    <col min="6187" max="6187" width="42.5703125" style="4" bestFit="1" customWidth="1"/>
    <col min="6188" max="6188" width="3.28515625" style="4" customWidth="1"/>
    <col min="6189" max="6189" width="8" style="4" customWidth="1"/>
    <col min="6190" max="6190" width="42.5703125" style="4" bestFit="1" customWidth="1"/>
    <col min="6191" max="6191" width="3.28515625" style="4" customWidth="1"/>
    <col min="6192" max="6192" width="8" style="4" customWidth="1"/>
    <col min="6193" max="6193" width="42.5703125" style="4" bestFit="1" customWidth="1"/>
    <col min="6194" max="6194" width="3.28515625" style="4" customWidth="1"/>
    <col min="6195" max="6195" width="8" style="4" customWidth="1"/>
    <col min="6196" max="6196" width="42.5703125" style="4" bestFit="1" customWidth="1"/>
    <col min="6197" max="6197" width="3.28515625" style="4" customWidth="1"/>
    <col min="6198" max="6198" width="8" style="4" customWidth="1"/>
    <col min="6199" max="6199" width="42.5703125" style="4" bestFit="1" customWidth="1"/>
    <col min="6200" max="6200" width="3.28515625" style="4" customWidth="1"/>
    <col min="6201" max="6201" width="8" style="4" customWidth="1"/>
    <col min="6202" max="6202" width="42.5703125" style="4" bestFit="1" customWidth="1"/>
    <col min="6203" max="6203" width="3.28515625" style="4" customWidth="1"/>
    <col min="6204" max="6204" width="8" style="4" customWidth="1"/>
    <col min="6205" max="6205" width="42.5703125" style="4" bestFit="1" customWidth="1"/>
    <col min="6206" max="6206" width="3.28515625" style="4" customWidth="1"/>
    <col min="6207" max="6207" width="8" style="4" customWidth="1"/>
    <col min="6208" max="6208" width="42.5703125" style="4" bestFit="1" customWidth="1"/>
    <col min="6209" max="6209" width="3.28515625" style="4" customWidth="1"/>
    <col min="6210" max="6210" width="8" style="4" customWidth="1"/>
    <col min="6211" max="6211" width="42.5703125" style="4" bestFit="1" customWidth="1"/>
    <col min="6212" max="6212" width="3.28515625" style="4" customWidth="1"/>
    <col min="6213" max="6213" width="8" style="4" customWidth="1"/>
    <col min="6214" max="6214" width="42.5703125" style="4" bestFit="1" customWidth="1"/>
    <col min="6215" max="6215" width="3.28515625" style="4" customWidth="1"/>
    <col min="6216" max="6216" width="8" style="4" customWidth="1"/>
    <col min="6217" max="6217" width="42.5703125" style="4" bestFit="1" customWidth="1"/>
    <col min="6218" max="6218" width="3.28515625" style="4" customWidth="1"/>
    <col min="6219" max="6219" width="8" style="4" customWidth="1"/>
    <col min="6220" max="6220" width="42.5703125" style="4" bestFit="1" customWidth="1"/>
    <col min="6221" max="6221" width="3.28515625" style="4" customWidth="1"/>
    <col min="6222" max="6222" width="8" style="4" customWidth="1"/>
    <col min="6223" max="6223" width="42.5703125" style="4" bestFit="1" customWidth="1"/>
    <col min="6224" max="6224" width="3.28515625" style="4" customWidth="1"/>
    <col min="6225" max="6225" width="8" style="4" customWidth="1"/>
    <col min="6226" max="6226" width="42.5703125" style="4" bestFit="1" customWidth="1"/>
    <col min="6227" max="6227" width="3.28515625" style="4" customWidth="1"/>
    <col min="6228" max="6228" width="8" style="4" customWidth="1"/>
    <col min="6229" max="6229" width="42.5703125" style="4" bestFit="1" customWidth="1"/>
    <col min="6230" max="6230" width="3.28515625" style="4" customWidth="1"/>
    <col min="6231" max="6231" width="8" style="4" customWidth="1"/>
    <col min="6232" max="6232" width="42.5703125" style="4" bestFit="1" customWidth="1"/>
    <col min="6233" max="6233" width="3.28515625" style="4" customWidth="1"/>
    <col min="6234" max="6234" width="8" style="4" customWidth="1"/>
    <col min="6235" max="6235" width="42.5703125" style="4" bestFit="1" customWidth="1"/>
    <col min="6236" max="6236" width="3.28515625" style="4" customWidth="1"/>
    <col min="6237" max="6237" width="8" style="4" customWidth="1"/>
    <col min="6238" max="6238" width="42.5703125" style="4" bestFit="1" customWidth="1"/>
    <col min="6239" max="6239" width="3.28515625" style="4" customWidth="1"/>
    <col min="6240" max="6240" width="8" style="4" customWidth="1"/>
    <col min="6241" max="6241" width="42.5703125" style="4" bestFit="1" customWidth="1"/>
    <col min="6242" max="6242" width="3.28515625" style="4" customWidth="1"/>
    <col min="6243" max="6243" width="8" style="4" customWidth="1"/>
    <col min="6244" max="6244" width="42.5703125" style="4" bestFit="1" customWidth="1"/>
    <col min="6245" max="6245" width="3.28515625" style="4" customWidth="1"/>
    <col min="6246" max="6246" width="8" style="4" customWidth="1"/>
    <col min="6247" max="6247" width="42.5703125" style="4" bestFit="1" customWidth="1"/>
    <col min="6248" max="6248" width="3.28515625" style="4" customWidth="1"/>
    <col min="6249" max="6249" width="8" style="4" customWidth="1"/>
    <col min="6250" max="6250" width="42.5703125" style="4" bestFit="1" customWidth="1"/>
    <col min="6251" max="6251" width="3.28515625" style="4" customWidth="1"/>
    <col min="6252" max="6252" width="8" style="4" customWidth="1"/>
    <col min="6253" max="6253" width="42.5703125" style="4" bestFit="1" customWidth="1"/>
    <col min="6254" max="6254" width="3.28515625" style="4" customWidth="1"/>
    <col min="6255" max="6255" width="8" style="4" customWidth="1"/>
    <col min="6256" max="6256" width="42.5703125" style="4" bestFit="1" customWidth="1"/>
    <col min="6257" max="6257" width="3.28515625" style="4" customWidth="1"/>
    <col min="6258" max="6258" width="8" style="4" customWidth="1"/>
    <col min="6259" max="6259" width="42.5703125" style="4" bestFit="1" customWidth="1"/>
    <col min="6260" max="6260" width="3.28515625" style="4" customWidth="1"/>
    <col min="6261" max="6261" width="8" style="4" customWidth="1"/>
    <col min="6262" max="6262" width="42.5703125" style="4" bestFit="1" customWidth="1"/>
    <col min="6263" max="6263" width="3.28515625" style="4" customWidth="1"/>
    <col min="6264" max="6264" width="8" style="4" customWidth="1"/>
    <col min="6265" max="6265" width="42.5703125" style="4" bestFit="1" customWidth="1"/>
    <col min="6266" max="6266" width="3.28515625" style="4" customWidth="1"/>
    <col min="6267" max="6267" width="8" style="4" customWidth="1"/>
    <col min="6268" max="6268" width="42.5703125" style="4" bestFit="1" customWidth="1"/>
    <col min="6269" max="6269" width="3.28515625" style="4" customWidth="1"/>
    <col min="6270" max="6270" width="8" style="4" customWidth="1"/>
    <col min="6271" max="6271" width="42.5703125" style="4" bestFit="1" customWidth="1"/>
    <col min="6272" max="6272" width="3.28515625" style="4" customWidth="1"/>
    <col min="6273" max="6273" width="8" style="4" customWidth="1"/>
    <col min="6274" max="6274" width="42.5703125" style="4" bestFit="1" customWidth="1"/>
    <col min="6275" max="6275" width="3.28515625" style="4" customWidth="1"/>
    <col min="6276" max="6276" width="8" style="4" customWidth="1"/>
    <col min="6277" max="6277" width="42.5703125" style="4" bestFit="1" customWidth="1"/>
    <col min="6278" max="6278" width="3.28515625" style="4" customWidth="1"/>
    <col min="6279" max="6279" width="8" style="4" customWidth="1"/>
    <col min="6280" max="6280" width="42.5703125" style="4" bestFit="1" customWidth="1"/>
    <col min="6281" max="6281" width="3.28515625" style="4" customWidth="1"/>
    <col min="6282" max="6282" width="8" style="4" customWidth="1"/>
    <col min="6283" max="6283" width="42.5703125" style="4" bestFit="1" customWidth="1"/>
    <col min="6284" max="6284" width="3.28515625" style="4" customWidth="1"/>
    <col min="6285" max="6285" width="8" style="4" customWidth="1"/>
    <col min="6286" max="6286" width="42.5703125" style="4" bestFit="1" customWidth="1"/>
    <col min="6287" max="6287" width="3.28515625" style="4" customWidth="1"/>
    <col min="6288" max="6288" width="8" style="4" customWidth="1"/>
    <col min="6289" max="6289" width="42.5703125" style="4" bestFit="1" customWidth="1"/>
    <col min="6290" max="6290" width="3.28515625" style="4" customWidth="1"/>
    <col min="6291" max="6291" width="8" style="4" customWidth="1"/>
    <col min="6292" max="6292" width="42.5703125" style="4" bestFit="1" customWidth="1"/>
    <col min="6293" max="6293" width="3.28515625" style="4" customWidth="1"/>
    <col min="6294" max="6294" width="8" style="4" customWidth="1"/>
    <col min="6295" max="6295" width="42.5703125" style="4" bestFit="1" customWidth="1"/>
    <col min="6296" max="6296" width="3.28515625" style="4" customWidth="1"/>
    <col min="6297" max="6297" width="8" style="4" customWidth="1"/>
    <col min="6298" max="6298" width="42.5703125" style="4" bestFit="1" customWidth="1"/>
    <col min="6299" max="6299" width="3.28515625" style="4" customWidth="1"/>
    <col min="6300" max="6300" width="8" style="4" customWidth="1"/>
    <col min="6301" max="6301" width="42.5703125" style="4" bestFit="1" customWidth="1"/>
    <col min="6302" max="6302" width="3.28515625" style="4" customWidth="1"/>
    <col min="6303" max="6303" width="8" style="4" customWidth="1"/>
    <col min="6304" max="6304" width="42.5703125" style="4" bestFit="1" customWidth="1"/>
    <col min="6305" max="6305" width="3.28515625" style="4" customWidth="1"/>
    <col min="6306" max="6306" width="8" style="4" customWidth="1"/>
    <col min="6307" max="6307" width="42.5703125" style="4" bestFit="1" customWidth="1"/>
    <col min="6308" max="6308" width="3.28515625" style="4" customWidth="1"/>
    <col min="6309" max="6309" width="8" style="4" customWidth="1"/>
    <col min="6310" max="6310" width="42.5703125" style="4" bestFit="1" customWidth="1"/>
    <col min="6311" max="6311" width="3.28515625" style="4" customWidth="1"/>
    <col min="6312" max="6312" width="8" style="4" customWidth="1"/>
    <col min="6313" max="6313" width="42.5703125" style="4" bestFit="1" customWidth="1"/>
    <col min="6314" max="6314" width="3.28515625" style="4" customWidth="1"/>
    <col min="6315" max="6315" width="8" style="4" customWidth="1"/>
    <col min="6316" max="6316" width="42.5703125" style="4" bestFit="1" customWidth="1"/>
    <col min="6317" max="6317" width="3.28515625" style="4" customWidth="1"/>
    <col min="6318" max="6318" width="8" style="4" customWidth="1"/>
    <col min="6319" max="6319" width="42.5703125" style="4" bestFit="1" customWidth="1"/>
    <col min="6320" max="6320" width="3.28515625" style="4" customWidth="1"/>
    <col min="6321" max="6321" width="8" style="4" customWidth="1"/>
    <col min="6322" max="6322" width="42.5703125" style="4" bestFit="1" customWidth="1"/>
    <col min="6323" max="6323" width="3.28515625" style="4" customWidth="1"/>
    <col min="6324" max="6324" width="8" style="4" customWidth="1"/>
    <col min="6325" max="6325" width="42.5703125" style="4" bestFit="1" customWidth="1"/>
    <col min="6326" max="6326" width="3.28515625" style="4" customWidth="1"/>
    <col min="6327" max="6327" width="8" style="4" customWidth="1"/>
    <col min="6328" max="6328" width="42.5703125" style="4" bestFit="1" customWidth="1"/>
    <col min="6329" max="6329" width="3.28515625" style="4" customWidth="1"/>
    <col min="6330" max="6330" width="8" style="4" customWidth="1"/>
    <col min="6331" max="6331" width="42.5703125" style="4" bestFit="1" customWidth="1"/>
    <col min="6332" max="6332" width="3.28515625" style="4" customWidth="1"/>
    <col min="6333" max="6333" width="8" style="4" customWidth="1"/>
    <col min="6334" max="6334" width="42.5703125" style="4" bestFit="1" customWidth="1"/>
    <col min="6335" max="6335" width="3.28515625" style="4" customWidth="1"/>
    <col min="6336" max="6336" width="8" style="4" customWidth="1"/>
    <col min="6337" max="6337" width="42.5703125" style="4" bestFit="1" customWidth="1"/>
    <col min="6338" max="6338" width="3.28515625" style="4" customWidth="1"/>
    <col min="6339" max="6339" width="8" style="4" customWidth="1"/>
    <col min="6340" max="6340" width="42.5703125" style="4" bestFit="1" customWidth="1"/>
    <col min="6341" max="6341" width="3.28515625" style="4" customWidth="1"/>
    <col min="6342" max="6342" width="8" style="4" customWidth="1"/>
    <col min="6343" max="6343" width="42.5703125" style="4" bestFit="1" customWidth="1"/>
    <col min="6344" max="6344" width="3.28515625" style="4" customWidth="1"/>
    <col min="6345" max="6345" width="8" style="4" customWidth="1"/>
    <col min="6346" max="6346" width="42.5703125" style="4" bestFit="1" customWidth="1"/>
    <col min="6347" max="6347" width="3.28515625" style="4" customWidth="1"/>
    <col min="6348" max="6348" width="8" style="4" customWidth="1"/>
    <col min="6349" max="6349" width="42.5703125" style="4" bestFit="1" customWidth="1"/>
    <col min="6350" max="6350" width="3.28515625" style="4" customWidth="1"/>
    <col min="6351" max="6351" width="8" style="4" customWidth="1"/>
    <col min="6352" max="6352" width="42.5703125" style="4" bestFit="1" customWidth="1"/>
    <col min="6353" max="6353" width="3.28515625" style="4" customWidth="1"/>
    <col min="6354" max="6354" width="8" style="4" customWidth="1"/>
    <col min="6355" max="6355" width="42.5703125" style="4" bestFit="1" customWidth="1"/>
    <col min="6356" max="6356" width="3.28515625" style="4" customWidth="1"/>
    <col min="6357" max="6357" width="8" style="4" customWidth="1"/>
    <col min="6358" max="6358" width="42.5703125" style="4" bestFit="1" customWidth="1"/>
    <col min="6359" max="6359" width="3.28515625" style="4" customWidth="1"/>
    <col min="6360" max="6360" width="8" style="4" customWidth="1"/>
    <col min="6361" max="6361" width="42.5703125" style="4" bestFit="1" customWidth="1"/>
    <col min="6362" max="6362" width="3.28515625" style="4" customWidth="1"/>
    <col min="6363" max="6363" width="8" style="4" customWidth="1"/>
    <col min="6364" max="6364" width="42.5703125" style="4" bestFit="1" customWidth="1"/>
    <col min="6365" max="6365" width="3.28515625" style="4" customWidth="1"/>
    <col min="6366" max="6366" width="8" style="4" customWidth="1"/>
    <col min="6367" max="6367" width="42.5703125" style="4" bestFit="1" customWidth="1"/>
    <col min="6368" max="6368" width="3.28515625" style="4" customWidth="1"/>
    <col min="6369" max="6369" width="8" style="4" customWidth="1"/>
    <col min="6370" max="6370" width="42.5703125" style="4" bestFit="1" customWidth="1"/>
    <col min="6371" max="6371" width="3.28515625" style="4" customWidth="1"/>
    <col min="6372" max="6372" width="8" style="4" customWidth="1"/>
    <col min="6373" max="6373" width="42.5703125" style="4" bestFit="1" customWidth="1"/>
    <col min="6374" max="6374" width="3.28515625" style="4" customWidth="1"/>
    <col min="6375" max="6375" width="8" style="4" customWidth="1"/>
    <col min="6376" max="6376" width="42.5703125" style="4" bestFit="1" customWidth="1"/>
    <col min="6377" max="6377" width="3.28515625" style="4" customWidth="1"/>
    <col min="6378" max="6378" width="8" style="4" customWidth="1"/>
    <col min="6379" max="6379" width="42.5703125" style="4" bestFit="1" customWidth="1"/>
    <col min="6380" max="6380" width="3.28515625" style="4" customWidth="1"/>
    <col min="6381" max="6381" width="8" style="4" customWidth="1"/>
    <col min="6382" max="6382" width="42.5703125" style="4" bestFit="1" customWidth="1"/>
    <col min="6383" max="6383" width="3.28515625" style="4" customWidth="1"/>
    <col min="6384" max="6384" width="8" style="4" customWidth="1"/>
    <col min="6385" max="6385" width="42.5703125" style="4" bestFit="1" customWidth="1"/>
    <col min="6386" max="6386" width="3.28515625" style="4" customWidth="1"/>
    <col min="6387" max="6387" width="8" style="4" customWidth="1"/>
    <col min="6388" max="6388" width="42.5703125" style="4" bestFit="1" customWidth="1"/>
    <col min="6389" max="6389" width="3.28515625" style="4" customWidth="1"/>
    <col min="6390" max="6390" width="8" style="4" customWidth="1"/>
    <col min="6391" max="6391" width="42.5703125" style="4" bestFit="1" customWidth="1"/>
    <col min="6392" max="6392" width="3.28515625" style="4" customWidth="1"/>
    <col min="6393" max="6393" width="8" style="4" customWidth="1"/>
    <col min="6394" max="6394" width="42.5703125" style="4" bestFit="1" customWidth="1"/>
    <col min="6395" max="6395" width="3.28515625" style="4" customWidth="1"/>
    <col min="6396" max="6396" width="8" style="4" customWidth="1"/>
    <col min="6397" max="6397" width="42.5703125" style="4" bestFit="1" customWidth="1"/>
    <col min="6398" max="6398" width="3.28515625" style="4" customWidth="1"/>
    <col min="6399" max="6399" width="8" style="4" customWidth="1"/>
    <col min="6400" max="6400" width="42.5703125" style="4" bestFit="1" customWidth="1"/>
    <col min="6401" max="6401" width="3.28515625" style="4" customWidth="1"/>
    <col min="6402" max="6402" width="8" style="4" customWidth="1"/>
    <col min="6403" max="6403" width="42.5703125" style="4" bestFit="1" customWidth="1"/>
    <col min="6404" max="6404" width="3.28515625" style="4" customWidth="1"/>
    <col min="6405" max="6405" width="8" style="4" customWidth="1"/>
    <col min="6406" max="6406" width="42.5703125" style="4" bestFit="1" customWidth="1"/>
    <col min="6407" max="6407" width="3.28515625" style="4" customWidth="1"/>
    <col min="6408" max="6408" width="8" style="4" customWidth="1"/>
    <col min="6409" max="6409" width="42.5703125" style="4" bestFit="1" customWidth="1"/>
    <col min="6410" max="6410" width="3.28515625" style="4" customWidth="1"/>
    <col min="6411" max="6411" width="8" style="4" customWidth="1"/>
    <col min="6412" max="6412" width="42.5703125" style="4" bestFit="1" customWidth="1"/>
    <col min="6413" max="6413" width="3.28515625" style="4" customWidth="1"/>
    <col min="6414" max="6414" width="8" style="4" customWidth="1"/>
    <col min="6415" max="6415" width="42.5703125" style="4" bestFit="1" customWidth="1"/>
    <col min="6416" max="6416" width="3.28515625" style="4" customWidth="1"/>
    <col min="6417" max="6417" width="8" style="4" customWidth="1"/>
    <col min="6418" max="6418" width="42.5703125" style="4" bestFit="1" customWidth="1"/>
    <col min="6419" max="6419" width="3.28515625" style="4" customWidth="1"/>
    <col min="6420" max="6420" width="8" style="4" customWidth="1"/>
    <col min="6421" max="6421" width="42.5703125" style="4" bestFit="1" customWidth="1"/>
    <col min="6422" max="6422" width="3.28515625" style="4" customWidth="1"/>
    <col min="6423" max="6423" width="8" style="4" customWidth="1"/>
    <col min="6424" max="6424" width="42.5703125" style="4" bestFit="1" customWidth="1"/>
    <col min="6425" max="6425" width="3.28515625" style="4" customWidth="1"/>
    <col min="6426" max="6426" width="8" style="4" customWidth="1"/>
    <col min="6427" max="6427" width="42.5703125" style="4" bestFit="1" customWidth="1"/>
    <col min="6428" max="6428" width="3.28515625" style="4" customWidth="1"/>
    <col min="6429" max="6429" width="8" style="4" customWidth="1"/>
    <col min="6430" max="6430" width="42.5703125" style="4" bestFit="1" customWidth="1"/>
    <col min="6431" max="6431" width="3.28515625" style="4" customWidth="1"/>
    <col min="6432" max="6432" width="8" style="4" customWidth="1"/>
    <col min="6433" max="6433" width="42.5703125" style="4" bestFit="1" customWidth="1"/>
    <col min="6434" max="6434" width="3.28515625" style="4" customWidth="1"/>
    <col min="6435" max="6435" width="8" style="4" customWidth="1"/>
    <col min="6436" max="6436" width="42.5703125" style="4" bestFit="1" customWidth="1"/>
    <col min="6437" max="6437" width="3.28515625" style="4" customWidth="1"/>
    <col min="6438" max="6438" width="8" style="4" customWidth="1"/>
    <col min="6439" max="6439" width="42.5703125" style="4" bestFit="1" customWidth="1"/>
    <col min="6440" max="6440" width="3.28515625" style="4" customWidth="1"/>
    <col min="6441" max="6441" width="8" style="4" customWidth="1"/>
    <col min="6442" max="6442" width="42.5703125" style="4" bestFit="1" customWidth="1"/>
    <col min="6443" max="6443" width="3.28515625" style="4" customWidth="1"/>
    <col min="6444" max="6444" width="8" style="4" customWidth="1"/>
    <col min="6445" max="6445" width="42.5703125" style="4" bestFit="1" customWidth="1"/>
    <col min="6446" max="6446" width="3.28515625" style="4" customWidth="1"/>
    <col min="6447" max="6447" width="8" style="4" customWidth="1"/>
    <col min="6448" max="6448" width="42.5703125" style="4" bestFit="1" customWidth="1"/>
    <col min="6449" max="6449" width="3.28515625" style="4" customWidth="1"/>
    <col min="6450" max="6450" width="8" style="4" customWidth="1"/>
    <col min="6451" max="6451" width="42.5703125" style="4" bestFit="1" customWidth="1"/>
    <col min="6452" max="6452" width="3.28515625" style="4" customWidth="1"/>
    <col min="6453" max="6453" width="8" style="4" customWidth="1"/>
    <col min="6454" max="6454" width="42.5703125" style="4" bestFit="1" customWidth="1"/>
    <col min="6455" max="6455" width="3.28515625" style="4" customWidth="1"/>
    <col min="6456" max="6456" width="8" style="4" customWidth="1"/>
    <col min="6457" max="6457" width="42.5703125" style="4" bestFit="1" customWidth="1"/>
    <col min="6458" max="6458" width="3.28515625" style="4" customWidth="1"/>
    <col min="6459" max="6459" width="8" style="4" customWidth="1"/>
    <col min="6460" max="6460" width="42.5703125" style="4" bestFit="1" customWidth="1"/>
    <col min="6461" max="6461" width="3.28515625" style="4" customWidth="1"/>
    <col min="6462" max="6462" width="8" style="4" customWidth="1"/>
    <col min="6463" max="6463" width="42.5703125" style="4" bestFit="1" customWidth="1"/>
    <col min="6464" max="6464" width="3.28515625" style="4" customWidth="1"/>
    <col min="6465" max="6465" width="8" style="4" customWidth="1"/>
    <col min="6466" max="6466" width="42.5703125" style="4" bestFit="1" customWidth="1"/>
    <col min="6467" max="6467" width="3.28515625" style="4" customWidth="1"/>
    <col min="6468" max="6468" width="8" style="4" customWidth="1"/>
    <col min="6469" max="6469" width="42.5703125" style="4" bestFit="1" customWidth="1"/>
    <col min="6470" max="6470" width="3.28515625" style="4" customWidth="1"/>
    <col min="6471" max="6471" width="8" style="4" customWidth="1"/>
    <col min="6472" max="6472" width="42.5703125" style="4" bestFit="1" customWidth="1"/>
    <col min="6473" max="6473" width="3.28515625" style="4" customWidth="1"/>
    <col min="6474" max="6474" width="8" style="4" customWidth="1"/>
    <col min="6475" max="6475" width="42.5703125" style="4" bestFit="1" customWidth="1"/>
    <col min="6476" max="6476" width="3.28515625" style="4" customWidth="1"/>
    <col min="6477" max="6477" width="8" style="4" customWidth="1"/>
    <col min="6478" max="6478" width="42.5703125" style="4" bestFit="1" customWidth="1"/>
    <col min="6479" max="6479" width="3.28515625" style="4" customWidth="1"/>
    <col min="6480" max="6480" width="8" style="4" customWidth="1"/>
    <col min="6481" max="6481" width="42.5703125" style="4" bestFit="1" customWidth="1"/>
    <col min="6482" max="6482" width="3.28515625" style="4" customWidth="1"/>
    <col min="6483" max="6483" width="8" style="4" customWidth="1"/>
    <col min="6484" max="6484" width="42.5703125" style="4" bestFit="1" customWidth="1"/>
    <col min="6485" max="6485" width="3.28515625" style="4" customWidth="1"/>
    <col min="6486" max="6486" width="8" style="4" customWidth="1"/>
    <col min="6487" max="6487" width="42.5703125" style="4" bestFit="1" customWidth="1"/>
    <col min="6488" max="6488" width="3.28515625" style="4" customWidth="1"/>
    <col min="6489" max="6489" width="8" style="4" customWidth="1"/>
    <col min="6490" max="6490" width="42.5703125" style="4" bestFit="1" customWidth="1"/>
    <col min="6491" max="6491" width="3.28515625" style="4" customWidth="1"/>
    <col min="6492" max="6492" width="8" style="4" customWidth="1"/>
    <col min="6493" max="6493" width="42.5703125" style="4" bestFit="1" customWidth="1"/>
    <col min="6494" max="6494" width="3.28515625" style="4" customWidth="1"/>
    <col min="6495" max="6495" width="8" style="4" customWidth="1"/>
    <col min="6496" max="6496" width="42.5703125" style="4" bestFit="1" customWidth="1"/>
    <col min="6497" max="6497" width="3.28515625" style="4" customWidth="1"/>
    <col min="6498" max="6498" width="8" style="4" customWidth="1"/>
    <col min="6499" max="6499" width="42.5703125" style="4" bestFit="1" customWidth="1"/>
    <col min="6500" max="6500" width="3.28515625" style="4" customWidth="1"/>
    <col min="6501" max="6501" width="8" style="4" customWidth="1"/>
    <col min="6502" max="6502" width="42.5703125" style="4" bestFit="1" customWidth="1"/>
    <col min="6503" max="6503" width="3.28515625" style="4" customWidth="1"/>
    <col min="6504" max="6504" width="8" style="4" customWidth="1"/>
    <col min="6505" max="6505" width="42.5703125" style="4" bestFit="1" customWidth="1"/>
    <col min="6506" max="6506" width="3.28515625" style="4" customWidth="1"/>
    <col min="6507" max="6507" width="8" style="4" customWidth="1"/>
    <col min="6508" max="6508" width="42.5703125" style="4" bestFit="1" customWidth="1"/>
    <col min="6509" max="6509" width="3.28515625" style="4" customWidth="1"/>
    <col min="6510" max="6510" width="8" style="4" customWidth="1"/>
    <col min="6511" max="6511" width="42.5703125" style="4" bestFit="1" customWidth="1"/>
    <col min="6512" max="6512" width="3.28515625" style="4" customWidth="1"/>
    <col min="6513" max="6513" width="8" style="4" customWidth="1"/>
    <col min="6514" max="6514" width="42.5703125" style="4" bestFit="1" customWidth="1"/>
    <col min="6515" max="6515" width="3.28515625" style="4" customWidth="1"/>
    <col min="6516" max="6516" width="8" style="4" customWidth="1"/>
    <col min="6517" max="6517" width="42.5703125" style="4" bestFit="1" customWidth="1"/>
    <col min="6518" max="6518" width="3.28515625" style="4" customWidth="1"/>
    <col min="6519" max="6519" width="8" style="4" customWidth="1"/>
    <col min="6520" max="6520" width="42.5703125" style="4" bestFit="1" customWidth="1"/>
    <col min="6521" max="6521" width="3.28515625" style="4" customWidth="1"/>
    <col min="6522" max="6522" width="8" style="4" customWidth="1"/>
    <col min="6523" max="6523" width="42.5703125" style="4" bestFit="1" customWidth="1"/>
    <col min="6524" max="6524" width="3.28515625" style="4" customWidth="1"/>
    <col min="6525" max="6525" width="8" style="4" customWidth="1"/>
    <col min="6526" max="6526" width="42.5703125" style="4" bestFit="1" customWidth="1"/>
    <col min="6527" max="6527" width="3.28515625" style="4" customWidth="1"/>
    <col min="6528" max="6528" width="8" style="4" customWidth="1"/>
    <col min="6529" max="6529" width="42.5703125" style="4" bestFit="1" customWidth="1"/>
    <col min="6530" max="6530" width="3.28515625" style="4" customWidth="1"/>
    <col min="6531" max="6531" width="8" style="4" customWidth="1"/>
    <col min="6532" max="6532" width="42.5703125" style="4" bestFit="1" customWidth="1"/>
    <col min="6533" max="6533" width="3.28515625" style="4" customWidth="1"/>
    <col min="6534" max="6534" width="8" style="4" customWidth="1"/>
    <col min="6535" max="6535" width="42.5703125" style="4" bestFit="1" customWidth="1"/>
    <col min="6536" max="6536" width="3.28515625" style="4" customWidth="1"/>
    <col min="6537" max="6537" width="8" style="4" customWidth="1"/>
    <col min="6538" max="6538" width="42.5703125" style="4" bestFit="1" customWidth="1"/>
    <col min="6539" max="6539" width="3.28515625" style="4" customWidth="1"/>
    <col min="6540" max="6540" width="8" style="4" customWidth="1"/>
    <col min="6541" max="6541" width="42.5703125" style="4" bestFit="1" customWidth="1"/>
    <col min="6542" max="6542" width="3.28515625" style="4" customWidth="1"/>
    <col min="6543" max="6543" width="8" style="4" customWidth="1"/>
    <col min="6544" max="6544" width="42.5703125" style="4" bestFit="1" customWidth="1"/>
    <col min="6545" max="6545" width="3.28515625" style="4" customWidth="1"/>
    <col min="6546" max="6546" width="8" style="4" customWidth="1"/>
    <col min="6547" max="6547" width="42.5703125" style="4" bestFit="1" customWidth="1"/>
    <col min="6548" max="6548" width="3.28515625" style="4" customWidth="1"/>
    <col min="6549" max="6549" width="8" style="4" customWidth="1"/>
    <col min="6550" max="6550" width="42.5703125" style="4" bestFit="1" customWidth="1"/>
    <col min="6551" max="6551" width="3.28515625" style="4" customWidth="1"/>
    <col min="6552" max="6552" width="8" style="4" customWidth="1"/>
    <col min="6553" max="6553" width="42.5703125" style="4" bestFit="1" customWidth="1"/>
    <col min="6554" max="6554" width="3.28515625" style="4" customWidth="1"/>
    <col min="6555" max="6555" width="8" style="4" customWidth="1"/>
    <col min="6556" max="6556" width="42.5703125" style="4" bestFit="1" customWidth="1"/>
    <col min="6557" max="6557" width="3.28515625" style="4" customWidth="1"/>
    <col min="6558" max="6558" width="8" style="4" customWidth="1"/>
    <col min="6559" max="6559" width="42.5703125" style="4" bestFit="1" customWidth="1"/>
    <col min="6560" max="6560" width="3.28515625" style="4" customWidth="1"/>
    <col min="6561" max="6561" width="8" style="4" customWidth="1"/>
    <col min="6562" max="6562" width="42.5703125" style="4" bestFit="1" customWidth="1"/>
    <col min="6563" max="6563" width="3.28515625" style="4" customWidth="1"/>
    <col min="6564" max="6564" width="8" style="4" customWidth="1"/>
    <col min="6565" max="6565" width="42.5703125" style="4" bestFit="1" customWidth="1"/>
    <col min="6566" max="6566" width="3.28515625" style="4" customWidth="1"/>
    <col min="6567" max="6567" width="8" style="4" customWidth="1"/>
    <col min="6568" max="6568" width="42.5703125" style="4" bestFit="1" customWidth="1"/>
    <col min="6569" max="6569" width="3.28515625" style="4" customWidth="1"/>
    <col min="6570" max="6570" width="8" style="4" customWidth="1"/>
    <col min="6571" max="6571" width="42.5703125" style="4" bestFit="1" customWidth="1"/>
    <col min="6572" max="6572" width="3.28515625" style="4" customWidth="1"/>
    <col min="6573" max="6573" width="8" style="4" customWidth="1"/>
    <col min="6574" max="6574" width="42.5703125" style="4" bestFit="1" customWidth="1"/>
    <col min="6575" max="6575" width="3.28515625" style="4" customWidth="1"/>
    <col min="6576" max="6576" width="8" style="4" customWidth="1"/>
    <col min="6577" max="6577" width="42.5703125" style="4" bestFit="1" customWidth="1"/>
    <col min="6578" max="6578" width="3.28515625" style="4" customWidth="1"/>
    <col min="6579" max="6579" width="8" style="4" customWidth="1"/>
    <col min="6580" max="6580" width="42.5703125" style="4" bestFit="1" customWidth="1"/>
    <col min="6581" max="6581" width="3.28515625" style="4" customWidth="1"/>
    <col min="6582" max="6582" width="8" style="4" customWidth="1"/>
    <col min="6583" max="6583" width="42.5703125" style="4" bestFit="1" customWidth="1"/>
    <col min="6584" max="6584" width="3.28515625" style="4" customWidth="1"/>
    <col min="6585" max="6585" width="8" style="4" customWidth="1"/>
    <col min="6586" max="6586" width="42.5703125" style="4" bestFit="1" customWidth="1"/>
    <col min="6587" max="6587" width="3.28515625" style="4" customWidth="1"/>
    <col min="6588" max="6588" width="8" style="4" customWidth="1"/>
    <col min="6589" max="6589" width="42.5703125" style="4" bestFit="1" customWidth="1"/>
    <col min="6590" max="6590" width="3.28515625" style="4" customWidth="1"/>
    <col min="6591" max="6591" width="8" style="4" customWidth="1"/>
    <col min="6592" max="6592" width="42.5703125" style="4" bestFit="1" customWidth="1"/>
    <col min="6593" max="6593" width="3.28515625" style="4" customWidth="1"/>
    <col min="6594" max="6594" width="8" style="4" customWidth="1"/>
    <col min="6595" max="6595" width="42.5703125" style="4" bestFit="1" customWidth="1"/>
    <col min="6596" max="6596" width="3.28515625" style="4" customWidth="1"/>
    <col min="6597" max="6597" width="8" style="4" customWidth="1"/>
    <col min="6598" max="6598" width="42.5703125" style="4" bestFit="1" customWidth="1"/>
    <col min="6599" max="6599" width="3.28515625" style="4" customWidth="1"/>
    <col min="6600" max="6600" width="8" style="4" customWidth="1"/>
    <col min="6601" max="6601" width="42.5703125" style="4" bestFit="1" customWidth="1"/>
    <col min="6602" max="6602" width="3.28515625" style="4" customWidth="1"/>
    <col min="6603" max="6603" width="8" style="4" customWidth="1"/>
    <col min="6604" max="6604" width="42.5703125" style="4" bestFit="1" customWidth="1"/>
    <col min="6605" max="6605" width="3.28515625" style="4" customWidth="1"/>
    <col min="6606" max="6606" width="8" style="4" customWidth="1"/>
    <col min="6607" max="6607" width="42.5703125" style="4" bestFit="1" customWidth="1"/>
    <col min="6608" max="6608" width="3.28515625" style="4" customWidth="1"/>
    <col min="6609" max="6609" width="8" style="4" customWidth="1"/>
    <col min="6610" max="6610" width="42.5703125" style="4" bestFit="1" customWidth="1"/>
    <col min="6611" max="6611" width="3.28515625" style="4" customWidth="1"/>
    <col min="6612" max="6612" width="8" style="4" customWidth="1"/>
    <col min="6613" max="6613" width="42.5703125" style="4" bestFit="1" customWidth="1"/>
    <col min="6614" max="6614" width="3.28515625" style="4" customWidth="1"/>
    <col min="6615" max="6615" width="8" style="4" customWidth="1"/>
    <col min="6616" max="6616" width="42.5703125" style="4" bestFit="1" customWidth="1"/>
    <col min="6617" max="6617" width="3.28515625" style="4" customWidth="1"/>
    <col min="6618" max="6618" width="8" style="4" customWidth="1"/>
    <col min="6619" max="6619" width="42.5703125" style="4" bestFit="1" customWidth="1"/>
    <col min="6620" max="6620" width="3.28515625" style="4" customWidth="1"/>
    <col min="6621" max="6621" width="8" style="4" customWidth="1"/>
    <col min="6622" max="6622" width="42.5703125" style="4" bestFit="1" customWidth="1"/>
    <col min="6623" max="6623" width="3.28515625" style="4" customWidth="1"/>
    <col min="6624" max="6624" width="8" style="4" customWidth="1"/>
    <col min="6625" max="6625" width="42.5703125" style="4" bestFit="1" customWidth="1"/>
    <col min="6626" max="6626" width="3.28515625" style="4" customWidth="1"/>
    <col min="6627" max="6627" width="8" style="4" customWidth="1"/>
    <col min="6628" max="6628" width="42.5703125" style="4" bestFit="1" customWidth="1"/>
    <col min="6629" max="6629" width="3.28515625" style="4" customWidth="1"/>
    <col min="6630" max="6630" width="8" style="4" customWidth="1"/>
    <col min="6631" max="6631" width="42.5703125" style="4" bestFit="1" customWidth="1"/>
    <col min="6632" max="6632" width="3.28515625" style="4" customWidth="1"/>
    <col min="6633" max="6633" width="8" style="4" customWidth="1"/>
    <col min="6634" max="6634" width="42.5703125" style="4" bestFit="1" customWidth="1"/>
    <col min="6635" max="6635" width="3.28515625" style="4" customWidth="1"/>
    <col min="6636" max="6636" width="8" style="4" customWidth="1"/>
    <col min="6637" max="6637" width="42.5703125" style="4" bestFit="1" customWidth="1"/>
    <col min="6638" max="6638" width="3.28515625" style="4" customWidth="1"/>
    <col min="6639" max="6639" width="8" style="4" customWidth="1"/>
    <col min="6640" max="6640" width="42.5703125" style="4" bestFit="1" customWidth="1"/>
    <col min="6641" max="6641" width="3.28515625" style="4" customWidth="1"/>
    <col min="6642" max="6642" width="8" style="4" customWidth="1"/>
    <col min="6643" max="6643" width="42.5703125" style="4" bestFit="1" customWidth="1"/>
    <col min="6644" max="6644" width="3.28515625" style="4" customWidth="1"/>
    <col min="6645" max="6645" width="8" style="4" customWidth="1"/>
    <col min="6646" max="6646" width="42.5703125" style="4" bestFit="1" customWidth="1"/>
    <col min="6647" max="6647" width="3.28515625" style="4" customWidth="1"/>
    <col min="6648" max="6648" width="8" style="4" customWidth="1"/>
    <col min="6649" max="6649" width="42.5703125" style="4" bestFit="1" customWidth="1"/>
    <col min="6650" max="6650" width="3.28515625" style="4" customWidth="1"/>
    <col min="6651" max="6651" width="8" style="4" customWidth="1"/>
    <col min="6652" max="6652" width="42.5703125" style="4" bestFit="1" customWidth="1"/>
    <col min="6653" max="6653" width="3.28515625" style="4" customWidth="1"/>
    <col min="6654" max="6654" width="8" style="4" customWidth="1"/>
    <col min="6655" max="6655" width="42.5703125" style="4" bestFit="1" customWidth="1"/>
    <col min="6656" max="6656" width="3.28515625" style="4" customWidth="1"/>
    <col min="6657" max="6657" width="8" style="4" customWidth="1"/>
    <col min="6658" max="6658" width="42.5703125" style="4" bestFit="1" customWidth="1"/>
    <col min="6659" max="6659" width="3.28515625" style="4" customWidth="1"/>
    <col min="6660" max="6660" width="8" style="4" customWidth="1"/>
    <col min="6661" max="6661" width="42.5703125" style="4" bestFit="1" customWidth="1"/>
    <col min="6662" max="6662" width="3.28515625" style="4" customWidth="1"/>
    <col min="6663" max="6663" width="8" style="4" customWidth="1"/>
    <col min="6664" max="6664" width="42.5703125" style="4" bestFit="1" customWidth="1"/>
    <col min="6665" max="6665" width="3.28515625" style="4" customWidth="1"/>
    <col min="6666" max="6666" width="8" style="4" customWidth="1"/>
    <col min="6667" max="6667" width="42.5703125" style="4" bestFit="1" customWidth="1"/>
    <col min="6668" max="6668" width="3.28515625" style="4" customWidth="1"/>
    <col min="6669" max="6669" width="8" style="4" customWidth="1"/>
    <col min="6670" max="6670" width="42.5703125" style="4" bestFit="1" customWidth="1"/>
    <col min="6671" max="6671" width="3.28515625" style="4" customWidth="1"/>
    <col min="6672" max="6672" width="8" style="4" customWidth="1"/>
    <col min="6673" max="6673" width="42.5703125" style="4" bestFit="1" customWidth="1"/>
    <col min="6674" max="6674" width="3.28515625" style="4" customWidth="1"/>
    <col min="6675" max="6675" width="8" style="4" customWidth="1"/>
    <col min="6676" max="6676" width="42.5703125" style="4" bestFit="1" customWidth="1"/>
    <col min="6677" max="6677" width="3.28515625" style="4" customWidth="1"/>
    <col min="6678" max="6678" width="8" style="4" customWidth="1"/>
    <col min="6679" max="6679" width="42.5703125" style="4" bestFit="1" customWidth="1"/>
    <col min="6680" max="6680" width="3.28515625" style="4" customWidth="1"/>
    <col min="6681" max="6681" width="8" style="4" customWidth="1"/>
    <col min="6682" max="6682" width="42.5703125" style="4" bestFit="1" customWidth="1"/>
    <col min="6683" max="6683" width="3.28515625" style="4" customWidth="1"/>
    <col min="6684" max="6684" width="8" style="4" customWidth="1"/>
    <col min="6685" max="6685" width="42.5703125" style="4" bestFit="1" customWidth="1"/>
    <col min="6686" max="6686" width="3.28515625" style="4" customWidth="1"/>
    <col min="6687" max="6687" width="8" style="4" customWidth="1"/>
    <col min="6688" max="6688" width="42.5703125" style="4" bestFit="1" customWidth="1"/>
    <col min="6689" max="6689" width="3.28515625" style="4" customWidth="1"/>
    <col min="6690" max="6690" width="8" style="4" customWidth="1"/>
    <col min="6691" max="6691" width="42.5703125" style="4" bestFit="1" customWidth="1"/>
    <col min="6692" max="6692" width="3.28515625" style="4" customWidth="1"/>
    <col min="6693" max="6693" width="8" style="4" customWidth="1"/>
    <col min="6694" max="6694" width="42.5703125" style="4" bestFit="1" customWidth="1"/>
    <col min="6695" max="6695" width="3.28515625" style="4" customWidth="1"/>
    <col min="6696" max="6696" width="8" style="4" customWidth="1"/>
    <col min="6697" max="6697" width="42.5703125" style="4" bestFit="1" customWidth="1"/>
    <col min="6698" max="6698" width="3.28515625" style="4" customWidth="1"/>
    <col min="6699" max="6699" width="8" style="4" customWidth="1"/>
    <col min="6700" max="6700" width="42.5703125" style="4" bestFit="1" customWidth="1"/>
    <col min="6701" max="6701" width="3.28515625" style="4" customWidth="1"/>
    <col min="6702" max="6702" width="8" style="4" customWidth="1"/>
    <col min="6703" max="6703" width="42.5703125" style="4" bestFit="1" customWidth="1"/>
    <col min="6704" max="6704" width="3.28515625" style="4" customWidth="1"/>
    <col min="6705" max="6705" width="8" style="4" customWidth="1"/>
    <col min="6706" max="6706" width="42.5703125" style="4" bestFit="1" customWidth="1"/>
    <col min="6707" max="6707" width="3.28515625" style="4" customWidth="1"/>
    <col min="6708" max="6708" width="8" style="4" customWidth="1"/>
    <col min="6709" max="6709" width="42.5703125" style="4" bestFit="1" customWidth="1"/>
    <col min="6710" max="6710" width="3.28515625" style="4" customWidth="1"/>
    <col min="6711" max="6711" width="8" style="4" customWidth="1"/>
    <col min="6712" max="6712" width="42.5703125" style="4" bestFit="1" customWidth="1"/>
    <col min="6713" max="6713" width="3.28515625" style="4" customWidth="1"/>
    <col min="6714" max="6714" width="8" style="4" customWidth="1"/>
    <col min="6715" max="6715" width="42.5703125" style="4" bestFit="1" customWidth="1"/>
    <col min="6716" max="6716" width="3.28515625" style="4" customWidth="1"/>
    <col min="6717" max="6717" width="8" style="4" customWidth="1"/>
    <col min="6718" max="6718" width="42.5703125" style="4" bestFit="1" customWidth="1"/>
    <col min="6719" max="6719" width="3.28515625" style="4" customWidth="1"/>
    <col min="6720" max="6720" width="8" style="4" customWidth="1"/>
    <col min="6721" max="6721" width="42.5703125" style="4" bestFit="1" customWidth="1"/>
    <col min="6722" max="6722" width="3.28515625" style="4" customWidth="1"/>
    <col min="6723" max="6723" width="8" style="4" customWidth="1"/>
    <col min="6724" max="6724" width="42.5703125" style="4" bestFit="1" customWidth="1"/>
    <col min="6725" max="6725" width="3.28515625" style="4" customWidth="1"/>
    <col min="6726" max="6726" width="8" style="4" customWidth="1"/>
    <col min="6727" max="6727" width="42.5703125" style="4" bestFit="1" customWidth="1"/>
    <col min="6728" max="6728" width="3.28515625" style="4" customWidth="1"/>
    <col min="6729" max="6729" width="8" style="4" customWidth="1"/>
    <col min="6730" max="6730" width="42.5703125" style="4" bestFit="1" customWidth="1"/>
    <col min="6731" max="6731" width="3.28515625" style="4" customWidth="1"/>
    <col min="6732" max="6732" width="8" style="4" customWidth="1"/>
    <col min="6733" max="6733" width="42.5703125" style="4" bestFit="1" customWidth="1"/>
    <col min="6734" max="6734" width="3.28515625" style="4" customWidth="1"/>
    <col min="6735" max="6735" width="8" style="4" customWidth="1"/>
    <col min="6736" max="6736" width="42.5703125" style="4" bestFit="1" customWidth="1"/>
    <col min="6737" max="6737" width="3.28515625" style="4" customWidth="1"/>
    <col min="6738" max="6738" width="8" style="4" customWidth="1"/>
    <col min="6739" max="6739" width="42.5703125" style="4" bestFit="1" customWidth="1"/>
    <col min="6740" max="6740" width="3.28515625" style="4" customWidth="1"/>
    <col min="6741" max="6741" width="8" style="4" customWidth="1"/>
    <col min="6742" max="6742" width="42.5703125" style="4" bestFit="1" customWidth="1"/>
    <col min="6743" max="6743" width="3.28515625" style="4" customWidth="1"/>
    <col min="6744" max="6744" width="8" style="4" customWidth="1"/>
    <col min="6745" max="6745" width="42.5703125" style="4" bestFit="1" customWidth="1"/>
    <col min="6746" max="6746" width="3.28515625" style="4" customWidth="1"/>
    <col min="6747" max="6747" width="8" style="4" customWidth="1"/>
    <col min="6748" max="6748" width="42.5703125" style="4" bestFit="1" customWidth="1"/>
    <col min="6749" max="6749" width="3.28515625" style="4" customWidth="1"/>
    <col min="6750" max="6750" width="8" style="4" customWidth="1"/>
    <col min="6751" max="6751" width="42.5703125" style="4" bestFit="1" customWidth="1"/>
    <col min="6752" max="6752" width="3.28515625" style="4" customWidth="1"/>
    <col min="6753" max="6753" width="8" style="4" customWidth="1"/>
    <col min="6754" max="6754" width="42.5703125" style="4" bestFit="1" customWidth="1"/>
    <col min="6755" max="6755" width="3.28515625" style="4" customWidth="1"/>
    <col min="6756" max="6756" width="8" style="4" customWidth="1"/>
    <col min="6757" max="6757" width="42.5703125" style="4" bestFit="1" customWidth="1"/>
    <col min="6758" max="6758" width="3.28515625" style="4" customWidth="1"/>
    <col min="6759" max="6759" width="8" style="4" customWidth="1"/>
    <col min="6760" max="6760" width="42.5703125" style="4" bestFit="1" customWidth="1"/>
    <col min="6761" max="6761" width="3.28515625" style="4" customWidth="1"/>
    <col min="6762" max="6762" width="8" style="4" customWidth="1"/>
    <col min="6763" max="6763" width="42.5703125" style="4" bestFit="1" customWidth="1"/>
    <col min="6764" max="6764" width="3.28515625" style="4" customWidth="1"/>
    <col min="6765" max="6765" width="8" style="4" customWidth="1"/>
    <col min="6766" max="6766" width="42.5703125" style="4" bestFit="1" customWidth="1"/>
    <col min="6767" max="6767" width="3.28515625" style="4" customWidth="1"/>
    <col min="6768" max="6768" width="8" style="4" customWidth="1"/>
    <col min="6769" max="6769" width="42.5703125" style="4" bestFit="1" customWidth="1"/>
    <col min="6770" max="6770" width="3.28515625" style="4" customWidth="1"/>
    <col min="6771" max="6771" width="8" style="4" customWidth="1"/>
    <col min="6772" max="6772" width="42.5703125" style="4" bestFit="1" customWidth="1"/>
    <col min="6773" max="6773" width="3.28515625" style="4" customWidth="1"/>
    <col min="6774" max="6774" width="8" style="4" customWidth="1"/>
    <col min="6775" max="6775" width="42.5703125" style="4" bestFit="1" customWidth="1"/>
    <col min="6776" max="6776" width="3.28515625" style="4" customWidth="1"/>
    <col min="6777" max="6777" width="8" style="4" customWidth="1"/>
    <col min="6778" max="6778" width="42.5703125" style="4" bestFit="1" customWidth="1"/>
    <col min="6779" max="6779" width="3.28515625" style="4" customWidth="1"/>
    <col min="6780" max="6780" width="8" style="4" customWidth="1"/>
    <col min="6781" max="6781" width="42.5703125" style="4" bestFit="1" customWidth="1"/>
    <col min="6782" max="6782" width="3.28515625" style="4" customWidth="1"/>
    <col min="6783" max="6783" width="8" style="4" customWidth="1"/>
    <col min="6784" max="6784" width="42.5703125" style="4" bestFit="1" customWidth="1"/>
    <col min="6785" max="6785" width="3.28515625" style="4" customWidth="1"/>
    <col min="6786" max="6786" width="8" style="4" customWidth="1"/>
    <col min="6787" max="6787" width="42.5703125" style="4" bestFit="1" customWidth="1"/>
    <col min="6788" max="6788" width="3.28515625" style="4" customWidth="1"/>
    <col min="6789" max="6789" width="8" style="4" customWidth="1"/>
    <col min="6790" max="6790" width="42.5703125" style="4" bestFit="1" customWidth="1"/>
    <col min="6791" max="6791" width="3.28515625" style="4" customWidth="1"/>
    <col min="6792" max="6792" width="8" style="4" customWidth="1"/>
    <col min="6793" max="6793" width="42.5703125" style="4" bestFit="1" customWidth="1"/>
    <col min="6794" max="6794" width="3.28515625" style="4" customWidth="1"/>
    <col min="6795" max="6795" width="8" style="4" customWidth="1"/>
    <col min="6796" max="6796" width="42.5703125" style="4" bestFit="1" customWidth="1"/>
    <col min="6797" max="6797" width="3.28515625" style="4" customWidth="1"/>
    <col min="6798" max="6798" width="8" style="4" customWidth="1"/>
    <col min="6799" max="6799" width="42.5703125" style="4" bestFit="1" customWidth="1"/>
    <col min="6800" max="6800" width="3.28515625" style="4" customWidth="1"/>
    <col min="6801" max="6801" width="8" style="4" customWidth="1"/>
    <col min="6802" max="6802" width="42.5703125" style="4" bestFit="1" customWidth="1"/>
    <col min="6803" max="6803" width="3.28515625" style="4" customWidth="1"/>
    <col min="6804" max="6804" width="8" style="4" customWidth="1"/>
    <col min="6805" max="6805" width="42.5703125" style="4" bestFit="1" customWidth="1"/>
    <col min="6806" max="6806" width="3.28515625" style="4" customWidth="1"/>
    <col min="6807" max="6807" width="8" style="4" customWidth="1"/>
    <col min="6808" max="6808" width="42.5703125" style="4" bestFit="1" customWidth="1"/>
    <col min="6809" max="6809" width="3.28515625" style="4" customWidth="1"/>
    <col min="6810" max="6810" width="8" style="4" customWidth="1"/>
    <col min="6811" max="6811" width="42.5703125" style="4" bestFit="1" customWidth="1"/>
    <col min="6812" max="6812" width="3.28515625" style="4" customWidth="1"/>
    <col min="6813" max="6813" width="8" style="4" customWidth="1"/>
    <col min="6814" max="6814" width="42.5703125" style="4" bestFit="1" customWidth="1"/>
    <col min="6815" max="6815" width="3.28515625" style="4" customWidth="1"/>
    <col min="6816" max="6816" width="8" style="4" customWidth="1"/>
    <col min="6817" max="6817" width="42.5703125" style="4" bestFit="1" customWidth="1"/>
    <col min="6818" max="6818" width="3.28515625" style="4" customWidth="1"/>
    <col min="6819" max="6819" width="8" style="4" customWidth="1"/>
    <col min="6820" max="6820" width="42.5703125" style="4" bestFit="1" customWidth="1"/>
    <col min="6821" max="6821" width="3.28515625" style="4" customWidth="1"/>
    <col min="6822" max="6822" width="8" style="4" customWidth="1"/>
    <col min="6823" max="6823" width="42.5703125" style="4" bestFit="1" customWidth="1"/>
    <col min="6824" max="6824" width="3.28515625" style="4" customWidth="1"/>
    <col min="6825" max="6825" width="8" style="4" customWidth="1"/>
    <col min="6826" max="6826" width="42.5703125" style="4" bestFit="1" customWidth="1"/>
    <col min="6827" max="6827" width="3.28515625" style="4" customWidth="1"/>
    <col min="6828" max="6828" width="8" style="4" customWidth="1"/>
    <col min="6829" max="6829" width="42.5703125" style="4" bestFit="1" customWidth="1"/>
    <col min="6830" max="6830" width="3.28515625" style="4" customWidth="1"/>
    <col min="6831" max="6831" width="8" style="4" customWidth="1"/>
    <col min="6832" max="6832" width="42.5703125" style="4" bestFit="1" customWidth="1"/>
    <col min="6833" max="6833" width="3.28515625" style="4" customWidth="1"/>
    <col min="6834" max="6834" width="8" style="4" customWidth="1"/>
    <col min="6835" max="6835" width="42.5703125" style="4" bestFit="1" customWidth="1"/>
    <col min="6836" max="6836" width="3.28515625" style="4" customWidth="1"/>
    <col min="6837" max="6837" width="8" style="4" customWidth="1"/>
    <col min="6838" max="6838" width="42.5703125" style="4" bestFit="1" customWidth="1"/>
    <col min="6839" max="6839" width="3.28515625" style="4" customWidth="1"/>
    <col min="6840" max="6840" width="8" style="4" customWidth="1"/>
    <col min="6841" max="6841" width="42.5703125" style="4" bestFit="1" customWidth="1"/>
    <col min="6842" max="6842" width="3.28515625" style="4" customWidth="1"/>
    <col min="6843" max="6843" width="8" style="4" customWidth="1"/>
    <col min="6844" max="6844" width="42.5703125" style="4" bestFit="1" customWidth="1"/>
    <col min="6845" max="6845" width="3.28515625" style="4" customWidth="1"/>
    <col min="6846" max="6846" width="8" style="4" customWidth="1"/>
    <col min="6847" max="6847" width="42.5703125" style="4" bestFit="1" customWidth="1"/>
    <col min="6848" max="6848" width="3.28515625" style="4" customWidth="1"/>
    <col min="6849" max="6849" width="8" style="4" customWidth="1"/>
    <col min="6850" max="6850" width="42.5703125" style="4" bestFit="1" customWidth="1"/>
    <col min="6851" max="6851" width="3.28515625" style="4" customWidth="1"/>
    <col min="6852" max="6852" width="8" style="4" customWidth="1"/>
    <col min="6853" max="6853" width="42.5703125" style="4" bestFit="1" customWidth="1"/>
    <col min="6854" max="6854" width="3.28515625" style="4" customWidth="1"/>
    <col min="6855" max="6855" width="8" style="4" customWidth="1"/>
    <col min="6856" max="6856" width="42.5703125" style="4" bestFit="1" customWidth="1"/>
    <col min="6857" max="6857" width="3.28515625" style="4" customWidth="1"/>
    <col min="6858" max="6858" width="8" style="4" customWidth="1"/>
    <col min="6859" max="6859" width="42.5703125" style="4" bestFit="1" customWidth="1"/>
    <col min="6860" max="6860" width="3.28515625" style="4" customWidth="1"/>
    <col min="6861" max="6861" width="8" style="4" customWidth="1"/>
    <col min="6862" max="6862" width="42.5703125" style="4" bestFit="1" customWidth="1"/>
    <col min="6863" max="6863" width="3.28515625" style="4" customWidth="1"/>
    <col min="6864" max="6864" width="8" style="4" customWidth="1"/>
    <col min="6865" max="6865" width="42.5703125" style="4" bestFit="1" customWidth="1"/>
    <col min="6866" max="6866" width="3.28515625" style="4" customWidth="1"/>
    <col min="6867" max="6867" width="8" style="4" customWidth="1"/>
    <col min="6868" max="6868" width="42.5703125" style="4" bestFit="1" customWidth="1"/>
    <col min="6869" max="6869" width="3.28515625" style="4" customWidth="1"/>
    <col min="6870" max="6870" width="8" style="4" customWidth="1"/>
    <col min="6871" max="6871" width="42.5703125" style="4" bestFit="1" customWidth="1"/>
    <col min="6872" max="6872" width="3.28515625" style="4" customWidth="1"/>
    <col min="6873" max="6873" width="8" style="4" customWidth="1"/>
    <col min="6874" max="6874" width="42.5703125" style="4" bestFit="1" customWidth="1"/>
    <col min="6875" max="6875" width="3.28515625" style="4" customWidth="1"/>
    <col min="6876" max="6876" width="8" style="4" customWidth="1"/>
    <col min="6877" max="6877" width="42.5703125" style="4" bestFit="1" customWidth="1"/>
    <col min="6878" max="6878" width="3.28515625" style="4" customWidth="1"/>
    <col min="6879" max="6879" width="8" style="4" customWidth="1"/>
    <col min="6880" max="6880" width="42.5703125" style="4" bestFit="1" customWidth="1"/>
    <col min="6881" max="6881" width="3.28515625" style="4" customWidth="1"/>
    <col min="6882" max="6882" width="8" style="4" customWidth="1"/>
    <col min="6883" max="6883" width="42.5703125" style="4" bestFit="1" customWidth="1"/>
    <col min="6884" max="6884" width="3.28515625" style="4" customWidth="1"/>
    <col min="6885" max="6885" width="8" style="4" customWidth="1"/>
    <col min="6886" max="6886" width="42.5703125" style="4" bestFit="1" customWidth="1"/>
    <col min="6887" max="6887" width="3.28515625" style="4" customWidth="1"/>
    <col min="6888" max="6888" width="8" style="4" customWidth="1"/>
    <col min="6889" max="6889" width="42.5703125" style="4" bestFit="1" customWidth="1"/>
    <col min="6890" max="6890" width="3.28515625" style="4" customWidth="1"/>
    <col min="6891" max="6891" width="8" style="4" customWidth="1"/>
    <col min="6892" max="6892" width="42.5703125" style="4" bestFit="1" customWidth="1"/>
    <col min="6893" max="6893" width="3.28515625" style="4" customWidth="1"/>
    <col min="6894" max="6894" width="8" style="4" customWidth="1"/>
    <col min="6895" max="6895" width="42.5703125" style="4" bestFit="1" customWidth="1"/>
    <col min="6896" max="6896" width="3.28515625" style="4" customWidth="1"/>
    <col min="6897" max="6897" width="8" style="4" customWidth="1"/>
    <col min="6898" max="6898" width="42.5703125" style="4" bestFit="1" customWidth="1"/>
    <col min="6899" max="6899" width="3.28515625" style="4" customWidth="1"/>
    <col min="6900" max="6900" width="8" style="4" customWidth="1"/>
    <col min="6901" max="6901" width="42.5703125" style="4" bestFit="1" customWidth="1"/>
    <col min="6902" max="6902" width="3.28515625" style="4" customWidth="1"/>
    <col min="6903" max="6903" width="8" style="4" customWidth="1"/>
    <col min="6904" max="6904" width="42.5703125" style="4" bestFit="1" customWidth="1"/>
    <col min="6905" max="6905" width="3.28515625" style="4" customWidth="1"/>
    <col min="6906" max="6906" width="8" style="4" customWidth="1"/>
    <col min="6907" max="6907" width="42.5703125" style="4" bestFit="1" customWidth="1"/>
    <col min="6908" max="6908" width="3.28515625" style="4" customWidth="1"/>
    <col min="6909" max="6909" width="8" style="4" customWidth="1"/>
    <col min="6910" max="6910" width="42.5703125" style="4" bestFit="1" customWidth="1"/>
    <col min="6911" max="6911" width="3.28515625" style="4" customWidth="1"/>
    <col min="6912" max="6912" width="8" style="4" customWidth="1"/>
    <col min="6913" max="6913" width="42.5703125" style="4" bestFit="1" customWidth="1"/>
    <col min="6914" max="6914" width="3.28515625" style="4" customWidth="1"/>
    <col min="6915" max="6915" width="8" style="4" customWidth="1"/>
    <col min="6916" max="6916" width="42.5703125" style="4" bestFit="1" customWidth="1"/>
    <col min="6917" max="6917" width="3.28515625" style="4" customWidth="1"/>
    <col min="6918" max="6918" width="8" style="4" customWidth="1"/>
    <col min="6919" max="6919" width="42.5703125" style="4" bestFit="1" customWidth="1"/>
    <col min="6920" max="6920" width="3.28515625" style="4" customWidth="1"/>
    <col min="6921" max="6921" width="8" style="4" customWidth="1"/>
    <col min="6922" max="6922" width="42.5703125" style="4" bestFit="1" customWidth="1"/>
    <col min="6923" max="6923" width="3.28515625" style="4" customWidth="1"/>
    <col min="6924" max="6924" width="8" style="4" customWidth="1"/>
    <col min="6925" max="6925" width="42.5703125" style="4" bestFit="1" customWidth="1"/>
    <col min="6926" max="6926" width="3.28515625" style="4" customWidth="1"/>
    <col min="6927" max="6927" width="8" style="4" customWidth="1"/>
    <col min="6928" max="6928" width="42.5703125" style="4" bestFit="1" customWidth="1"/>
    <col min="6929" max="6929" width="3.28515625" style="4" customWidth="1"/>
    <col min="6930" max="6930" width="8" style="4" customWidth="1"/>
    <col min="6931" max="6931" width="42.5703125" style="4" bestFit="1" customWidth="1"/>
    <col min="6932" max="6932" width="3.28515625" style="4" customWidth="1"/>
    <col min="6933" max="6933" width="8" style="4" customWidth="1"/>
    <col min="6934" max="6934" width="42.5703125" style="4" bestFit="1" customWidth="1"/>
    <col min="6935" max="6935" width="3.28515625" style="4" customWidth="1"/>
    <col min="6936" max="6936" width="8" style="4" customWidth="1"/>
    <col min="6937" max="6937" width="42.5703125" style="4" bestFit="1" customWidth="1"/>
    <col min="6938" max="6938" width="3.28515625" style="4" customWidth="1"/>
    <col min="6939" max="6939" width="8" style="4" customWidth="1"/>
    <col min="6940" max="6940" width="42.5703125" style="4" bestFit="1" customWidth="1"/>
    <col min="6941" max="6941" width="3.28515625" style="4" customWidth="1"/>
    <col min="6942" max="6942" width="8" style="4" customWidth="1"/>
    <col min="6943" max="6943" width="42.5703125" style="4" bestFit="1" customWidth="1"/>
    <col min="6944" max="6944" width="3.28515625" style="4" customWidth="1"/>
    <col min="6945" max="6945" width="8" style="4" customWidth="1"/>
    <col min="6946" max="6946" width="42.5703125" style="4" bestFit="1" customWidth="1"/>
    <col min="6947" max="6947" width="3.28515625" style="4" customWidth="1"/>
    <col min="6948" max="6948" width="8" style="4" customWidth="1"/>
    <col min="6949" max="6949" width="42.5703125" style="4" bestFit="1" customWidth="1"/>
    <col min="6950" max="6950" width="3.28515625" style="4" customWidth="1"/>
    <col min="6951" max="6951" width="8" style="4" customWidth="1"/>
    <col min="6952" max="6952" width="42.5703125" style="4" bestFit="1" customWidth="1"/>
    <col min="6953" max="6953" width="3.28515625" style="4" customWidth="1"/>
    <col min="6954" max="6954" width="8" style="4" customWidth="1"/>
    <col min="6955" max="6955" width="42.5703125" style="4" bestFit="1" customWidth="1"/>
    <col min="6956" max="6956" width="3.28515625" style="4" customWidth="1"/>
    <col min="6957" max="6957" width="8" style="4" customWidth="1"/>
    <col min="6958" max="6958" width="42.5703125" style="4" bestFit="1" customWidth="1"/>
    <col min="6959" max="6959" width="3.28515625" style="4" customWidth="1"/>
    <col min="6960" max="6960" width="8" style="4" customWidth="1"/>
    <col min="6961" max="6961" width="42.5703125" style="4" bestFit="1" customWidth="1"/>
    <col min="6962" max="6962" width="3.28515625" style="4" customWidth="1"/>
    <col min="6963" max="6963" width="8" style="4" customWidth="1"/>
    <col min="6964" max="6964" width="42.5703125" style="4" bestFit="1" customWidth="1"/>
    <col min="6965" max="6965" width="3.28515625" style="4" customWidth="1"/>
    <col min="6966" max="6966" width="8" style="4" customWidth="1"/>
    <col min="6967" max="6967" width="42.5703125" style="4" bestFit="1" customWidth="1"/>
    <col min="6968" max="6968" width="3.28515625" style="4" customWidth="1"/>
    <col min="6969" max="6969" width="8" style="4" customWidth="1"/>
    <col min="6970" max="6970" width="42.5703125" style="4" bestFit="1" customWidth="1"/>
    <col min="6971" max="6971" width="3.28515625" style="4" customWidth="1"/>
    <col min="6972" max="6972" width="8" style="4" customWidth="1"/>
    <col min="6973" max="6973" width="42.5703125" style="4" bestFit="1" customWidth="1"/>
    <col min="6974" max="6974" width="3.28515625" style="4" customWidth="1"/>
    <col min="6975" max="6975" width="8" style="4" customWidth="1"/>
    <col min="6976" max="6976" width="42.5703125" style="4" bestFit="1" customWidth="1"/>
    <col min="6977" max="6977" width="3.28515625" style="4" customWidth="1"/>
    <col min="6978" max="6978" width="8" style="4" customWidth="1"/>
    <col min="6979" max="6979" width="42.5703125" style="4" bestFit="1" customWidth="1"/>
    <col min="6980" max="6980" width="3.28515625" style="4" customWidth="1"/>
    <col min="6981" max="6981" width="8" style="4" customWidth="1"/>
    <col min="6982" max="6982" width="42.5703125" style="4" bestFit="1" customWidth="1"/>
    <col min="6983" max="6983" width="3.28515625" style="4" customWidth="1"/>
    <col min="6984" max="6984" width="8" style="4" customWidth="1"/>
    <col min="6985" max="6985" width="42.5703125" style="4" bestFit="1" customWidth="1"/>
    <col min="6986" max="6986" width="3.28515625" style="4" customWidth="1"/>
    <col min="6987" max="6987" width="8" style="4" customWidth="1"/>
    <col min="6988" max="6988" width="42.5703125" style="4" bestFit="1" customWidth="1"/>
    <col min="6989" max="6989" width="3.28515625" style="4" customWidth="1"/>
    <col min="6990" max="6990" width="8" style="4" customWidth="1"/>
    <col min="6991" max="6991" width="42.5703125" style="4" bestFit="1" customWidth="1"/>
    <col min="6992" max="6992" width="3.28515625" style="4" customWidth="1"/>
    <col min="6993" max="6993" width="8" style="4" customWidth="1"/>
    <col min="6994" max="6994" width="42.5703125" style="4" bestFit="1" customWidth="1"/>
    <col min="6995" max="6995" width="3.28515625" style="4" customWidth="1"/>
    <col min="6996" max="6996" width="8" style="4" customWidth="1"/>
    <col min="6997" max="6997" width="42.5703125" style="4" bestFit="1" customWidth="1"/>
    <col min="6998" max="6998" width="3.28515625" style="4" customWidth="1"/>
    <col min="6999" max="6999" width="8" style="4" customWidth="1"/>
    <col min="7000" max="7000" width="42.5703125" style="4" bestFit="1" customWidth="1"/>
    <col min="7001" max="7001" width="3.28515625" style="4" customWidth="1"/>
    <col min="7002" max="7002" width="8" style="4" customWidth="1"/>
    <col min="7003" max="7003" width="42.5703125" style="4" bestFit="1" customWidth="1"/>
    <col min="7004" max="7004" width="3.28515625" style="4" customWidth="1"/>
    <col min="7005" max="7005" width="8" style="4" customWidth="1"/>
    <col min="7006" max="7006" width="42.5703125" style="4" bestFit="1" customWidth="1"/>
    <col min="7007" max="7007" width="3.28515625" style="4" customWidth="1"/>
    <col min="7008" max="7008" width="8" style="4" customWidth="1"/>
    <col min="7009" max="7009" width="42.5703125" style="4" bestFit="1" customWidth="1"/>
    <col min="7010" max="7010" width="3.28515625" style="4" customWidth="1"/>
    <col min="7011" max="7011" width="8" style="4" customWidth="1"/>
    <col min="7012" max="7012" width="42.5703125" style="4" bestFit="1" customWidth="1"/>
    <col min="7013" max="7013" width="3.28515625" style="4" customWidth="1"/>
    <col min="7014" max="7014" width="8" style="4" customWidth="1"/>
    <col min="7015" max="7015" width="42.5703125" style="4" bestFit="1" customWidth="1"/>
    <col min="7016" max="7016" width="3.28515625" style="4" customWidth="1"/>
    <col min="7017" max="7017" width="8" style="4" customWidth="1"/>
    <col min="7018" max="7018" width="42.5703125" style="4" bestFit="1" customWidth="1"/>
    <col min="7019" max="7019" width="3.28515625" style="4" customWidth="1"/>
    <col min="7020" max="7020" width="8" style="4" customWidth="1"/>
    <col min="7021" max="7021" width="42.5703125" style="4" bestFit="1" customWidth="1"/>
    <col min="7022" max="7022" width="3.28515625" style="4" customWidth="1"/>
    <col min="7023" max="7023" width="8" style="4" customWidth="1"/>
    <col min="7024" max="7024" width="42.5703125" style="4" bestFit="1" customWidth="1"/>
    <col min="7025" max="7025" width="3.28515625" style="4" customWidth="1"/>
    <col min="7026" max="7026" width="8" style="4" customWidth="1"/>
    <col min="7027" max="7027" width="42.5703125" style="4" bestFit="1" customWidth="1"/>
    <col min="7028" max="7028" width="3.28515625" style="4" customWidth="1"/>
    <col min="7029" max="7029" width="8" style="4" customWidth="1"/>
    <col min="7030" max="7030" width="42.5703125" style="4" bestFit="1" customWidth="1"/>
    <col min="7031" max="7031" width="3.28515625" style="4" customWidth="1"/>
    <col min="7032" max="7032" width="8" style="4" customWidth="1"/>
    <col min="7033" max="7033" width="42.5703125" style="4" bestFit="1" customWidth="1"/>
    <col min="7034" max="7034" width="3.28515625" style="4" customWidth="1"/>
    <col min="7035" max="7035" width="8" style="4" customWidth="1"/>
    <col min="7036" max="7036" width="42.5703125" style="4" bestFit="1" customWidth="1"/>
    <col min="7037" max="7037" width="3.28515625" style="4" customWidth="1"/>
    <col min="7038" max="7038" width="8" style="4" customWidth="1"/>
    <col min="7039" max="7039" width="42.5703125" style="4" bestFit="1" customWidth="1"/>
    <col min="7040" max="7040" width="3.28515625" style="4" customWidth="1"/>
    <col min="7041" max="7041" width="8" style="4" customWidth="1"/>
    <col min="7042" max="7042" width="42.5703125" style="4" bestFit="1" customWidth="1"/>
    <col min="7043" max="7043" width="3.28515625" style="4" customWidth="1"/>
    <col min="7044" max="7044" width="8" style="4" customWidth="1"/>
    <col min="7045" max="7045" width="42.5703125" style="4" bestFit="1" customWidth="1"/>
    <col min="7046" max="7046" width="3.28515625" style="4" customWidth="1"/>
    <col min="7047" max="7047" width="8" style="4" customWidth="1"/>
    <col min="7048" max="7048" width="42.5703125" style="4" bestFit="1" customWidth="1"/>
    <col min="7049" max="7049" width="3.28515625" style="4" customWidth="1"/>
    <col min="7050" max="7050" width="8" style="4" customWidth="1"/>
    <col min="7051" max="7051" width="42.5703125" style="4" bestFit="1" customWidth="1"/>
    <col min="7052" max="7052" width="3.28515625" style="4" customWidth="1"/>
    <col min="7053" max="7053" width="8" style="4" customWidth="1"/>
    <col min="7054" max="7054" width="42.5703125" style="4" bestFit="1" customWidth="1"/>
    <col min="7055" max="7055" width="3.28515625" style="4" customWidth="1"/>
    <col min="7056" max="7056" width="8" style="4" customWidth="1"/>
    <col min="7057" max="7057" width="42.5703125" style="4" bestFit="1" customWidth="1"/>
    <col min="7058" max="7058" width="3.28515625" style="4" customWidth="1"/>
    <col min="7059" max="7059" width="8" style="4" customWidth="1"/>
    <col min="7060" max="7060" width="42.5703125" style="4" bestFit="1" customWidth="1"/>
    <col min="7061" max="7061" width="3.28515625" style="4" customWidth="1"/>
    <col min="7062" max="7062" width="8" style="4" customWidth="1"/>
    <col min="7063" max="7063" width="42.5703125" style="4" bestFit="1" customWidth="1"/>
    <col min="7064" max="7064" width="3.28515625" style="4" customWidth="1"/>
    <col min="7065" max="7065" width="8" style="4" customWidth="1"/>
    <col min="7066" max="7066" width="42.5703125" style="4" bestFit="1" customWidth="1"/>
    <col min="7067" max="7067" width="3.28515625" style="4" customWidth="1"/>
    <col min="7068" max="7068" width="8" style="4" customWidth="1"/>
    <col min="7069" max="7069" width="42.5703125" style="4" bestFit="1" customWidth="1"/>
    <col min="7070" max="7070" width="3.28515625" style="4" customWidth="1"/>
    <col min="7071" max="7071" width="8" style="4" customWidth="1"/>
    <col min="7072" max="7072" width="42.5703125" style="4" bestFit="1" customWidth="1"/>
    <col min="7073" max="7073" width="3.28515625" style="4" customWidth="1"/>
    <col min="7074" max="7074" width="8" style="4" customWidth="1"/>
    <col min="7075" max="7075" width="42.5703125" style="4" bestFit="1" customWidth="1"/>
    <col min="7076" max="7076" width="3.28515625" style="4" customWidth="1"/>
    <col min="7077" max="7077" width="8" style="4" customWidth="1"/>
    <col min="7078" max="7078" width="42.5703125" style="4" bestFit="1" customWidth="1"/>
    <col min="7079" max="7079" width="3.28515625" style="4" customWidth="1"/>
    <col min="7080" max="7080" width="8" style="4" customWidth="1"/>
    <col min="7081" max="7081" width="42.5703125" style="4" bestFit="1" customWidth="1"/>
    <col min="7082" max="7082" width="3.28515625" style="4" customWidth="1"/>
    <col min="7083" max="7083" width="8" style="4" customWidth="1"/>
    <col min="7084" max="7084" width="42.5703125" style="4" bestFit="1" customWidth="1"/>
    <col min="7085" max="7085" width="3.28515625" style="4" customWidth="1"/>
    <col min="7086" max="7086" width="8" style="4" customWidth="1"/>
    <col min="7087" max="7087" width="42.5703125" style="4" bestFit="1" customWidth="1"/>
    <col min="7088" max="7088" width="3.28515625" style="4" customWidth="1"/>
    <col min="7089" max="7089" width="8" style="4" customWidth="1"/>
    <col min="7090" max="7090" width="42.5703125" style="4" bestFit="1" customWidth="1"/>
    <col min="7091" max="7091" width="3.28515625" style="4" customWidth="1"/>
    <col min="7092" max="7092" width="8" style="4" customWidth="1"/>
    <col min="7093" max="7093" width="42.5703125" style="4" bestFit="1" customWidth="1"/>
    <col min="7094" max="7094" width="3.28515625" style="4" customWidth="1"/>
    <col min="7095" max="7095" width="8" style="4" customWidth="1"/>
    <col min="7096" max="7096" width="42.5703125" style="4" bestFit="1" customWidth="1"/>
    <col min="7097" max="7097" width="3.28515625" style="4" customWidth="1"/>
    <col min="7098" max="7098" width="8" style="4" customWidth="1"/>
    <col min="7099" max="7099" width="42.5703125" style="4" bestFit="1" customWidth="1"/>
    <col min="7100" max="7100" width="3.28515625" style="4" customWidth="1"/>
    <col min="7101" max="7101" width="8" style="4" customWidth="1"/>
    <col min="7102" max="7102" width="42.5703125" style="4" bestFit="1" customWidth="1"/>
    <col min="7103" max="7103" width="3.28515625" style="4" customWidth="1"/>
    <col min="7104" max="7104" width="8" style="4" customWidth="1"/>
    <col min="7105" max="7105" width="42.5703125" style="4" bestFit="1" customWidth="1"/>
    <col min="7106" max="7106" width="3.28515625" style="4" customWidth="1"/>
    <col min="7107" max="7107" width="8" style="4" customWidth="1"/>
    <col min="7108" max="7108" width="42.5703125" style="4" bestFit="1" customWidth="1"/>
    <col min="7109" max="7109" width="3.28515625" style="4" customWidth="1"/>
    <col min="7110" max="7110" width="8" style="4" customWidth="1"/>
    <col min="7111" max="7111" width="42.5703125" style="4" bestFit="1" customWidth="1"/>
    <col min="7112" max="7112" width="3.28515625" style="4" customWidth="1"/>
    <col min="7113" max="7113" width="8" style="4" customWidth="1"/>
    <col min="7114" max="7114" width="42.5703125" style="4" bestFit="1" customWidth="1"/>
    <col min="7115" max="7115" width="3.28515625" style="4" customWidth="1"/>
    <col min="7116" max="7116" width="8" style="4" customWidth="1"/>
    <col min="7117" max="7117" width="42.5703125" style="4" bestFit="1" customWidth="1"/>
    <col min="7118" max="7118" width="3.28515625" style="4" customWidth="1"/>
    <col min="7119" max="7119" width="8" style="4" customWidth="1"/>
    <col min="7120" max="7120" width="42.5703125" style="4" bestFit="1" customWidth="1"/>
    <col min="7121" max="7121" width="3.28515625" style="4" customWidth="1"/>
    <col min="7122" max="7122" width="8" style="4" customWidth="1"/>
    <col min="7123" max="7123" width="42.5703125" style="4" bestFit="1" customWidth="1"/>
    <col min="7124" max="7124" width="3.28515625" style="4" customWidth="1"/>
    <col min="7125" max="7125" width="8" style="4" customWidth="1"/>
    <col min="7126" max="7126" width="42.5703125" style="4" bestFit="1" customWidth="1"/>
    <col min="7127" max="7127" width="3.28515625" style="4" customWidth="1"/>
    <col min="7128" max="7128" width="8" style="4" customWidth="1"/>
    <col min="7129" max="7129" width="42.5703125" style="4" bestFit="1" customWidth="1"/>
    <col min="7130" max="7130" width="3.28515625" style="4" customWidth="1"/>
    <col min="7131" max="7131" width="8" style="4" customWidth="1"/>
    <col min="7132" max="7132" width="42.5703125" style="4" bestFit="1" customWidth="1"/>
    <col min="7133" max="7133" width="3.28515625" style="4" customWidth="1"/>
    <col min="7134" max="7134" width="8" style="4" customWidth="1"/>
    <col min="7135" max="7135" width="42.5703125" style="4" bestFit="1" customWidth="1"/>
    <col min="7136" max="7136" width="3.28515625" style="4" customWidth="1"/>
    <col min="7137" max="7137" width="8" style="4" customWidth="1"/>
    <col min="7138" max="7138" width="42.5703125" style="4" bestFit="1" customWidth="1"/>
    <col min="7139" max="7139" width="3.28515625" style="4" customWidth="1"/>
    <col min="7140" max="7140" width="8" style="4" customWidth="1"/>
    <col min="7141" max="7141" width="42.5703125" style="4" bestFit="1" customWidth="1"/>
    <col min="7142" max="7142" width="3.28515625" style="4" customWidth="1"/>
    <col min="7143" max="7143" width="8" style="4" customWidth="1"/>
    <col min="7144" max="7144" width="42.5703125" style="4" bestFit="1" customWidth="1"/>
    <col min="7145" max="7145" width="3.28515625" style="4" customWidth="1"/>
    <col min="7146" max="7146" width="8" style="4" customWidth="1"/>
    <col min="7147" max="7147" width="42.5703125" style="4" bestFit="1" customWidth="1"/>
    <col min="7148" max="7148" width="3.28515625" style="4" customWidth="1"/>
    <col min="7149" max="7149" width="8" style="4" customWidth="1"/>
    <col min="7150" max="7150" width="42.5703125" style="4" bestFit="1" customWidth="1"/>
    <col min="7151" max="7151" width="3.28515625" style="4" customWidth="1"/>
    <col min="7152" max="7152" width="8" style="4" customWidth="1"/>
    <col min="7153" max="7153" width="42.5703125" style="4" bestFit="1" customWidth="1"/>
    <col min="7154" max="7154" width="3.28515625" style="4" customWidth="1"/>
    <col min="7155" max="7155" width="8" style="4" customWidth="1"/>
    <col min="7156" max="7156" width="42.5703125" style="4" bestFit="1" customWidth="1"/>
    <col min="7157" max="7157" width="3.28515625" style="4" customWidth="1"/>
    <col min="7158" max="7158" width="8" style="4" customWidth="1"/>
    <col min="7159" max="7159" width="42.5703125" style="4" bestFit="1" customWidth="1"/>
    <col min="7160" max="7160" width="3.28515625" style="4" customWidth="1"/>
    <col min="7161" max="7161" width="8" style="4" customWidth="1"/>
    <col min="7162" max="7162" width="42.5703125" style="4" bestFit="1" customWidth="1"/>
    <col min="7163" max="7163" width="3.28515625" style="4" customWidth="1"/>
    <col min="7164" max="7164" width="8" style="4" customWidth="1"/>
    <col min="7165" max="7165" width="42.5703125" style="4" bestFit="1" customWidth="1"/>
    <col min="7166" max="7166" width="3.28515625" style="4" customWidth="1"/>
    <col min="7167" max="7167" width="8" style="4" customWidth="1"/>
    <col min="7168" max="7168" width="42.5703125" style="4" bestFit="1" customWidth="1"/>
    <col min="7169" max="7169" width="3.28515625" style="4" customWidth="1"/>
    <col min="7170" max="7170" width="8" style="4" customWidth="1"/>
    <col min="7171" max="7171" width="42.5703125" style="4" bestFit="1" customWidth="1"/>
    <col min="7172" max="7172" width="3.28515625" style="4" customWidth="1"/>
    <col min="7173" max="7173" width="8" style="4" customWidth="1"/>
    <col min="7174" max="7174" width="42.5703125" style="4" bestFit="1" customWidth="1"/>
    <col min="7175" max="7175" width="3.28515625" style="4" customWidth="1"/>
    <col min="7176" max="7176" width="8" style="4" customWidth="1"/>
    <col min="7177" max="7177" width="42.5703125" style="4" bestFit="1" customWidth="1"/>
    <col min="7178" max="7178" width="3.28515625" style="4" customWidth="1"/>
    <col min="7179" max="7179" width="8" style="4" customWidth="1"/>
    <col min="7180" max="7180" width="42.5703125" style="4" bestFit="1" customWidth="1"/>
    <col min="7181" max="7181" width="3.28515625" style="4" customWidth="1"/>
    <col min="7182" max="7182" width="8" style="4" customWidth="1"/>
    <col min="7183" max="7183" width="42.5703125" style="4" bestFit="1" customWidth="1"/>
    <col min="7184" max="7184" width="3.28515625" style="4" customWidth="1"/>
    <col min="7185" max="7185" width="8" style="4" customWidth="1"/>
    <col min="7186" max="7186" width="42.5703125" style="4" bestFit="1" customWidth="1"/>
    <col min="7187" max="7187" width="3.28515625" style="4" customWidth="1"/>
    <col min="7188" max="7188" width="8" style="4" customWidth="1"/>
    <col min="7189" max="7189" width="42.5703125" style="4" bestFit="1" customWidth="1"/>
    <col min="7190" max="7190" width="3.28515625" style="4" customWidth="1"/>
    <col min="7191" max="7191" width="8" style="4" customWidth="1"/>
    <col min="7192" max="7192" width="42.5703125" style="4" bestFit="1" customWidth="1"/>
    <col min="7193" max="7193" width="3.28515625" style="4" customWidth="1"/>
    <col min="7194" max="7194" width="8" style="4" customWidth="1"/>
    <col min="7195" max="7195" width="42.5703125" style="4" bestFit="1" customWidth="1"/>
    <col min="7196" max="7196" width="3.28515625" style="4" customWidth="1"/>
    <col min="7197" max="7197" width="8" style="4" customWidth="1"/>
    <col min="7198" max="7198" width="42.5703125" style="4" bestFit="1" customWidth="1"/>
    <col min="7199" max="7199" width="3.28515625" style="4" customWidth="1"/>
    <col min="7200" max="7200" width="8" style="4" customWidth="1"/>
    <col min="7201" max="7201" width="42.5703125" style="4" bestFit="1" customWidth="1"/>
    <col min="7202" max="7202" width="3.28515625" style="4" customWidth="1"/>
    <col min="7203" max="7203" width="8" style="4" customWidth="1"/>
    <col min="7204" max="7204" width="42.5703125" style="4" bestFit="1" customWidth="1"/>
    <col min="7205" max="7205" width="3.28515625" style="4" customWidth="1"/>
    <col min="7206" max="7206" width="8" style="4" customWidth="1"/>
    <col min="7207" max="7207" width="42.5703125" style="4" bestFit="1" customWidth="1"/>
    <col min="7208" max="7208" width="3.28515625" style="4" customWidth="1"/>
    <col min="7209" max="7209" width="8" style="4" customWidth="1"/>
    <col min="7210" max="7210" width="42.5703125" style="4" bestFit="1" customWidth="1"/>
    <col min="7211" max="7211" width="3.28515625" style="4" customWidth="1"/>
    <col min="7212" max="7212" width="8" style="4" customWidth="1"/>
    <col min="7213" max="7213" width="42.5703125" style="4" bestFit="1" customWidth="1"/>
    <col min="7214" max="7214" width="3.28515625" style="4" customWidth="1"/>
    <col min="7215" max="7215" width="8" style="4" customWidth="1"/>
    <col min="7216" max="7216" width="42.5703125" style="4" bestFit="1" customWidth="1"/>
    <col min="7217" max="7217" width="3.28515625" style="4" customWidth="1"/>
    <col min="7218" max="7218" width="8" style="4" customWidth="1"/>
    <col min="7219" max="7219" width="42.5703125" style="4" bestFit="1" customWidth="1"/>
    <col min="7220" max="7220" width="3.28515625" style="4" customWidth="1"/>
    <col min="7221" max="7221" width="8" style="4" customWidth="1"/>
    <col min="7222" max="7222" width="42.5703125" style="4" bestFit="1" customWidth="1"/>
    <col min="7223" max="7223" width="3.28515625" style="4" customWidth="1"/>
    <col min="7224" max="7224" width="8" style="4" customWidth="1"/>
    <col min="7225" max="7225" width="42.5703125" style="4" bestFit="1" customWidth="1"/>
    <col min="7226" max="7226" width="3.28515625" style="4" customWidth="1"/>
    <col min="7227" max="7227" width="8" style="4" customWidth="1"/>
    <col min="7228" max="7228" width="42.5703125" style="4" bestFit="1" customWidth="1"/>
    <col min="7229" max="7229" width="3.28515625" style="4" customWidth="1"/>
    <col min="7230" max="7230" width="8" style="4" customWidth="1"/>
    <col min="7231" max="7231" width="42.5703125" style="4" bestFit="1" customWidth="1"/>
    <col min="7232" max="7232" width="3.28515625" style="4" customWidth="1"/>
    <col min="7233" max="7233" width="8" style="4" customWidth="1"/>
    <col min="7234" max="7234" width="42.5703125" style="4" bestFit="1" customWidth="1"/>
    <col min="7235" max="7235" width="3.28515625" style="4" customWidth="1"/>
    <col min="7236" max="7236" width="8" style="4" customWidth="1"/>
    <col min="7237" max="7237" width="42.5703125" style="4" bestFit="1" customWidth="1"/>
    <col min="7238" max="7238" width="3.28515625" style="4" customWidth="1"/>
    <col min="7239" max="7239" width="8" style="4" customWidth="1"/>
    <col min="7240" max="7240" width="42.5703125" style="4" bestFit="1" customWidth="1"/>
    <col min="7241" max="7241" width="3.28515625" style="4" customWidth="1"/>
    <col min="7242" max="7242" width="8" style="4" customWidth="1"/>
    <col min="7243" max="7243" width="42.5703125" style="4" bestFit="1" customWidth="1"/>
    <col min="7244" max="7244" width="3.28515625" style="4" customWidth="1"/>
    <col min="7245" max="7245" width="8" style="4" customWidth="1"/>
    <col min="7246" max="7246" width="42.5703125" style="4" bestFit="1" customWidth="1"/>
    <col min="7247" max="7247" width="3.28515625" style="4" customWidth="1"/>
    <col min="7248" max="7248" width="8" style="4" customWidth="1"/>
    <col min="7249" max="7249" width="42.5703125" style="4" bestFit="1" customWidth="1"/>
    <col min="7250" max="7250" width="3.28515625" style="4" customWidth="1"/>
    <col min="7251" max="7251" width="8" style="4" customWidth="1"/>
    <col min="7252" max="7252" width="42.5703125" style="4" bestFit="1" customWidth="1"/>
    <col min="7253" max="7253" width="3.28515625" style="4" customWidth="1"/>
    <col min="7254" max="7254" width="8" style="4" customWidth="1"/>
    <col min="7255" max="7255" width="42.5703125" style="4" bestFit="1" customWidth="1"/>
    <col min="7256" max="7256" width="3.28515625" style="4" customWidth="1"/>
    <col min="7257" max="7257" width="8" style="4" customWidth="1"/>
    <col min="7258" max="7258" width="42.5703125" style="4" bestFit="1" customWidth="1"/>
    <col min="7259" max="7259" width="3.28515625" style="4" customWidth="1"/>
    <col min="7260" max="7260" width="8" style="4" customWidth="1"/>
    <col min="7261" max="7261" width="42.5703125" style="4" bestFit="1" customWidth="1"/>
    <col min="7262" max="7262" width="3.28515625" style="4" customWidth="1"/>
    <col min="7263" max="7263" width="8" style="4" customWidth="1"/>
    <col min="7264" max="7264" width="42.5703125" style="4" bestFit="1" customWidth="1"/>
    <col min="7265" max="7265" width="3.28515625" style="4" customWidth="1"/>
    <col min="7266" max="7266" width="8" style="4" customWidth="1"/>
    <col min="7267" max="7267" width="42.5703125" style="4" bestFit="1" customWidth="1"/>
    <col min="7268" max="7268" width="3.28515625" style="4" customWidth="1"/>
    <col min="7269" max="7269" width="8" style="4" customWidth="1"/>
    <col min="7270" max="7270" width="42.5703125" style="4" bestFit="1" customWidth="1"/>
    <col min="7271" max="7271" width="3.28515625" style="4" customWidth="1"/>
    <col min="7272" max="7272" width="8" style="4" customWidth="1"/>
    <col min="7273" max="7273" width="42.5703125" style="4" bestFit="1" customWidth="1"/>
    <col min="7274" max="7274" width="3.28515625" style="4" customWidth="1"/>
    <col min="7275" max="7275" width="8" style="4" customWidth="1"/>
    <col min="7276" max="7276" width="42.5703125" style="4" bestFit="1" customWidth="1"/>
    <col min="7277" max="7277" width="3.28515625" style="4" customWidth="1"/>
    <col min="7278" max="7278" width="8" style="4" customWidth="1"/>
    <col min="7279" max="7279" width="42.5703125" style="4" bestFit="1" customWidth="1"/>
    <col min="7280" max="7280" width="3.28515625" style="4" customWidth="1"/>
    <col min="7281" max="7281" width="8" style="4" customWidth="1"/>
    <col min="7282" max="7282" width="42.5703125" style="4" bestFit="1" customWidth="1"/>
    <col min="7283" max="7283" width="3.28515625" style="4" customWidth="1"/>
    <col min="7284" max="7284" width="8" style="4" customWidth="1"/>
    <col min="7285" max="7285" width="42.5703125" style="4" bestFit="1" customWidth="1"/>
    <col min="7286" max="7286" width="3.28515625" style="4" customWidth="1"/>
    <col min="7287" max="7287" width="8" style="4" customWidth="1"/>
    <col min="7288" max="7288" width="42.5703125" style="4" bestFit="1" customWidth="1"/>
    <col min="7289" max="7289" width="3.28515625" style="4" customWidth="1"/>
    <col min="7290" max="7290" width="8" style="4" customWidth="1"/>
    <col min="7291" max="7291" width="42.5703125" style="4" bestFit="1" customWidth="1"/>
    <col min="7292" max="7292" width="3.28515625" style="4" customWidth="1"/>
    <col min="7293" max="7293" width="8" style="4" customWidth="1"/>
    <col min="7294" max="7294" width="42.5703125" style="4" bestFit="1" customWidth="1"/>
    <col min="7295" max="7295" width="3.28515625" style="4" customWidth="1"/>
    <col min="7296" max="7296" width="8" style="4" customWidth="1"/>
    <col min="7297" max="7297" width="42.5703125" style="4" bestFit="1" customWidth="1"/>
    <col min="7298" max="7298" width="3.28515625" style="4" customWidth="1"/>
    <col min="7299" max="7299" width="8" style="4" customWidth="1"/>
    <col min="7300" max="7300" width="42.5703125" style="4" bestFit="1" customWidth="1"/>
    <col min="7301" max="7301" width="3.28515625" style="4" customWidth="1"/>
    <col min="7302" max="7302" width="8" style="4" customWidth="1"/>
    <col min="7303" max="7303" width="42.5703125" style="4" bestFit="1" customWidth="1"/>
    <col min="7304" max="7304" width="3.28515625" style="4" customWidth="1"/>
    <col min="7305" max="7305" width="8" style="4" customWidth="1"/>
    <col min="7306" max="7306" width="42.5703125" style="4" bestFit="1" customWidth="1"/>
    <col min="7307" max="7307" width="3.28515625" style="4" customWidth="1"/>
    <col min="7308" max="7308" width="8" style="4" customWidth="1"/>
    <col min="7309" max="7309" width="42.5703125" style="4" bestFit="1" customWidth="1"/>
    <col min="7310" max="7310" width="3.28515625" style="4" customWidth="1"/>
    <col min="7311" max="7311" width="8" style="4" customWidth="1"/>
    <col min="7312" max="7312" width="42.5703125" style="4" bestFit="1" customWidth="1"/>
    <col min="7313" max="7313" width="3.28515625" style="4" customWidth="1"/>
    <col min="7314" max="7314" width="8" style="4" customWidth="1"/>
    <col min="7315" max="7315" width="42.5703125" style="4" bestFit="1" customWidth="1"/>
    <col min="7316" max="7316" width="3.28515625" style="4" customWidth="1"/>
    <col min="7317" max="7317" width="8" style="4" customWidth="1"/>
    <col min="7318" max="7318" width="42.5703125" style="4" bestFit="1" customWidth="1"/>
    <col min="7319" max="7319" width="3.28515625" style="4" customWidth="1"/>
    <col min="7320" max="7320" width="8" style="4" customWidth="1"/>
    <col min="7321" max="7321" width="42.5703125" style="4" bestFit="1" customWidth="1"/>
    <col min="7322" max="7322" width="3.28515625" style="4" customWidth="1"/>
    <col min="7323" max="7323" width="8" style="4" customWidth="1"/>
    <col min="7324" max="7324" width="42.5703125" style="4" bestFit="1" customWidth="1"/>
    <col min="7325" max="7325" width="3.28515625" style="4" customWidth="1"/>
    <col min="7326" max="7326" width="8" style="4" customWidth="1"/>
    <col min="7327" max="7327" width="42.5703125" style="4" bestFit="1" customWidth="1"/>
    <col min="7328" max="7328" width="3.28515625" style="4" customWidth="1"/>
    <col min="7329" max="7329" width="8" style="4" customWidth="1"/>
    <col min="7330" max="7330" width="42.5703125" style="4" bestFit="1" customWidth="1"/>
    <col min="7331" max="7331" width="3.28515625" style="4" customWidth="1"/>
    <col min="7332" max="7332" width="8" style="4" customWidth="1"/>
    <col min="7333" max="7333" width="42.5703125" style="4" bestFit="1" customWidth="1"/>
    <col min="7334" max="7334" width="3.28515625" style="4" customWidth="1"/>
    <col min="7335" max="7335" width="8" style="4" customWidth="1"/>
    <col min="7336" max="7336" width="42.5703125" style="4" bestFit="1" customWidth="1"/>
    <col min="7337" max="7337" width="3.28515625" style="4" customWidth="1"/>
    <col min="7338" max="7338" width="8" style="4" customWidth="1"/>
    <col min="7339" max="7339" width="42.5703125" style="4" bestFit="1" customWidth="1"/>
    <col min="7340" max="7340" width="3.28515625" style="4" customWidth="1"/>
    <col min="7341" max="7341" width="8" style="4" customWidth="1"/>
    <col min="7342" max="7342" width="42.5703125" style="4" bestFit="1" customWidth="1"/>
    <col min="7343" max="7343" width="3.28515625" style="4" customWidth="1"/>
    <col min="7344" max="7344" width="8" style="4" customWidth="1"/>
    <col min="7345" max="7345" width="42.5703125" style="4" bestFit="1" customWidth="1"/>
    <col min="7346" max="7346" width="3.28515625" style="4" customWidth="1"/>
    <col min="7347" max="7347" width="8" style="4" customWidth="1"/>
    <col min="7348" max="7348" width="42.5703125" style="4" bestFit="1" customWidth="1"/>
    <col min="7349" max="7349" width="3.28515625" style="4" customWidth="1"/>
    <col min="7350" max="7350" width="8" style="4" customWidth="1"/>
    <col min="7351" max="7351" width="42.5703125" style="4" bestFit="1" customWidth="1"/>
    <col min="7352" max="7352" width="3.28515625" style="4" customWidth="1"/>
    <col min="7353" max="7353" width="8" style="4" customWidth="1"/>
    <col min="7354" max="7354" width="42.5703125" style="4" bestFit="1" customWidth="1"/>
    <col min="7355" max="7355" width="3.28515625" style="4" customWidth="1"/>
    <col min="7356" max="7356" width="8" style="4" customWidth="1"/>
    <col min="7357" max="7357" width="42.5703125" style="4" bestFit="1" customWidth="1"/>
    <col min="7358" max="7358" width="3.28515625" style="4" customWidth="1"/>
    <col min="7359" max="7359" width="8" style="4" customWidth="1"/>
    <col min="7360" max="7360" width="42.5703125" style="4" bestFit="1" customWidth="1"/>
    <col min="7361" max="7361" width="3.28515625" style="4" customWidth="1"/>
    <col min="7362" max="7362" width="8" style="4" customWidth="1"/>
    <col min="7363" max="7363" width="42.5703125" style="4" bestFit="1" customWidth="1"/>
    <col min="7364" max="7364" width="3.28515625" style="4" customWidth="1"/>
    <col min="7365" max="7365" width="8" style="4" customWidth="1"/>
    <col min="7366" max="7366" width="42.5703125" style="4" bestFit="1" customWidth="1"/>
    <col min="7367" max="7367" width="3.28515625" style="4" customWidth="1"/>
    <col min="7368" max="7368" width="8" style="4" customWidth="1"/>
    <col min="7369" max="7369" width="42.5703125" style="4" bestFit="1" customWidth="1"/>
    <col min="7370" max="7370" width="3.28515625" style="4" customWidth="1"/>
    <col min="7371" max="7371" width="8" style="4" customWidth="1"/>
    <col min="7372" max="7372" width="42.5703125" style="4" bestFit="1" customWidth="1"/>
    <col min="7373" max="7373" width="3.28515625" style="4" customWidth="1"/>
    <col min="7374" max="7374" width="8" style="4" customWidth="1"/>
    <col min="7375" max="7375" width="42.5703125" style="4" bestFit="1" customWidth="1"/>
    <col min="7376" max="7376" width="3.28515625" style="4" customWidth="1"/>
    <col min="7377" max="7377" width="8" style="4" customWidth="1"/>
    <col min="7378" max="7378" width="42.5703125" style="4" bestFit="1" customWidth="1"/>
    <col min="7379" max="7379" width="3.28515625" style="4" customWidth="1"/>
    <col min="7380" max="7380" width="8" style="4" customWidth="1"/>
    <col min="7381" max="7381" width="42.5703125" style="4" bestFit="1" customWidth="1"/>
    <col min="7382" max="7382" width="3.28515625" style="4" customWidth="1"/>
    <col min="7383" max="7383" width="8" style="4" customWidth="1"/>
    <col min="7384" max="7384" width="42.5703125" style="4" bestFit="1" customWidth="1"/>
    <col min="7385" max="7385" width="3.28515625" style="4" customWidth="1"/>
    <col min="7386" max="7386" width="8" style="4" customWidth="1"/>
    <col min="7387" max="7387" width="42.5703125" style="4" bestFit="1" customWidth="1"/>
    <col min="7388" max="7388" width="3.28515625" style="4" customWidth="1"/>
    <col min="7389" max="7389" width="8" style="4" customWidth="1"/>
    <col min="7390" max="7390" width="42.5703125" style="4" bestFit="1" customWidth="1"/>
    <col min="7391" max="7391" width="3.28515625" style="4" customWidth="1"/>
    <col min="7392" max="7392" width="8" style="4" customWidth="1"/>
    <col min="7393" max="7393" width="42.5703125" style="4" bestFit="1" customWidth="1"/>
    <col min="7394" max="7394" width="3.28515625" style="4" customWidth="1"/>
    <col min="7395" max="7395" width="8" style="4" customWidth="1"/>
    <col min="7396" max="7396" width="42.5703125" style="4" bestFit="1" customWidth="1"/>
    <col min="7397" max="7397" width="3.28515625" style="4" customWidth="1"/>
    <col min="7398" max="7398" width="8" style="4" customWidth="1"/>
    <col min="7399" max="7399" width="42.5703125" style="4" bestFit="1" customWidth="1"/>
    <col min="7400" max="7400" width="3.28515625" style="4" customWidth="1"/>
    <col min="7401" max="7401" width="8" style="4" customWidth="1"/>
    <col min="7402" max="7402" width="42.5703125" style="4" bestFit="1" customWidth="1"/>
    <col min="7403" max="7403" width="3.28515625" style="4" customWidth="1"/>
    <col min="7404" max="7404" width="8" style="4" customWidth="1"/>
    <col min="7405" max="7405" width="42.5703125" style="4" bestFit="1" customWidth="1"/>
    <col min="7406" max="7406" width="3.28515625" style="4" customWidth="1"/>
    <col min="7407" max="7407" width="8" style="4" customWidth="1"/>
    <col min="7408" max="7408" width="42.5703125" style="4" bestFit="1" customWidth="1"/>
    <col min="7409" max="7409" width="3.28515625" style="4" customWidth="1"/>
    <col min="7410" max="7410" width="8" style="4" customWidth="1"/>
    <col min="7411" max="7411" width="42.5703125" style="4" bestFit="1" customWidth="1"/>
    <col min="7412" max="7412" width="3.28515625" style="4" customWidth="1"/>
    <col min="7413" max="7413" width="8" style="4" customWidth="1"/>
    <col min="7414" max="7414" width="42.5703125" style="4" bestFit="1" customWidth="1"/>
    <col min="7415" max="7415" width="3.28515625" style="4" customWidth="1"/>
    <col min="7416" max="7416" width="8" style="4" customWidth="1"/>
    <col min="7417" max="7417" width="42.5703125" style="4" bestFit="1" customWidth="1"/>
    <col min="7418" max="7418" width="3.28515625" style="4" customWidth="1"/>
    <col min="7419" max="7419" width="8" style="4" customWidth="1"/>
    <col min="7420" max="7420" width="42.5703125" style="4" bestFit="1" customWidth="1"/>
    <col min="7421" max="7421" width="3.28515625" style="4" customWidth="1"/>
    <col min="7422" max="7422" width="8" style="4" customWidth="1"/>
    <col min="7423" max="7423" width="42.5703125" style="4" bestFit="1" customWidth="1"/>
    <col min="7424" max="7424" width="3.28515625" style="4" customWidth="1"/>
    <col min="7425" max="7425" width="8" style="4" customWidth="1"/>
    <col min="7426" max="7426" width="42.5703125" style="4" bestFit="1" customWidth="1"/>
    <col min="7427" max="7427" width="3.28515625" style="4" customWidth="1"/>
    <col min="7428" max="7428" width="8" style="4" customWidth="1"/>
    <col min="7429" max="7429" width="42.5703125" style="4" bestFit="1" customWidth="1"/>
    <col min="7430" max="7430" width="3.28515625" style="4" customWidth="1"/>
    <col min="7431" max="7431" width="8" style="4" customWidth="1"/>
    <col min="7432" max="7432" width="42.5703125" style="4" bestFit="1" customWidth="1"/>
    <col min="7433" max="7433" width="3.28515625" style="4" customWidth="1"/>
    <col min="7434" max="7434" width="8" style="4" customWidth="1"/>
    <col min="7435" max="7435" width="42.5703125" style="4" bestFit="1" customWidth="1"/>
    <col min="7436" max="7436" width="3.28515625" style="4" customWidth="1"/>
    <col min="7437" max="7437" width="8" style="4" customWidth="1"/>
    <col min="7438" max="7438" width="42.5703125" style="4" bestFit="1" customWidth="1"/>
    <col min="7439" max="7439" width="3.28515625" style="4" customWidth="1"/>
    <col min="7440" max="7440" width="8" style="4" customWidth="1"/>
    <col min="7441" max="7441" width="42.5703125" style="4" bestFit="1" customWidth="1"/>
    <col min="7442" max="7442" width="3.28515625" style="4" customWidth="1"/>
    <col min="7443" max="7443" width="8" style="4" customWidth="1"/>
    <col min="7444" max="7444" width="42.5703125" style="4" bestFit="1" customWidth="1"/>
    <col min="7445" max="7445" width="3.28515625" style="4" customWidth="1"/>
    <col min="7446" max="7446" width="8" style="4" customWidth="1"/>
    <col min="7447" max="7447" width="42.5703125" style="4" bestFit="1" customWidth="1"/>
    <col min="7448" max="7448" width="3.28515625" style="4" customWidth="1"/>
    <col min="7449" max="7449" width="8" style="4" customWidth="1"/>
    <col min="7450" max="7450" width="42.5703125" style="4" bestFit="1" customWidth="1"/>
    <col min="7451" max="7451" width="3.28515625" style="4" customWidth="1"/>
    <col min="7452" max="7452" width="8" style="4" customWidth="1"/>
    <col min="7453" max="7453" width="42.5703125" style="4" bestFit="1" customWidth="1"/>
    <col min="7454" max="7454" width="3.28515625" style="4" customWidth="1"/>
    <col min="7455" max="7455" width="8" style="4" customWidth="1"/>
    <col min="7456" max="7456" width="42.5703125" style="4" bestFit="1" customWidth="1"/>
    <col min="7457" max="7457" width="3.28515625" style="4" customWidth="1"/>
    <col min="7458" max="7458" width="8" style="4" customWidth="1"/>
    <col min="7459" max="7459" width="42.5703125" style="4" bestFit="1" customWidth="1"/>
    <col min="7460" max="7460" width="3.28515625" style="4" customWidth="1"/>
    <col min="7461" max="7461" width="8" style="4" customWidth="1"/>
    <col min="7462" max="7462" width="42.5703125" style="4" bestFit="1" customWidth="1"/>
    <col min="7463" max="7463" width="3.28515625" style="4" customWidth="1"/>
    <col min="7464" max="7464" width="8" style="4" customWidth="1"/>
    <col min="7465" max="7465" width="42.5703125" style="4" bestFit="1" customWidth="1"/>
    <col min="7466" max="7466" width="3.28515625" style="4" customWidth="1"/>
    <col min="7467" max="7467" width="8" style="4" customWidth="1"/>
    <col min="7468" max="7468" width="42.5703125" style="4" bestFit="1" customWidth="1"/>
    <col min="7469" max="7469" width="3.28515625" style="4" customWidth="1"/>
    <col min="7470" max="7470" width="8" style="4" customWidth="1"/>
    <col min="7471" max="7471" width="42.5703125" style="4" bestFit="1" customWidth="1"/>
    <col min="7472" max="7472" width="3.28515625" style="4" customWidth="1"/>
    <col min="7473" max="7473" width="8" style="4" customWidth="1"/>
    <col min="7474" max="7474" width="42.5703125" style="4" bestFit="1" customWidth="1"/>
    <col min="7475" max="7475" width="3.28515625" style="4" customWidth="1"/>
    <col min="7476" max="7476" width="8" style="4" customWidth="1"/>
    <col min="7477" max="7477" width="42.5703125" style="4" bestFit="1" customWidth="1"/>
    <col min="7478" max="7478" width="3.28515625" style="4" customWidth="1"/>
    <col min="7479" max="7479" width="8" style="4" customWidth="1"/>
    <col min="7480" max="7480" width="42.5703125" style="4" bestFit="1" customWidth="1"/>
    <col min="7481" max="7481" width="3.28515625" style="4" customWidth="1"/>
    <col min="7482" max="7482" width="8" style="4" customWidth="1"/>
    <col min="7483" max="7483" width="42.5703125" style="4" bestFit="1" customWidth="1"/>
    <col min="7484" max="7484" width="3.28515625" style="4" customWidth="1"/>
    <col min="7485" max="7485" width="8" style="4" customWidth="1"/>
    <col min="7486" max="7486" width="42.5703125" style="4" bestFit="1" customWidth="1"/>
    <col min="7487" max="7487" width="3.28515625" style="4" customWidth="1"/>
    <col min="7488" max="7488" width="8" style="4" customWidth="1"/>
    <col min="7489" max="7489" width="42.5703125" style="4" bestFit="1" customWidth="1"/>
    <col min="7490" max="7490" width="3.28515625" style="4" customWidth="1"/>
    <col min="7491" max="7491" width="8" style="4" customWidth="1"/>
    <col min="7492" max="7492" width="42.5703125" style="4" bestFit="1" customWidth="1"/>
    <col min="7493" max="7493" width="3.28515625" style="4" customWidth="1"/>
    <col min="7494" max="7494" width="8" style="4" customWidth="1"/>
    <col min="7495" max="7495" width="42.5703125" style="4" bestFit="1" customWidth="1"/>
    <col min="7496" max="7496" width="3.28515625" style="4" customWidth="1"/>
    <col min="7497" max="7497" width="8" style="4" customWidth="1"/>
    <col min="7498" max="7498" width="42.5703125" style="4" bestFit="1" customWidth="1"/>
    <col min="7499" max="7499" width="3.28515625" style="4" customWidth="1"/>
    <col min="7500" max="7500" width="8" style="4" customWidth="1"/>
    <col min="7501" max="7501" width="42.5703125" style="4" bestFit="1" customWidth="1"/>
    <col min="7502" max="7502" width="3.28515625" style="4" customWidth="1"/>
    <col min="7503" max="7503" width="8" style="4" customWidth="1"/>
    <col min="7504" max="7504" width="42.5703125" style="4" bestFit="1" customWidth="1"/>
    <col min="7505" max="7505" width="3.28515625" style="4" customWidth="1"/>
    <col min="7506" max="7506" width="8" style="4" customWidth="1"/>
    <col min="7507" max="7507" width="42.5703125" style="4" bestFit="1" customWidth="1"/>
    <col min="7508" max="7508" width="3.28515625" style="4" customWidth="1"/>
    <col min="7509" max="7509" width="8" style="4" customWidth="1"/>
    <col min="7510" max="7510" width="42.5703125" style="4" bestFit="1" customWidth="1"/>
    <col min="7511" max="7511" width="3.28515625" style="4" customWidth="1"/>
    <col min="7512" max="7512" width="8" style="4" customWidth="1"/>
    <col min="7513" max="7513" width="42.5703125" style="4" bestFit="1" customWidth="1"/>
    <col min="7514" max="7514" width="3.28515625" style="4" customWidth="1"/>
    <col min="7515" max="7515" width="8" style="4" customWidth="1"/>
    <col min="7516" max="7516" width="42.5703125" style="4" bestFit="1" customWidth="1"/>
    <col min="7517" max="7517" width="3.28515625" style="4" customWidth="1"/>
    <col min="7518" max="7518" width="8" style="4" customWidth="1"/>
    <col min="7519" max="7519" width="42.5703125" style="4" bestFit="1" customWidth="1"/>
    <col min="7520" max="7520" width="3.28515625" style="4" customWidth="1"/>
    <col min="7521" max="7521" width="8" style="4" customWidth="1"/>
    <col min="7522" max="7522" width="42.5703125" style="4" bestFit="1" customWidth="1"/>
    <col min="7523" max="7523" width="3.28515625" style="4" customWidth="1"/>
    <col min="7524" max="7524" width="8" style="4" customWidth="1"/>
    <col min="7525" max="7525" width="42.5703125" style="4" bestFit="1" customWidth="1"/>
    <col min="7526" max="7526" width="3.28515625" style="4" customWidth="1"/>
    <col min="7527" max="7527" width="8" style="4" customWidth="1"/>
    <col min="7528" max="7528" width="42.5703125" style="4" bestFit="1" customWidth="1"/>
    <col min="7529" max="7529" width="3.28515625" style="4" customWidth="1"/>
    <col min="7530" max="7530" width="8" style="4" customWidth="1"/>
    <col min="7531" max="7531" width="42.5703125" style="4" bestFit="1" customWidth="1"/>
    <col min="7532" max="7532" width="3.28515625" style="4" customWidth="1"/>
    <col min="7533" max="7533" width="8" style="4" customWidth="1"/>
    <col min="7534" max="7534" width="42.5703125" style="4" bestFit="1" customWidth="1"/>
    <col min="7535" max="7535" width="3.28515625" style="4" customWidth="1"/>
    <col min="7536" max="7536" width="8" style="4" customWidth="1"/>
    <col min="7537" max="7537" width="42.5703125" style="4" bestFit="1" customWidth="1"/>
    <col min="7538" max="7538" width="3.28515625" style="4" customWidth="1"/>
    <col min="7539" max="7539" width="8" style="4" customWidth="1"/>
    <col min="7540" max="7540" width="42.5703125" style="4" bestFit="1" customWidth="1"/>
    <col min="7541" max="7541" width="3.28515625" style="4" customWidth="1"/>
    <col min="7542" max="7542" width="8" style="4" customWidth="1"/>
    <col min="7543" max="7543" width="42.5703125" style="4" bestFit="1" customWidth="1"/>
    <col min="7544" max="7544" width="3.28515625" style="4" customWidth="1"/>
    <col min="7545" max="7545" width="8" style="4" customWidth="1"/>
    <col min="7546" max="7546" width="42.5703125" style="4" bestFit="1" customWidth="1"/>
    <col min="7547" max="7547" width="3.28515625" style="4" customWidth="1"/>
    <col min="7548" max="7548" width="8" style="4" customWidth="1"/>
    <col min="7549" max="7549" width="42.5703125" style="4" bestFit="1" customWidth="1"/>
    <col min="7550" max="7550" width="3.28515625" style="4" customWidth="1"/>
    <col min="7551" max="7551" width="8" style="4" customWidth="1"/>
    <col min="7552" max="7552" width="42.5703125" style="4" bestFit="1" customWidth="1"/>
    <col min="7553" max="7553" width="3.28515625" style="4" customWidth="1"/>
    <col min="7554" max="7554" width="8" style="4" customWidth="1"/>
    <col min="7555" max="7555" width="42.5703125" style="4" bestFit="1" customWidth="1"/>
    <col min="7556" max="7556" width="3.28515625" style="4" customWidth="1"/>
    <col min="7557" max="7557" width="8" style="4" customWidth="1"/>
    <col min="7558" max="7558" width="42.5703125" style="4" bestFit="1" customWidth="1"/>
    <col min="7559" max="7559" width="3.28515625" style="4" customWidth="1"/>
    <col min="7560" max="7560" width="8" style="4" customWidth="1"/>
    <col min="7561" max="7561" width="42.5703125" style="4" bestFit="1" customWidth="1"/>
    <col min="7562" max="7562" width="3.28515625" style="4" customWidth="1"/>
    <col min="7563" max="7563" width="8" style="4" customWidth="1"/>
    <col min="7564" max="7564" width="42.5703125" style="4" bestFit="1" customWidth="1"/>
    <col min="7565" max="7565" width="3.28515625" style="4" customWidth="1"/>
    <col min="7566" max="7566" width="8" style="4" customWidth="1"/>
    <col min="7567" max="7567" width="42.5703125" style="4" bestFit="1" customWidth="1"/>
    <col min="7568" max="7568" width="3.28515625" style="4" customWidth="1"/>
    <col min="7569" max="7569" width="8" style="4" customWidth="1"/>
    <col min="7570" max="7570" width="42.5703125" style="4" bestFit="1" customWidth="1"/>
    <col min="7571" max="7571" width="3.28515625" style="4" customWidth="1"/>
    <col min="7572" max="7572" width="8" style="4" customWidth="1"/>
    <col min="7573" max="7573" width="42.5703125" style="4" bestFit="1" customWidth="1"/>
    <col min="7574" max="7574" width="3.28515625" style="4" customWidth="1"/>
    <col min="7575" max="7575" width="8" style="4" customWidth="1"/>
    <col min="7576" max="7576" width="42.5703125" style="4" bestFit="1" customWidth="1"/>
    <col min="7577" max="7577" width="3.28515625" style="4" customWidth="1"/>
    <col min="7578" max="7578" width="8" style="4" customWidth="1"/>
    <col min="7579" max="7579" width="42.5703125" style="4" bestFit="1" customWidth="1"/>
    <col min="7580" max="7580" width="3.28515625" style="4" customWidth="1"/>
    <col min="7581" max="7581" width="8" style="4" customWidth="1"/>
    <col min="7582" max="7582" width="42.5703125" style="4" bestFit="1" customWidth="1"/>
    <col min="7583" max="7583" width="3.28515625" style="4" customWidth="1"/>
    <col min="7584" max="7584" width="8" style="4" customWidth="1"/>
    <col min="7585" max="7585" width="42.5703125" style="4" bestFit="1" customWidth="1"/>
    <col min="7586" max="7586" width="3.28515625" style="4" customWidth="1"/>
    <col min="7587" max="7587" width="8" style="4" customWidth="1"/>
    <col min="7588" max="7588" width="42.5703125" style="4" bestFit="1" customWidth="1"/>
    <col min="7589" max="7589" width="3.28515625" style="4" customWidth="1"/>
    <col min="7590" max="7590" width="8" style="4" customWidth="1"/>
    <col min="7591" max="7591" width="42.5703125" style="4" bestFit="1" customWidth="1"/>
    <col min="7592" max="7592" width="3.28515625" style="4" customWidth="1"/>
    <col min="7593" max="7593" width="8" style="4" customWidth="1"/>
    <col min="7594" max="7594" width="42.5703125" style="4" bestFit="1" customWidth="1"/>
    <col min="7595" max="7595" width="3.28515625" style="4" customWidth="1"/>
    <col min="7596" max="7596" width="8" style="4" customWidth="1"/>
    <col min="7597" max="7597" width="42.5703125" style="4" bestFit="1" customWidth="1"/>
    <col min="7598" max="7598" width="3.28515625" style="4" customWidth="1"/>
    <col min="7599" max="7599" width="8" style="4" customWidth="1"/>
    <col min="7600" max="7600" width="42.5703125" style="4" bestFit="1" customWidth="1"/>
    <col min="7601" max="7601" width="3.28515625" style="4" customWidth="1"/>
    <col min="7602" max="7602" width="8" style="4" customWidth="1"/>
    <col min="7603" max="7603" width="42.5703125" style="4" bestFit="1" customWidth="1"/>
    <col min="7604" max="7604" width="3.28515625" style="4" customWidth="1"/>
    <col min="7605" max="7605" width="8" style="4" customWidth="1"/>
    <col min="7606" max="7606" width="42.5703125" style="4" bestFit="1" customWidth="1"/>
    <col min="7607" max="7607" width="3.28515625" style="4" customWidth="1"/>
    <col min="7608" max="7608" width="8" style="4" customWidth="1"/>
    <col min="7609" max="7609" width="42.5703125" style="4" bestFit="1" customWidth="1"/>
    <col min="7610" max="7610" width="3.28515625" style="4" customWidth="1"/>
    <col min="7611" max="7611" width="8" style="4" customWidth="1"/>
    <col min="7612" max="7612" width="42.5703125" style="4" bestFit="1" customWidth="1"/>
    <col min="7613" max="7613" width="3.28515625" style="4" customWidth="1"/>
    <col min="7614" max="7614" width="8" style="4" customWidth="1"/>
    <col min="7615" max="7615" width="42.5703125" style="4" bestFit="1" customWidth="1"/>
    <col min="7616" max="7616" width="3.28515625" style="4" customWidth="1"/>
    <col min="7617" max="7617" width="8" style="4" customWidth="1"/>
    <col min="7618" max="7618" width="42.5703125" style="4" bestFit="1" customWidth="1"/>
    <col min="7619" max="7619" width="3.28515625" style="4" customWidth="1"/>
    <col min="7620" max="7620" width="8" style="4" customWidth="1"/>
    <col min="7621" max="7621" width="42.5703125" style="4" bestFit="1" customWidth="1"/>
    <col min="7622" max="7622" width="3.28515625" style="4" customWidth="1"/>
    <col min="7623" max="7623" width="8" style="4" customWidth="1"/>
    <col min="7624" max="7624" width="42.5703125" style="4" bestFit="1" customWidth="1"/>
    <col min="7625" max="7625" width="3.28515625" style="4" customWidth="1"/>
    <col min="7626" max="7626" width="8" style="4" customWidth="1"/>
    <col min="7627" max="7627" width="42.5703125" style="4" bestFit="1" customWidth="1"/>
    <col min="7628" max="7628" width="3.28515625" style="4" customWidth="1"/>
    <col min="7629" max="7629" width="8" style="4" customWidth="1"/>
    <col min="7630" max="7630" width="42.5703125" style="4" bestFit="1" customWidth="1"/>
    <col min="7631" max="7631" width="3.28515625" style="4" customWidth="1"/>
    <col min="7632" max="7632" width="8" style="4" customWidth="1"/>
    <col min="7633" max="7633" width="42.5703125" style="4" bestFit="1" customWidth="1"/>
    <col min="7634" max="7634" width="3.28515625" style="4" customWidth="1"/>
    <col min="7635" max="7635" width="8" style="4" customWidth="1"/>
    <col min="7636" max="7636" width="42.5703125" style="4" bestFit="1" customWidth="1"/>
    <col min="7637" max="7637" width="3.28515625" style="4" customWidth="1"/>
    <col min="7638" max="7638" width="8" style="4" customWidth="1"/>
    <col min="7639" max="7639" width="42.5703125" style="4" bestFit="1" customWidth="1"/>
    <col min="7640" max="7640" width="3.28515625" style="4" customWidth="1"/>
    <col min="7641" max="7641" width="8" style="4" customWidth="1"/>
    <col min="7642" max="7642" width="42.5703125" style="4" bestFit="1" customWidth="1"/>
    <col min="7643" max="7643" width="3.28515625" style="4" customWidth="1"/>
    <col min="7644" max="7644" width="8" style="4" customWidth="1"/>
    <col min="7645" max="7645" width="42.5703125" style="4" bestFit="1" customWidth="1"/>
    <col min="7646" max="7646" width="3.28515625" style="4" customWidth="1"/>
    <col min="7647" max="7647" width="8" style="4" customWidth="1"/>
    <col min="7648" max="7648" width="42.5703125" style="4" bestFit="1" customWidth="1"/>
    <col min="7649" max="7649" width="3.28515625" style="4" customWidth="1"/>
    <col min="7650" max="7650" width="8" style="4" customWidth="1"/>
    <col min="7651" max="7651" width="42.5703125" style="4" bestFit="1" customWidth="1"/>
    <col min="7652" max="7652" width="3.28515625" style="4" customWidth="1"/>
    <col min="7653" max="7653" width="8" style="4" customWidth="1"/>
    <col min="7654" max="7654" width="42.5703125" style="4" bestFit="1" customWidth="1"/>
    <col min="7655" max="7655" width="3.28515625" style="4" customWidth="1"/>
    <col min="7656" max="7656" width="8" style="4" customWidth="1"/>
    <col min="7657" max="7657" width="42.5703125" style="4" bestFit="1" customWidth="1"/>
    <col min="7658" max="7658" width="3.28515625" style="4" customWidth="1"/>
    <col min="7659" max="7659" width="8" style="4" customWidth="1"/>
    <col min="7660" max="7660" width="42.5703125" style="4" bestFit="1" customWidth="1"/>
    <col min="7661" max="7661" width="3.28515625" style="4" customWidth="1"/>
    <col min="7662" max="7662" width="8" style="4" customWidth="1"/>
    <col min="7663" max="7663" width="42.5703125" style="4" bestFit="1" customWidth="1"/>
    <col min="7664" max="7664" width="3.28515625" style="4" customWidth="1"/>
    <col min="7665" max="7665" width="8" style="4" customWidth="1"/>
    <col min="7666" max="7666" width="42.5703125" style="4" bestFit="1" customWidth="1"/>
    <col min="7667" max="7667" width="3.28515625" style="4" customWidth="1"/>
    <col min="7668" max="7668" width="8" style="4" customWidth="1"/>
    <col min="7669" max="7669" width="42.5703125" style="4" bestFit="1" customWidth="1"/>
    <col min="7670" max="7670" width="3.28515625" style="4" customWidth="1"/>
    <col min="7671" max="7671" width="8" style="4" customWidth="1"/>
    <col min="7672" max="7672" width="42.5703125" style="4" bestFit="1" customWidth="1"/>
    <col min="7673" max="7673" width="3.28515625" style="4" customWidth="1"/>
    <col min="7674" max="7674" width="8" style="4" customWidth="1"/>
    <col min="7675" max="7675" width="42.5703125" style="4" bestFit="1" customWidth="1"/>
    <col min="7676" max="7676" width="3.28515625" style="4" customWidth="1"/>
    <col min="7677" max="7677" width="8" style="4" customWidth="1"/>
    <col min="7678" max="7678" width="42.5703125" style="4" bestFit="1" customWidth="1"/>
    <col min="7679" max="7679" width="3.28515625" style="4" customWidth="1"/>
    <col min="7680" max="7680" width="8" style="4" customWidth="1"/>
    <col min="7681" max="7681" width="42.5703125" style="4" bestFit="1" customWidth="1"/>
    <col min="7682" max="7682" width="3.28515625" style="4" customWidth="1"/>
    <col min="7683" max="7683" width="8" style="4" customWidth="1"/>
    <col min="7684" max="7684" width="42.5703125" style="4" bestFit="1" customWidth="1"/>
    <col min="7685" max="7685" width="3.28515625" style="4" customWidth="1"/>
    <col min="7686" max="7686" width="8" style="4" customWidth="1"/>
    <col min="7687" max="7687" width="42.5703125" style="4" bestFit="1" customWidth="1"/>
    <col min="7688" max="7688" width="3.28515625" style="4" customWidth="1"/>
    <col min="7689" max="7689" width="8" style="4" customWidth="1"/>
    <col min="7690" max="7690" width="42.5703125" style="4" bestFit="1" customWidth="1"/>
    <col min="7691" max="7691" width="3.28515625" style="4" customWidth="1"/>
    <col min="7692" max="7692" width="8" style="4" customWidth="1"/>
    <col min="7693" max="7693" width="42.5703125" style="4" bestFit="1" customWidth="1"/>
    <col min="7694" max="7694" width="3.28515625" style="4" customWidth="1"/>
    <col min="7695" max="7695" width="8" style="4" customWidth="1"/>
    <col min="7696" max="7696" width="42.5703125" style="4" bestFit="1" customWidth="1"/>
    <col min="7697" max="7697" width="3.28515625" style="4" customWidth="1"/>
    <col min="7698" max="7698" width="8" style="4" customWidth="1"/>
    <col min="7699" max="7699" width="42.5703125" style="4" bestFit="1" customWidth="1"/>
    <col min="7700" max="7700" width="3.28515625" style="4" customWidth="1"/>
    <col min="7701" max="7701" width="8" style="4" customWidth="1"/>
    <col min="7702" max="7702" width="42.5703125" style="4" bestFit="1" customWidth="1"/>
    <col min="7703" max="7703" width="3.28515625" style="4" customWidth="1"/>
    <col min="7704" max="7704" width="8" style="4" customWidth="1"/>
    <col min="7705" max="7705" width="42.5703125" style="4" bestFit="1" customWidth="1"/>
    <col min="7706" max="7706" width="3.28515625" style="4" customWidth="1"/>
    <col min="7707" max="7707" width="8" style="4" customWidth="1"/>
    <col min="7708" max="7708" width="42.5703125" style="4" bestFit="1" customWidth="1"/>
    <col min="7709" max="7709" width="3.28515625" style="4" customWidth="1"/>
    <col min="7710" max="7710" width="8" style="4" customWidth="1"/>
    <col min="7711" max="7711" width="42.5703125" style="4" bestFit="1" customWidth="1"/>
    <col min="7712" max="7712" width="3.28515625" style="4" customWidth="1"/>
    <col min="7713" max="7713" width="8" style="4" customWidth="1"/>
    <col min="7714" max="7714" width="42.5703125" style="4" bestFit="1" customWidth="1"/>
    <col min="7715" max="7715" width="3.28515625" style="4" customWidth="1"/>
    <col min="7716" max="7716" width="8" style="4" customWidth="1"/>
    <col min="7717" max="7717" width="42.5703125" style="4" bestFit="1" customWidth="1"/>
    <col min="7718" max="7718" width="3.28515625" style="4" customWidth="1"/>
    <col min="7719" max="7719" width="8" style="4" customWidth="1"/>
    <col min="7720" max="7720" width="42.5703125" style="4" bestFit="1" customWidth="1"/>
    <col min="7721" max="7721" width="3.28515625" style="4" customWidth="1"/>
    <col min="7722" max="7722" width="8" style="4" customWidth="1"/>
    <col min="7723" max="7723" width="42.5703125" style="4" bestFit="1" customWidth="1"/>
    <col min="7724" max="7724" width="3.28515625" style="4" customWidth="1"/>
    <col min="7725" max="7725" width="8" style="4" customWidth="1"/>
    <col min="7726" max="7726" width="42.5703125" style="4" bestFit="1" customWidth="1"/>
    <col min="7727" max="7727" width="3.28515625" style="4" customWidth="1"/>
    <col min="7728" max="7728" width="8" style="4" customWidth="1"/>
    <col min="7729" max="7729" width="42.5703125" style="4" bestFit="1" customWidth="1"/>
    <col min="7730" max="7730" width="3.28515625" style="4" customWidth="1"/>
    <col min="7731" max="7731" width="8" style="4" customWidth="1"/>
    <col min="7732" max="7732" width="42.5703125" style="4" bestFit="1" customWidth="1"/>
    <col min="7733" max="7733" width="3.28515625" style="4" customWidth="1"/>
    <col min="7734" max="7734" width="8" style="4" customWidth="1"/>
    <col min="7735" max="7735" width="42.5703125" style="4" bestFit="1" customWidth="1"/>
    <col min="7736" max="7736" width="3.28515625" style="4" customWidth="1"/>
    <col min="7737" max="7737" width="8" style="4" customWidth="1"/>
    <col min="7738" max="7738" width="42.5703125" style="4" bestFit="1" customWidth="1"/>
    <col min="7739" max="7739" width="3.28515625" style="4" customWidth="1"/>
    <col min="7740" max="7740" width="8" style="4" customWidth="1"/>
    <col min="7741" max="7741" width="42.5703125" style="4" bestFit="1" customWidth="1"/>
    <col min="7742" max="7742" width="3.28515625" style="4" customWidth="1"/>
    <col min="7743" max="7743" width="8" style="4" customWidth="1"/>
    <col min="7744" max="7744" width="42.5703125" style="4" bestFit="1" customWidth="1"/>
    <col min="7745" max="7745" width="3.28515625" style="4" customWidth="1"/>
    <col min="7746" max="7746" width="8" style="4" customWidth="1"/>
    <col min="7747" max="7747" width="42.5703125" style="4" bestFit="1" customWidth="1"/>
    <col min="7748" max="7748" width="3.28515625" style="4" customWidth="1"/>
    <col min="7749" max="7749" width="8" style="4" customWidth="1"/>
    <col min="7750" max="7750" width="42.5703125" style="4" bestFit="1" customWidth="1"/>
    <col min="7751" max="7751" width="3.28515625" style="4" customWidth="1"/>
    <col min="7752" max="7752" width="8" style="4" customWidth="1"/>
    <col min="7753" max="7753" width="42.5703125" style="4" bestFit="1" customWidth="1"/>
    <col min="7754" max="7754" width="3.28515625" style="4" customWidth="1"/>
    <col min="7755" max="7755" width="8" style="4" customWidth="1"/>
    <col min="7756" max="7756" width="42.5703125" style="4" bestFit="1" customWidth="1"/>
    <col min="7757" max="7757" width="3.28515625" style="4" customWidth="1"/>
    <col min="7758" max="7758" width="8" style="4" customWidth="1"/>
    <col min="7759" max="7759" width="42.5703125" style="4" bestFit="1" customWidth="1"/>
    <col min="7760" max="7760" width="3.28515625" style="4" customWidth="1"/>
    <col min="7761" max="7761" width="8" style="4" customWidth="1"/>
    <col min="7762" max="7762" width="42.5703125" style="4" bestFit="1" customWidth="1"/>
    <col min="7763" max="7763" width="3.28515625" style="4" customWidth="1"/>
    <col min="7764" max="7764" width="8" style="4" customWidth="1"/>
    <col min="7765" max="7765" width="42.5703125" style="4" bestFit="1" customWidth="1"/>
    <col min="7766" max="7766" width="3.28515625" style="4" customWidth="1"/>
    <col min="7767" max="7767" width="8" style="4" customWidth="1"/>
    <col min="7768" max="7768" width="42.5703125" style="4" bestFit="1" customWidth="1"/>
    <col min="7769" max="7769" width="3.28515625" style="4" customWidth="1"/>
    <col min="7770" max="7770" width="8" style="4" customWidth="1"/>
    <col min="7771" max="7771" width="42.5703125" style="4" bestFit="1" customWidth="1"/>
    <col min="7772" max="7772" width="3.28515625" style="4" customWidth="1"/>
    <col min="7773" max="7773" width="8" style="4" customWidth="1"/>
    <col min="7774" max="7774" width="42.5703125" style="4" bestFit="1" customWidth="1"/>
    <col min="7775" max="7775" width="3.28515625" style="4" customWidth="1"/>
    <col min="7776" max="7776" width="8" style="4" customWidth="1"/>
    <col min="7777" max="7777" width="42.5703125" style="4" bestFit="1" customWidth="1"/>
    <col min="7778" max="7778" width="3.28515625" style="4" customWidth="1"/>
    <col min="7779" max="7779" width="8" style="4" customWidth="1"/>
    <col min="7780" max="7780" width="42.5703125" style="4" bestFit="1" customWidth="1"/>
    <col min="7781" max="7781" width="3.28515625" style="4" customWidth="1"/>
    <col min="7782" max="7782" width="8" style="4" customWidth="1"/>
    <col min="7783" max="7783" width="42.5703125" style="4" bestFit="1" customWidth="1"/>
    <col min="7784" max="7784" width="3.28515625" style="4" customWidth="1"/>
    <col min="7785" max="7785" width="8" style="4" customWidth="1"/>
    <col min="7786" max="7786" width="42.5703125" style="4" bestFit="1" customWidth="1"/>
    <col min="7787" max="7787" width="3.28515625" style="4" customWidth="1"/>
    <col min="7788" max="7788" width="8" style="4" customWidth="1"/>
    <col min="7789" max="7789" width="42.5703125" style="4" bestFit="1" customWidth="1"/>
    <col min="7790" max="7790" width="3.28515625" style="4" customWidth="1"/>
    <col min="7791" max="7791" width="8" style="4" customWidth="1"/>
    <col min="7792" max="7792" width="42.5703125" style="4" bestFit="1" customWidth="1"/>
    <col min="7793" max="7793" width="3.28515625" style="4" customWidth="1"/>
    <col min="7794" max="7794" width="8" style="4" customWidth="1"/>
    <col min="7795" max="7795" width="42.5703125" style="4" bestFit="1" customWidth="1"/>
    <col min="7796" max="7796" width="3.28515625" style="4" customWidth="1"/>
    <col min="7797" max="7797" width="8" style="4" customWidth="1"/>
    <col min="7798" max="7798" width="42.5703125" style="4" bestFit="1" customWidth="1"/>
    <col min="7799" max="7799" width="3.28515625" style="4" customWidth="1"/>
    <col min="7800" max="7800" width="8" style="4" customWidth="1"/>
    <col min="7801" max="7801" width="42.5703125" style="4" bestFit="1" customWidth="1"/>
    <col min="7802" max="7802" width="3.28515625" style="4" customWidth="1"/>
    <col min="7803" max="7803" width="8" style="4" customWidth="1"/>
    <col min="7804" max="7804" width="42.5703125" style="4" bestFit="1" customWidth="1"/>
    <col min="7805" max="7805" width="3.28515625" style="4" customWidth="1"/>
    <col min="7806" max="7806" width="8" style="4" customWidth="1"/>
    <col min="7807" max="7807" width="42.5703125" style="4" bestFit="1" customWidth="1"/>
    <col min="7808" max="7808" width="3.28515625" style="4" customWidth="1"/>
    <col min="7809" max="7809" width="8" style="4" customWidth="1"/>
    <col min="7810" max="7810" width="42.5703125" style="4" bestFit="1" customWidth="1"/>
    <col min="7811" max="7811" width="3.28515625" style="4" customWidth="1"/>
    <col min="7812" max="7812" width="8" style="4" customWidth="1"/>
    <col min="7813" max="7813" width="42.5703125" style="4" bestFit="1" customWidth="1"/>
    <col min="7814" max="7814" width="3.28515625" style="4" customWidth="1"/>
    <col min="7815" max="7815" width="8" style="4" customWidth="1"/>
    <col min="7816" max="7816" width="42.5703125" style="4" bestFit="1" customWidth="1"/>
    <col min="7817" max="7817" width="3.28515625" style="4" customWidth="1"/>
    <col min="7818" max="7818" width="8" style="4" customWidth="1"/>
    <col min="7819" max="7819" width="42.5703125" style="4" bestFit="1" customWidth="1"/>
    <col min="7820" max="7820" width="3.28515625" style="4" customWidth="1"/>
    <col min="7821" max="7821" width="8" style="4" customWidth="1"/>
    <col min="7822" max="7822" width="42.5703125" style="4" bestFit="1" customWidth="1"/>
    <col min="7823" max="7823" width="3.28515625" style="4" customWidth="1"/>
    <col min="7824" max="7824" width="8" style="4" customWidth="1"/>
    <col min="7825" max="7825" width="42.5703125" style="4" bestFit="1" customWidth="1"/>
    <col min="7826" max="7826" width="3.28515625" style="4" customWidth="1"/>
    <col min="7827" max="7827" width="8" style="4" customWidth="1"/>
    <col min="7828" max="7828" width="42.5703125" style="4" bestFit="1" customWidth="1"/>
    <col min="7829" max="7829" width="3.28515625" style="4" customWidth="1"/>
    <col min="7830" max="7830" width="8" style="4" customWidth="1"/>
    <col min="7831" max="7831" width="42.5703125" style="4" bestFit="1" customWidth="1"/>
    <col min="7832" max="7832" width="3.28515625" style="4" customWidth="1"/>
    <col min="7833" max="7833" width="8" style="4" customWidth="1"/>
    <col min="7834" max="7834" width="42.5703125" style="4" bestFit="1" customWidth="1"/>
    <col min="7835" max="7835" width="3.28515625" style="4" customWidth="1"/>
    <col min="7836" max="7836" width="8" style="4" customWidth="1"/>
    <col min="7837" max="7837" width="42.5703125" style="4" bestFit="1" customWidth="1"/>
    <col min="7838" max="7838" width="3.28515625" style="4" customWidth="1"/>
    <col min="7839" max="7839" width="8" style="4" customWidth="1"/>
    <col min="7840" max="7840" width="42.5703125" style="4" bestFit="1" customWidth="1"/>
    <col min="7841" max="7841" width="3.28515625" style="4" customWidth="1"/>
    <col min="7842" max="7842" width="8" style="4" customWidth="1"/>
    <col min="7843" max="7843" width="42.5703125" style="4" bestFit="1" customWidth="1"/>
    <col min="7844" max="7844" width="3.28515625" style="4" customWidth="1"/>
    <col min="7845" max="7845" width="8" style="4" customWidth="1"/>
    <col min="7846" max="7846" width="42.5703125" style="4" bestFit="1" customWidth="1"/>
    <col min="7847" max="7847" width="3.28515625" style="4" customWidth="1"/>
    <col min="7848" max="7848" width="8" style="4" customWidth="1"/>
    <col min="7849" max="7849" width="42.5703125" style="4" bestFit="1" customWidth="1"/>
    <col min="7850" max="7850" width="3.28515625" style="4" customWidth="1"/>
    <col min="7851" max="7851" width="8" style="4" customWidth="1"/>
    <col min="7852" max="7852" width="42.5703125" style="4" bestFit="1" customWidth="1"/>
    <col min="7853" max="7853" width="3.28515625" style="4" customWidth="1"/>
    <col min="7854" max="7854" width="8" style="4" customWidth="1"/>
    <col min="7855" max="7855" width="42.5703125" style="4" bestFit="1" customWidth="1"/>
    <col min="7856" max="7856" width="3.28515625" style="4" customWidth="1"/>
    <col min="7857" max="7857" width="8" style="4" customWidth="1"/>
    <col min="7858" max="7858" width="42.5703125" style="4" bestFit="1" customWidth="1"/>
    <col min="7859" max="7859" width="3.28515625" style="4" customWidth="1"/>
    <col min="7860" max="7860" width="8" style="4" customWidth="1"/>
    <col min="7861" max="7861" width="42.5703125" style="4" bestFit="1" customWidth="1"/>
    <col min="7862" max="7862" width="3.28515625" style="4" customWidth="1"/>
    <col min="7863" max="7863" width="8" style="4" customWidth="1"/>
    <col min="7864" max="7864" width="42.5703125" style="4" bestFit="1" customWidth="1"/>
    <col min="7865" max="7865" width="3.28515625" style="4" customWidth="1"/>
    <col min="7866" max="7866" width="8" style="4" customWidth="1"/>
    <col min="7867" max="7867" width="42.5703125" style="4" bestFit="1" customWidth="1"/>
    <col min="7868" max="7868" width="3.28515625" style="4" customWidth="1"/>
    <col min="7869" max="7869" width="8" style="4" customWidth="1"/>
    <col min="7870" max="7870" width="42.5703125" style="4" bestFit="1" customWidth="1"/>
    <col min="7871" max="7871" width="3.28515625" style="4" customWidth="1"/>
    <col min="7872" max="7872" width="8" style="4" customWidth="1"/>
    <col min="7873" max="7873" width="42.5703125" style="4" bestFit="1" customWidth="1"/>
    <col min="7874" max="7874" width="3.28515625" style="4" customWidth="1"/>
    <col min="7875" max="7875" width="8" style="4" customWidth="1"/>
    <col min="7876" max="7876" width="42.5703125" style="4" bestFit="1" customWidth="1"/>
    <col min="7877" max="7877" width="3.28515625" style="4" customWidth="1"/>
    <col min="7878" max="7878" width="8" style="4" customWidth="1"/>
    <col min="7879" max="7879" width="42.5703125" style="4" bestFit="1" customWidth="1"/>
    <col min="7880" max="7880" width="3.28515625" style="4" customWidth="1"/>
    <col min="7881" max="7881" width="8" style="4" customWidth="1"/>
    <col min="7882" max="7882" width="42.5703125" style="4" bestFit="1" customWidth="1"/>
    <col min="7883" max="7883" width="3.28515625" style="4" customWidth="1"/>
    <col min="7884" max="7884" width="8" style="4" customWidth="1"/>
    <col min="7885" max="7885" width="42.5703125" style="4" bestFit="1" customWidth="1"/>
    <col min="7886" max="7886" width="3.28515625" style="4" customWidth="1"/>
    <col min="7887" max="7887" width="8" style="4" customWidth="1"/>
    <col min="7888" max="7888" width="42.5703125" style="4" bestFit="1" customWidth="1"/>
    <col min="7889" max="7889" width="3.28515625" style="4" customWidth="1"/>
    <col min="7890" max="7890" width="8" style="4" customWidth="1"/>
    <col min="7891" max="7891" width="42.5703125" style="4" bestFit="1" customWidth="1"/>
    <col min="7892" max="7892" width="3.28515625" style="4" customWidth="1"/>
    <col min="7893" max="7893" width="8" style="4" customWidth="1"/>
    <col min="7894" max="7894" width="42.5703125" style="4" bestFit="1" customWidth="1"/>
    <col min="7895" max="7895" width="3.28515625" style="4" customWidth="1"/>
    <col min="7896" max="7896" width="8" style="4" customWidth="1"/>
    <col min="7897" max="7897" width="42.5703125" style="4" bestFit="1" customWidth="1"/>
    <col min="7898" max="7898" width="3.28515625" style="4" customWidth="1"/>
    <col min="7899" max="7899" width="8" style="4" customWidth="1"/>
    <col min="7900" max="7900" width="42.5703125" style="4" bestFit="1" customWidth="1"/>
    <col min="7901" max="7901" width="3.28515625" style="4" customWidth="1"/>
    <col min="7902" max="7902" width="8" style="4" customWidth="1"/>
    <col min="7903" max="7903" width="42.5703125" style="4" bestFit="1" customWidth="1"/>
    <col min="7904" max="7904" width="3.28515625" style="4" customWidth="1"/>
    <col min="7905" max="7905" width="8" style="4" customWidth="1"/>
    <col min="7906" max="7906" width="42.5703125" style="4" bestFit="1" customWidth="1"/>
    <col min="7907" max="7907" width="3.28515625" style="4" customWidth="1"/>
    <col min="7908" max="7908" width="8" style="4" customWidth="1"/>
    <col min="7909" max="7909" width="42.5703125" style="4" bestFit="1" customWidth="1"/>
    <col min="7910" max="7910" width="3.28515625" style="4" customWidth="1"/>
    <col min="7911" max="7911" width="8" style="4" customWidth="1"/>
    <col min="7912" max="7912" width="42.5703125" style="4" bestFit="1" customWidth="1"/>
    <col min="7913" max="7913" width="3.28515625" style="4" customWidth="1"/>
    <col min="7914" max="7914" width="8" style="4" customWidth="1"/>
    <col min="7915" max="7915" width="42.5703125" style="4" bestFit="1" customWidth="1"/>
    <col min="7916" max="7916" width="3.28515625" style="4" customWidth="1"/>
    <col min="7917" max="7917" width="8" style="4" customWidth="1"/>
    <col min="7918" max="7918" width="42.5703125" style="4" bestFit="1" customWidth="1"/>
    <col min="7919" max="7919" width="3.28515625" style="4" customWidth="1"/>
    <col min="7920" max="7920" width="8" style="4" customWidth="1"/>
    <col min="7921" max="7921" width="42.5703125" style="4" bestFit="1" customWidth="1"/>
    <col min="7922" max="7922" width="3.28515625" style="4" customWidth="1"/>
    <col min="7923" max="7923" width="8" style="4" customWidth="1"/>
    <col min="7924" max="7924" width="42.5703125" style="4" bestFit="1" customWidth="1"/>
    <col min="7925" max="7925" width="3.28515625" style="4" customWidth="1"/>
    <col min="7926" max="7926" width="8" style="4" customWidth="1"/>
    <col min="7927" max="7927" width="42.5703125" style="4" bestFit="1" customWidth="1"/>
    <col min="7928" max="7928" width="3.28515625" style="4" customWidth="1"/>
    <col min="7929" max="7929" width="8" style="4" customWidth="1"/>
    <col min="7930" max="7930" width="42.5703125" style="4" bestFit="1" customWidth="1"/>
    <col min="7931" max="7931" width="3.28515625" style="4" customWidth="1"/>
    <col min="7932" max="7932" width="8" style="4" customWidth="1"/>
    <col min="7933" max="7933" width="42.5703125" style="4" bestFit="1" customWidth="1"/>
    <col min="7934" max="7934" width="3.28515625" style="4" customWidth="1"/>
    <col min="7935" max="7935" width="8" style="4" customWidth="1"/>
    <col min="7936" max="7936" width="42.5703125" style="4" bestFit="1" customWidth="1"/>
    <col min="7937" max="7937" width="3.28515625" style="4" customWidth="1"/>
    <col min="7938" max="7938" width="8" style="4" customWidth="1"/>
    <col min="7939" max="7939" width="42.5703125" style="4" bestFit="1" customWidth="1"/>
    <col min="7940" max="7940" width="3.28515625" style="4" customWidth="1"/>
    <col min="7941" max="7941" width="8" style="4" customWidth="1"/>
    <col min="7942" max="7942" width="42.5703125" style="4" bestFit="1" customWidth="1"/>
    <col min="7943" max="7943" width="3.28515625" style="4" customWidth="1"/>
    <col min="7944" max="7944" width="8" style="4" customWidth="1"/>
    <col min="7945" max="7945" width="42.5703125" style="4" bestFit="1" customWidth="1"/>
    <col min="7946" max="7946" width="3.28515625" style="4" customWidth="1"/>
    <col min="7947" max="7947" width="8" style="4" customWidth="1"/>
    <col min="7948" max="7948" width="42.5703125" style="4" bestFit="1" customWidth="1"/>
    <col min="7949" max="7949" width="3.28515625" style="4" customWidth="1"/>
    <col min="7950" max="7950" width="8" style="4" customWidth="1"/>
    <col min="7951" max="7951" width="42.5703125" style="4" bestFit="1" customWidth="1"/>
    <col min="7952" max="7952" width="3.28515625" style="4" customWidth="1"/>
    <col min="7953" max="7953" width="8" style="4" customWidth="1"/>
    <col min="7954" max="7954" width="42.5703125" style="4" bestFit="1" customWidth="1"/>
    <col min="7955" max="7955" width="3.28515625" style="4" customWidth="1"/>
    <col min="7956" max="7956" width="8" style="4" customWidth="1"/>
    <col min="7957" max="7957" width="42.5703125" style="4" bestFit="1" customWidth="1"/>
    <col min="7958" max="7958" width="3.28515625" style="4" customWidth="1"/>
    <col min="7959" max="7959" width="8" style="4" customWidth="1"/>
    <col min="7960" max="7960" width="42.5703125" style="4" bestFit="1" customWidth="1"/>
    <col min="7961" max="7961" width="3.28515625" style="4" customWidth="1"/>
    <col min="7962" max="7962" width="8" style="4" customWidth="1"/>
    <col min="7963" max="7963" width="42.5703125" style="4" bestFit="1" customWidth="1"/>
    <col min="7964" max="7964" width="3.28515625" style="4" customWidth="1"/>
    <col min="7965" max="7965" width="8" style="4" customWidth="1"/>
    <col min="7966" max="7966" width="42.5703125" style="4" bestFit="1" customWidth="1"/>
    <col min="7967" max="7967" width="3.28515625" style="4" customWidth="1"/>
    <col min="7968" max="7968" width="8" style="4" customWidth="1"/>
    <col min="7969" max="7969" width="42.5703125" style="4" bestFit="1" customWidth="1"/>
    <col min="7970" max="7970" width="3.28515625" style="4" customWidth="1"/>
    <col min="7971" max="7971" width="8" style="4" customWidth="1"/>
    <col min="7972" max="7972" width="42.5703125" style="4" bestFit="1" customWidth="1"/>
    <col min="7973" max="7973" width="3.28515625" style="4" customWidth="1"/>
    <col min="7974" max="7974" width="8" style="4" customWidth="1"/>
    <col min="7975" max="7975" width="42.5703125" style="4" bestFit="1" customWidth="1"/>
    <col min="7976" max="7976" width="3.28515625" style="4" customWidth="1"/>
    <col min="7977" max="7977" width="8" style="4" customWidth="1"/>
    <col min="7978" max="7978" width="42.5703125" style="4" bestFit="1" customWidth="1"/>
    <col min="7979" max="7979" width="3.28515625" style="4" customWidth="1"/>
    <col min="7980" max="7980" width="8" style="4" customWidth="1"/>
    <col min="7981" max="7981" width="42.5703125" style="4" bestFit="1" customWidth="1"/>
    <col min="7982" max="7982" width="3.28515625" style="4" customWidth="1"/>
    <col min="7983" max="7983" width="8" style="4" customWidth="1"/>
    <col min="7984" max="7984" width="42.5703125" style="4" bestFit="1" customWidth="1"/>
    <col min="7985" max="7985" width="3.28515625" style="4" customWidth="1"/>
    <col min="7986" max="7986" width="8" style="4" customWidth="1"/>
    <col min="7987" max="7987" width="42.5703125" style="4" bestFit="1" customWidth="1"/>
    <col min="7988" max="7988" width="3.28515625" style="4" customWidth="1"/>
    <col min="7989" max="7989" width="8" style="4" customWidth="1"/>
    <col min="7990" max="7990" width="42.5703125" style="4" bestFit="1" customWidth="1"/>
    <col min="7991" max="7991" width="3.28515625" style="4" customWidth="1"/>
    <col min="7992" max="7992" width="8" style="4" customWidth="1"/>
    <col min="7993" max="7993" width="42.5703125" style="4" bestFit="1" customWidth="1"/>
    <col min="7994" max="7994" width="3.28515625" style="4" customWidth="1"/>
    <col min="7995" max="7995" width="8" style="4" customWidth="1"/>
    <col min="7996" max="7996" width="42.5703125" style="4" bestFit="1" customWidth="1"/>
    <col min="7997" max="7997" width="3.28515625" style="4" customWidth="1"/>
    <col min="7998" max="7998" width="8" style="4" customWidth="1"/>
    <col min="7999" max="7999" width="42.5703125" style="4" bestFit="1" customWidth="1"/>
    <col min="8000" max="8000" width="3.28515625" style="4" customWidth="1"/>
    <col min="8001" max="8001" width="8" style="4" customWidth="1"/>
    <col min="8002" max="8002" width="42.5703125" style="4" bestFit="1" customWidth="1"/>
    <col min="8003" max="8003" width="3.28515625" style="4" customWidth="1"/>
    <col min="8004" max="8004" width="8" style="4" customWidth="1"/>
    <col min="8005" max="8005" width="42.5703125" style="4" bestFit="1" customWidth="1"/>
    <col min="8006" max="8006" width="3.28515625" style="4" customWidth="1"/>
    <col min="8007" max="8007" width="8" style="4" customWidth="1"/>
    <col min="8008" max="8008" width="42.5703125" style="4" bestFit="1" customWidth="1"/>
    <col min="8009" max="8009" width="3.28515625" style="4" customWidth="1"/>
    <col min="8010" max="8010" width="8" style="4" customWidth="1"/>
    <col min="8011" max="8011" width="42.5703125" style="4" bestFit="1" customWidth="1"/>
    <col min="8012" max="8012" width="3.28515625" style="4" customWidth="1"/>
    <col min="8013" max="8013" width="8" style="4" customWidth="1"/>
    <col min="8014" max="8014" width="42.5703125" style="4" bestFit="1" customWidth="1"/>
    <col min="8015" max="8015" width="3.28515625" style="4" customWidth="1"/>
    <col min="8016" max="8016" width="8" style="4" customWidth="1"/>
    <col min="8017" max="8017" width="42.5703125" style="4" bestFit="1" customWidth="1"/>
    <col min="8018" max="8018" width="3.28515625" style="4" customWidth="1"/>
    <col min="8019" max="8019" width="8" style="4" customWidth="1"/>
    <col min="8020" max="8020" width="42.5703125" style="4" bestFit="1" customWidth="1"/>
    <col min="8021" max="8021" width="3.28515625" style="4" customWidth="1"/>
    <col min="8022" max="8022" width="8" style="4" customWidth="1"/>
    <col min="8023" max="8023" width="42.5703125" style="4" bestFit="1" customWidth="1"/>
    <col min="8024" max="8024" width="3.28515625" style="4" customWidth="1"/>
    <col min="8025" max="8025" width="8" style="4" customWidth="1"/>
    <col min="8026" max="8026" width="42.5703125" style="4" bestFit="1" customWidth="1"/>
    <col min="8027" max="8027" width="3.28515625" style="4" customWidth="1"/>
    <col min="8028" max="8028" width="8" style="4" customWidth="1"/>
    <col min="8029" max="8029" width="42.5703125" style="4" bestFit="1" customWidth="1"/>
    <col min="8030" max="8030" width="3.28515625" style="4" customWidth="1"/>
    <col min="8031" max="8031" width="8" style="4" customWidth="1"/>
    <col min="8032" max="8032" width="42.5703125" style="4" bestFit="1" customWidth="1"/>
    <col min="8033" max="8033" width="3.28515625" style="4" customWidth="1"/>
    <col min="8034" max="8034" width="8" style="4" customWidth="1"/>
    <col min="8035" max="8035" width="42.5703125" style="4" bestFit="1" customWidth="1"/>
    <col min="8036" max="8036" width="3.28515625" style="4" customWidth="1"/>
    <col min="8037" max="8037" width="8" style="4" customWidth="1"/>
    <col min="8038" max="8038" width="42.5703125" style="4" bestFit="1" customWidth="1"/>
    <col min="8039" max="8039" width="3.28515625" style="4" customWidth="1"/>
    <col min="8040" max="8040" width="8" style="4" customWidth="1"/>
    <col min="8041" max="8041" width="42.5703125" style="4" bestFit="1" customWidth="1"/>
    <col min="8042" max="8042" width="3.28515625" style="4" customWidth="1"/>
    <col min="8043" max="8043" width="8" style="4" customWidth="1"/>
    <col min="8044" max="8044" width="42.5703125" style="4" bestFit="1" customWidth="1"/>
    <col min="8045" max="8045" width="3.28515625" style="4" customWidth="1"/>
    <col min="8046" max="8046" width="8" style="4" customWidth="1"/>
    <col min="8047" max="8047" width="42.5703125" style="4" bestFit="1" customWidth="1"/>
    <col min="8048" max="8048" width="3.28515625" style="4" customWidth="1"/>
    <col min="8049" max="8049" width="8" style="4" customWidth="1"/>
    <col min="8050" max="8050" width="42.5703125" style="4" bestFit="1" customWidth="1"/>
    <col min="8051" max="8051" width="3.28515625" style="4" customWidth="1"/>
    <col min="8052" max="8052" width="8" style="4" customWidth="1"/>
    <col min="8053" max="8053" width="42.5703125" style="4" bestFit="1" customWidth="1"/>
    <col min="8054" max="8054" width="3.28515625" style="4" customWidth="1"/>
    <col min="8055" max="8055" width="8" style="4" customWidth="1"/>
    <col min="8056" max="8056" width="42.5703125" style="4" bestFit="1" customWidth="1"/>
    <col min="8057" max="8057" width="3.28515625" style="4" customWidth="1"/>
    <col min="8058" max="8058" width="8" style="4" customWidth="1"/>
    <col min="8059" max="8059" width="42.5703125" style="4" bestFit="1" customWidth="1"/>
    <col min="8060" max="8060" width="3.28515625" style="4" customWidth="1"/>
    <col min="8061" max="8061" width="8" style="4" customWidth="1"/>
    <col min="8062" max="8062" width="42.5703125" style="4" bestFit="1" customWidth="1"/>
    <col min="8063" max="8063" width="3.28515625" style="4" customWidth="1"/>
    <col min="8064" max="8064" width="8" style="4" customWidth="1"/>
    <col min="8065" max="8065" width="42.5703125" style="4" bestFit="1" customWidth="1"/>
    <col min="8066" max="8066" width="3.28515625" style="4" customWidth="1"/>
    <col min="8067" max="8067" width="8" style="4" customWidth="1"/>
    <col min="8068" max="8068" width="42.5703125" style="4" bestFit="1" customWidth="1"/>
    <col min="8069" max="8069" width="3.28515625" style="4" customWidth="1"/>
    <col min="8070" max="8070" width="8" style="4" customWidth="1"/>
    <col min="8071" max="8071" width="42.5703125" style="4" bestFit="1" customWidth="1"/>
    <col min="8072" max="8072" width="3.28515625" style="4" customWidth="1"/>
    <col min="8073" max="8073" width="8" style="4" customWidth="1"/>
    <col min="8074" max="8074" width="42.5703125" style="4" bestFit="1" customWidth="1"/>
    <col min="8075" max="8075" width="3.28515625" style="4" customWidth="1"/>
    <col min="8076" max="8076" width="8" style="4" customWidth="1"/>
    <col min="8077" max="8077" width="42.5703125" style="4" bestFit="1" customWidth="1"/>
    <col min="8078" max="8078" width="3.28515625" style="4" customWidth="1"/>
    <col min="8079" max="8079" width="8" style="4" customWidth="1"/>
    <col min="8080" max="8080" width="42.5703125" style="4" bestFit="1" customWidth="1"/>
    <col min="8081" max="8081" width="3.28515625" style="4" customWidth="1"/>
    <col min="8082" max="8082" width="8" style="4" customWidth="1"/>
    <col min="8083" max="8083" width="42.5703125" style="4" bestFit="1" customWidth="1"/>
    <col min="8084" max="8084" width="3.28515625" style="4" customWidth="1"/>
    <col min="8085" max="8085" width="8" style="4" customWidth="1"/>
    <col min="8086" max="8086" width="42.5703125" style="4" bestFit="1" customWidth="1"/>
    <col min="8087" max="8087" width="3.28515625" style="4" customWidth="1"/>
    <col min="8088" max="8088" width="8" style="4" customWidth="1"/>
    <col min="8089" max="8089" width="42.5703125" style="4" bestFit="1" customWidth="1"/>
    <col min="8090" max="8090" width="3.28515625" style="4" customWidth="1"/>
    <col min="8091" max="8091" width="8" style="4" customWidth="1"/>
    <col min="8092" max="8092" width="42.5703125" style="4" bestFit="1" customWidth="1"/>
    <col min="8093" max="8093" width="3.28515625" style="4" customWidth="1"/>
    <col min="8094" max="8094" width="8" style="4" customWidth="1"/>
    <col min="8095" max="8095" width="42.5703125" style="4" bestFit="1" customWidth="1"/>
    <col min="8096" max="8096" width="3.28515625" style="4" customWidth="1"/>
    <col min="8097" max="8097" width="8" style="4" customWidth="1"/>
    <col min="8098" max="8098" width="42.5703125" style="4" bestFit="1" customWidth="1"/>
    <col min="8099" max="8099" width="3.28515625" style="4" customWidth="1"/>
    <col min="8100" max="8100" width="8" style="4" customWidth="1"/>
    <col min="8101" max="8101" width="42.5703125" style="4" bestFit="1" customWidth="1"/>
    <col min="8102" max="8102" width="3.28515625" style="4" customWidth="1"/>
    <col min="8103" max="8103" width="8" style="4" customWidth="1"/>
    <col min="8104" max="8104" width="42.5703125" style="4" bestFit="1" customWidth="1"/>
    <col min="8105" max="8105" width="3.28515625" style="4" customWidth="1"/>
    <col min="8106" max="8106" width="8" style="4" customWidth="1"/>
    <col min="8107" max="8107" width="42.5703125" style="4" bestFit="1" customWidth="1"/>
    <col min="8108" max="8108" width="3.28515625" style="4" customWidth="1"/>
    <col min="8109" max="8109" width="8" style="4" customWidth="1"/>
    <col min="8110" max="8110" width="42.5703125" style="4" bestFit="1" customWidth="1"/>
    <col min="8111" max="8111" width="3.28515625" style="4" customWidth="1"/>
    <col min="8112" max="8112" width="8" style="4" customWidth="1"/>
    <col min="8113" max="8113" width="42.5703125" style="4" bestFit="1" customWidth="1"/>
    <col min="8114" max="8114" width="3.28515625" style="4" customWidth="1"/>
    <col min="8115" max="8115" width="8" style="4" customWidth="1"/>
    <col min="8116" max="8116" width="42.5703125" style="4" bestFit="1" customWidth="1"/>
    <col min="8117" max="8117" width="3.28515625" style="4" customWidth="1"/>
    <col min="8118" max="8118" width="8" style="4" customWidth="1"/>
    <col min="8119" max="8119" width="42.5703125" style="4" bestFit="1" customWidth="1"/>
    <col min="8120" max="8120" width="3.28515625" style="4" customWidth="1"/>
    <col min="8121" max="8121" width="8" style="4" customWidth="1"/>
    <col min="8122" max="8122" width="42.5703125" style="4" bestFit="1" customWidth="1"/>
    <col min="8123" max="8123" width="3.28515625" style="4" customWidth="1"/>
    <col min="8124" max="8124" width="8" style="4" customWidth="1"/>
    <col min="8125" max="8125" width="42.5703125" style="4" bestFit="1" customWidth="1"/>
    <col min="8126" max="8126" width="3.28515625" style="4" customWidth="1"/>
    <col min="8127" max="8127" width="8" style="4" customWidth="1"/>
    <col min="8128" max="8128" width="42.5703125" style="4" bestFit="1" customWidth="1"/>
    <col min="8129" max="8129" width="3.28515625" style="4" customWidth="1"/>
    <col min="8130" max="8130" width="8" style="4" customWidth="1"/>
    <col min="8131" max="8131" width="42.5703125" style="4" bestFit="1" customWidth="1"/>
    <col min="8132" max="8132" width="3.28515625" style="4" customWidth="1"/>
    <col min="8133" max="8133" width="8" style="4" customWidth="1"/>
    <col min="8134" max="8134" width="42.5703125" style="4" bestFit="1" customWidth="1"/>
    <col min="8135" max="8135" width="3.28515625" style="4" customWidth="1"/>
    <col min="8136" max="8136" width="8" style="4" customWidth="1"/>
    <col min="8137" max="8137" width="42.5703125" style="4" bestFit="1" customWidth="1"/>
    <col min="8138" max="8138" width="3.28515625" style="4" customWidth="1"/>
    <col min="8139" max="8139" width="8" style="4" customWidth="1"/>
    <col min="8140" max="8140" width="42.5703125" style="4" bestFit="1" customWidth="1"/>
    <col min="8141" max="8141" width="3.28515625" style="4" customWidth="1"/>
    <col min="8142" max="8142" width="8" style="4" customWidth="1"/>
    <col min="8143" max="8143" width="42.5703125" style="4" bestFit="1" customWidth="1"/>
    <col min="8144" max="8144" width="3.28515625" style="4" customWidth="1"/>
    <col min="8145" max="8145" width="8" style="4" customWidth="1"/>
    <col min="8146" max="8146" width="42.5703125" style="4" bestFit="1" customWidth="1"/>
    <col min="8147" max="8147" width="3.28515625" style="4" customWidth="1"/>
    <col min="8148" max="8148" width="8" style="4" customWidth="1"/>
    <col min="8149" max="8149" width="42.5703125" style="4" bestFit="1" customWidth="1"/>
    <col min="8150" max="8150" width="3.28515625" style="4" customWidth="1"/>
    <col min="8151" max="8151" width="8" style="4" customWidth="1"/>
    <col min="8152" max="8152" width="42.5703125" style="4" bestFit="1" customWidth="1"/>
    <col min="8153" max="8153" width="3.28515625" style="4" customWidth="1"/>
    <col min="8154" max="8154" width="8" style="4" customWidth="1"/>
    <col min="8155" max="8155" width="42.5703125" style="4" bestFit="1" customWidth="1"/>
    <col min="8156" max="8156" width="3.28515625" style="4" customWidth="1"/>
    <col min="8157" max="8157" width="8" style="4" customWidth="1"/>
    <col min="8158" max="8158" width="42.5703125" style="4" bestFit="1" customWidth="1"/>
    <col min="8159" max="8159" width="3.28515625" style="4" customWidth="1"/>
    <col min="8160" max="8160" width="8" style="4" customWidth="1"/>
    <col min="8161" max="8161" width="42.5703125" style="4" bestFit="1" customWidth="1"/>
    <col min="8162" max="8162" width="3.28515625" style="4" customWidth="1"/>
    <col min="8163" max="8163" width="8" style="4" customWidth="1"/>
    <col min="8164" max="8164" width="42.5703125" style="4" bestFit="1" customWidth="1"/>
    <col min="8165" max="8165" width="3.28515625" style="4" customWidth="1"/>
    <col min="8166" max="8166" width="8" style="4" customWidth="1"/>
    <col min="8167" max="8167" width="42.5703125" style="4" bestFit="1" customWidth="1"/>
    <col min="8168" max="8168" width="3.28515625" style="4" customWidth="1"/>
    <col min="8169" max="8169" width="8" style="4" customWidth="1"/>
    <col min="8170" max="8170" width="42.5703125" style="4" bestFit="1" customWidth="1"/>
    <col min="8171" max="8171" width="3.28515625" style="4" customWidth="1"/>
    <col min="8172" max="8172" width="8" style="4" customWidth="1"/>
    <col min="8173" max="8173" width="42.5703125" style="4" bestFit="1" customWidth="1"/>
    <col min="8174" max="8174" width="3.28515625" style="4" customWidth="1"/>
    <col min="8175" max="8175" width="8" style="4" customWidth="1"/>
    <col min="8176" max="8176" width="42.5703125" style="4" bestFit="1" customWidth="1"/>
    <col min="8177" max="8177" width="3.28515625" style="4" customWidth="1"/>
    <col min="8178" max="8178" width="8" style="4" customWidth="1"/>
    <col min="8179" max="8179" width="42.5703125" style="4" bestFit="1" customWidth="1"/>
    <col min="8180" max="8180" width="3.28515625" style="4" customWidth="1"/>
    <col min="8181" max="8181" width="8" style="4" customWidth="1"/>
    <col min="8182" max="8182" width="42.5703125" style="4" bestFit="1" customWidth="1"/>
    <col min="8183" max="8183" width="3.28515625" style="4" customWidth="1"/>
    <col min="8184" max="8184" width="8" style="4" customWidth="1"/>
    <col min="8185" max="8185" width="42.5703125" style="4" bestFit="1" customWidth="1"/>
    <col min="8186" max="8186" width="3.28515625" style="4" customWidth="1"/>
    <col min="8187" max="8187" width="8" style="4" customWidth="1"/>
    <col min="8188" max="8188" width="42.5703125" style="4" bestFit="1" customWidth="1"/>
    <col min="8189" max="8189" width="3.28515625" style="4" customWidth="1"/>
    <col min="8190" max="8190" width="8" style="4" customWidth="1"/>
    <col min="8191" max="8191" width="42.5703125" style="4" bestFit="1" customWidth="1"/>
    <col min="8192" max="8192" width="3.28515625" style="4" customWidth="1"/>
    <col min="8193" max="8193" width="8" style="4" customWidth="1"/>
    <col min="8194" max="8194" width="42.5703125" style="4" bestFit="1" customWidth="1"/>
    <col min="8195" max="8195" width="3.28515625" style="4" customWidth="1"/>
    <col min="8196" max="8196" width="8" style="4" customWidth="1"/>
    <col min="8197" max="8197" width="42.5703125" style="4" bestFit="1" customWidth="1"/>
    <col min="8198" max="8198" width="3.28515625" style="4" customWidth="1"/>
    <col min="8199" max="8199" width="8" style="4" customWidth="1"/>
    <col min="8200" max="8200" width="42.5703125" style="4" bestFit="1" customWidth="1"/>
    <col min="8201" max="8201" width="3.28515625" style="4" customWidth="1"/>
    <col min="8202" max="8202" width="8" style="4" customWidth="1"/>
    <col min="8203" max="8203" width="42.5703125" style="4" bestFit="1" customWidth="1"/>
    <col min="8204" max="8204" width="3.28515625" style="4" customWidth="1"/>
    <col min="8205" max="8205" width="8" style="4" customWidth="1"/>
    <col min="8206" max="8206" width="42.5703125" style="4" bestFit="1" customWidth="1"/>
    <col min="8207" max="8207" width="3.28515625" style="4" customWidth="1"/>
    <col min="8208" max="8208" width="8" style="4" customWidth="1"/>
    <col min="8209" max="8209" width="42.5703125" style="4" bestFit="1" customWidth="1"/>
    <col min="8210" max="8210" width="3.28515625" style="4" customWidth="1"/>
    <col min="8211" max="8211" width="8" style="4" customWidth="1"/>
    <col min="8212" max="8212" width="42.5703125" style="4" bestFit="1" customWidth="1"/>
    <col min="8213" max="8213" width="3.28515625" style="4" customWidth="1"/>
    <col min="8214" max="8214" width="8" style="4" customWidth="1"/>
    <col min="8215" max="8215" width="42.5703125" style="4" bestFit="1" customWidth="1"/>
    <col min="8216" max="8216" width="3.28515625" style="4" customWidth="1"/>
    <col min="8217" max="8217" width="8" style="4" customWidth="1"/>
    <col min="8218" max="8218" width="42.5703125" style="4" bestFit="1" customWidth="1"/>
    <col min="8219" max="8219" width="3.28515625" style="4" customWidth="1"/>
    <col min="8220" max="8220" width="8" style="4" customWidth="1"/>
    <col min="8221" max="8221" width="42.5703125" style="4" bestFit="1" customWidth="1"/>
    <col min="8222" max="8222" width="3.28515625" style="4" customWidth="1"/>
    <col min="8223" max="8223" width="8" style="4" customWidth="1"/>
    <col min="8224" max="8224" width="42.5703125" style="4" bestFit="1" customWidth="1"/>
    <col min="8225" max="8225" width="3.28515625" style="4" customWidth="1"/>
    <col min="8226" max="8226" width="8" style="4" customWidth="1"/>
    <col min="8227" max="8227" width="42.5703125" style="4" bestFit="1" customWidth="1"/>
    <col min="8228" max="8228" width="3.28515625" style="4" customWidth="1"/>
    <col min="8229" max="8229" width="8" style="4" customWidth="1"/>
    <col min="8230" max="8230" width="42.5703125" style="4" bestFit="1" customWidth="1"/>
    <col min="8231" max="8231" width="3.28515625" style="4" customWidth="1"/>
    <col min="8232" max="8232" width="8" style="4" customWidth="1"/>
    <col min="8233" max="8233" width="42.5703125" style="4" bestFit="1" customWidth="1"/>
    <col min="8234" max="8234" width="3.28515625" style="4" customWidth="1"/>
    <col min="8235" max="8235" width="8" style="4" customWidth="1"/>
    <col min="8236" max="8236" width="42.5703125" style="4" bestFit="1" customWidth="1"/>
    <col min="8237" max="8237" width="3.28515625" style="4" customWidth="1"/>
    <col min="8238" max="8238" width="8" style="4" customWidth="1"/>
    <col min="8239" max="8239" width="42.5703125" style="4" bestFit="1" customWidth="1"/>
    <col min="8240" max="8240" width="3.28515625" style="4" customWidth="1"/>
    <col min="8241" max="8241" width="8" style="4" customWidth="1"/>
    <col min="8242" max="8242" width="42.5703125" style="4" bestFit="1" customWidth="1"/>
    <col min="8243" max="8243" width="3.28515625" style="4" customWidth="1"/>
    <col min="8244" max="8244" width="8" style="4" customWidth="1"/>
    <col min="8245" max="8245" width="42.5703125" style="4" bestFit="1" customWidth="1"/>
    <col min="8246" max="8246" width="3.28515625" style="4" customWidth="1"/>
    <col min="8247" max="8247" width="8" style="4" customWidth="1"/>
    <col min="8248" max="8248" width="42.5703125" style="4" bestFit="1" customWidth="1"/>
    <col min="8249" max="8249" width="3.28515625" style="4" customWidth="1"/>
    <col min="8250" max="8250" width="8" style="4" customWidth="1"/>
    <col min="8251" max="8251" width="42.5703125" style="4" bestFit="1" customWidth="1"/>
    <col min="8252" max="8252" width="3.28515625" style="4" customWidth="1"/>
    <col min="8253" max="8253" width="8" style="4" customWidth="1"/>
    <col min="8254" max="8254" width="42.5703125" style="4" bestFit="1" customWidth="1"/>
    <col min="8255" max="8255" width="3.28515625" style="4" customWidth="1"/>
    <col min="8256" max="8256" width="8" style="4" customWidth="1"/>
    <col min="8257" max="8257" width="42.5703125" style="4" bestFit="1" customWidth="1"/>
    <col min="8258" max="8258" width="3.28515625" style="4" customWidth="1"/>
    <col min="8259" max="8259" width="8" style="4" customWidth="1"/>
    <col min="8260" max="8260" width="42.5703125" style="4" bestFit="1" customWidth="1"/>
    <col min="8261" max="8261" width="3.28515625" style="4" customWidth="1"/>
    <col min="8262" max="8262" width="8" style="4" customWidth="1"/>
    <col min="8263" max="8263" width="42.5703125" style="4" bestFit="1" customWidth="1"/>
    <col min="8264" max="8264" width="3.28515625" style="4" customWidth="1"/>
    <col min="8265" max="8265" width="8" style="4" customWidth="1"/>
    <col min="8266" max="8266" width="42.5703125" style="4" bestFit="1" customWidth="1"/>
    <col min="8267" max="8267" width="3.28515625" style="4" customWidth="1"/>
    <col min="8268" max="8268" width="8" style="4" customWidth="1"/>
    <col min="8269" max="8269" width="42.5703125" style="4" bestFit="1" customWidth="1"/>
    <col min="8270" max="8270" width="3.28515625" style="4" customWidth="1"/>
    <col min="8271" max="8271" width="8" style="4" customWidth="1"/>
    <col min="8272" max="8272" width="42.5703125" style="4" bestFit="1" customWidth="1"/>
    <col min="8273" max="8273" width="3.28515625" style="4" customWidth="1"/>
    <col min="8274" max="8274" width="8" style="4" customWidth="1"/>
    <col min="8275" max="8275" width="42.5703125" style="4" bestFit="1" customWidth="1"/>
    <col min="8276" max="8276" width="3.28515625" style="4" customWidth="1"/>
    <col min="8277" max="8277" width="8" style="4" customWidth="1"/>
    <col min="8278" max="8278" width="42.5703125" style="4" bestFit="1" customWidth="1"/>
    <col min="8279" max="8279" width="3.28515625" style="4" customWidth="1"/>
    <col min="8280" max="8280" width="8" style="4" customWidth="1"/>
    <col min="8281" max="8281" width="42.5703125" style="4" bestFit="1" customWidth="1"/>
    <col min="8282" max="8282" width="3.28515625" style="4" customWidth="1"/>
    <col min="8283" max="8283" width="8" style="4" customWidth="1"/>
    <col min="8284" max="8284" width="42.5703125" style="4" bestFit="1" customWidth="1"/>
    <col min="8285" max="8285" width="3.28515625" style="4" customWidth="1"/>
    <col min="8286" max="8286" width="8" style="4" customWidth="1"/>
    <col min="8287" max="8287" width="42.5703125" style="4" bestFit="1" customWidth="1"/>
    <col min="8288" max="8288" width="3.28515625" style="4" customWidth="1"/>
    <col min="8289" max="8289" width="8" style="4" customWidth="1"/>
    <col min="8290" max="8290" width="42.5703125" style="4" bestFit="1" customWidth="1"/>
    <col min="8291" max="8291" width="3.28515625" style="4" customWidth="1"/>
    <col min="8292" max="8292" width="8" style="4" customWidth="1"/>
    <col min="8293" max="8293" width="42.5703125" style="4" bestFit="1" customWidth="1"/>
    <col min="8294" max="8294" width="3.28515625" style="4" customWidth="1"/>
    <col min="8295" max="8295" width="8" style="4" customWidth="1"/>
    <col min="8296" max="8296" width="42.5703125" style="4" bestFit="1" customWidth="1"/>
    <col min="8297" max="8297" width="3.28515625" style="4" customWidth="1"/>
    <col min="8298" max="8298" width="8" style="4" customWidth="1"/>
    <col min="8299" max="8299" width="42.5703125" style="4" bestFit="1" customWidth="1"/>
    <col min="8300" max="8300" width="3.28515625" style="4" customWidth="1"/>
    <col min="8301" max="8301" width="8" style="4" customWidth="1"/>
    <col min="8302" max="8302" width="42.5703125" style="4" bestFit="1" customWidth="1"/>
    <col min="8303" max="8303" width="3.28515625" style="4" customWidth="1"/>
    <col min="8304" max="8304" width="8" style="4" customWidth="1"/>
    <col min="8305" max="8305" width="42.5703125" style="4" bestFit="1" customWidth="1"/>
    <col min="8306" max="8306" width="3.28515625" style="4" customWidth="1"/>
    <col min="8307" max="8307" width="8" style="4" customWidth="1"/>
    <col min="8308" max="8308" width="42.5703125" style="4" bestFit="1" customWidth="1"/>
    <col min="8309" max="8309" width="3.28515625" style="4" customWidth="1"/>
    <col min="8310" max="8310" width="8" style="4" customWidth="1"/>
    <col min="8311" max="8311" width="42.5703125" style="4" bestFit="1" customWidth="1"/>
    <col min="8312" max="8312" width="3.28515625" style="4" customWidth="1"/>
    <col min="8313" max="8313" width="8" style="4" customWidth="1"/>
    <col min="8314" max="8314" width="42.5703125" style="4" bestFit="1" customWidth="1"/>
    <col min="8315" max="8315" width="3.28515625" style="4" customWidth="1"/>
    <col min="8316" max="8316" width="8" style="4" customWidth="1"/>
    <col min="8317" max="8317" width="42.5703125" style="4" bestFit="1" customWidth="1"/>
    <col min="8318" max="8318" width="3.28515625" style="4" customWidth="1"/>
    <col min="8319" max="8319" width="8" style="4" customWidth="1"/>
    <col min="8320" max="8320" width="42.5703125" style="4" bestFit="1" customWidth="1"/>
    <col min="8321" max="8321" width="3.28515625" style="4" customWidth="1"/>
    <col min="8322" max="8322" width="8" style="4" customWidth="1"/>
    <col min="8323" max="8323" width="42.5703125" style="4" bestFit="1" customWidth="1"/>
    <col min="8324" max="8324" width="3.28515625" style="4" customWidth="1"/>
    <col min="8325" max="8325" width="8" style="4" customWidth="1"/>
    <col min="8326" max="8326" width="42.5703125" style="4" bestFit="1" customWidth="1"/>
    <col min="8327" max="8327" width="3.28515625" style="4" customWidth="1"/>
    <col min="8328" max="8328" width="8" style="4" customWidth="1"/>
    <col min="8329" max="8329" width="42.5703125" style="4" bestFit="1" customWidth="1"/>
    <col min="8330" max="8330" width="3.28515625" style="4" customWidth="1"/>
    <col min="8331" max="8331" width="8" style="4" customWidth="1"/>
    <col min="8332" max="8332" width="42.5703125" style="4" bestFit="1" customWidth="1"/>
    <col min="8333" max="8333" width="3.28515625" style="4" customWidth="1"/>
    <col min="8334" max="8334" width="8" style="4" customWidth="1"/>
    <col min="8335" max="8335" width="42.5703125" style="4" bestFit="1" customWidth="1"/>
    <col min="8336" max="8336" width="3.28515625" style="4" customWidth="1"/>
    <col min="8337" max="8337" width="8" style="4" customWidth="1"/>
    <col min="8338" max="8338" width="42.5703125" style="4" bestFit="1" customWidth="1"/>
    <col min="8339" max="8339" width="3.28515625" style="4" customWidth="1"/>
    <col min="8340" max="8340" width="8" style="4" customWidth="1"/>
    <col min="8341" max="8341" width="42.5703125" style="4" bestFit="1" customWidth="1"/>
    <col min="8342" max="8342" width="3.28515625" style="4" customWidth="1"/>
    <col min="8343" max="8343" width="8" style="4" customWidth="1"/>
    <col min="8344" max="8344" width="42.5703125" style="4" bestFit="1" customWidth="1"/>
    <col min="8345" max="8345" width="3.28515625" style="4" customWidth="1"/>
    <col min="8346" max="8346" width="8" style="4" customWidth="1"/>
    <col min="8347" max="8347" width="42.5703125" style="4" bestFit="1" customWidth="1"/>
    <col min="8348" max="8348" width="3.28515625" style="4" customWidth="1"/>
    <col min="8349" max="8349" width="8" style="4" customWidth="1"/>
    <col min="8350" max="8350" width="42.5703125" style="4" bestFit="1" customWidth="1"/>
    <col min="8351" max="8351" width="3.28515625" style="4" customWidth="1"/>
    <col min="8352" max="8352" width="8" style="4" customWidth="1"/>
    <col min="8353" max="8353" width="42.5703125" style="4" bestFit="1" customWidth="1"/>
    <col min="8354" max="8354" width="3.28515625" style="4" customWidth="1"/>
    <col min="8355" max="8355" width="8" style="4" customWidth="1"/>
    <col min="8356" max="8356" width="42.5703125" style="4" bestFit="1" customWidth="1"/>
    <col min="8357" max="8357" width="3.28515625" style="4" customWidth="1"/>
    <col min="8358" max="8358" width="8" style="4" customWidth="1"/>
    <col min="8359" max="8359" width="42.5703125" style="4" bestFit="1" customWidth="1"/>
    <col min="8360" max="8360" width="3.28515625" style="4" customWidth="1"/>
    <col min="8361" max="8361" width="8" style="4" customWidth="1"/>
    <col min="8362" max="8362" width="42.5703125" style="4" bestFit="1" customWidth="1"/>
    <col min="8363" max="8363" width="3.28515625" style="4" customWidth="1"/>
    <col min="8364" max="8364" width="8" style="4" customWidth="1"/>
    <col min="8365" max="8365" width="42.5703125" style="4" bestFit="1" customWidth="1"/>
    <col min="8366" max="8366" width="3.28515625" style="4" customWidth="1"/>
    <col min="8367" max="8367" width="8" style="4" customWidth="1"/>
    <col min="8368" max="8368" width="42.5703125" style="4" bestFit="1" customWidth="1"/>
    <col min="8369" max="8369" width="3.28515625" style="4" customWidth="1"/>
    <col min="8370" max="8370" width="8" style="4" customWidth="1"/>
    <col min="8371" max="8371" width="42.5703125" style="4" bestFit="1" customWidth="1"/>
    <col min="8372" max="8372" width="3.28515625" style="4" customWidth="1"/>
    <col min="8373" max="8373" width="8" style="4" customWidth="1"/>
    <col min="8374" max="8374" width="42.5703125" style="4" bestFit="1" customWidth="1"/>
    <col min="8375" max="8375" width="3.28515625" style="4" customWidth="1"/>
    <col min="8376" max="8376" width="8" style="4" customWidth="1"/>
    <col min="8377" max="8377" width="42.5703125" style="4" bestFit="1" customWidth="1"/>
    <col min="8378" max="8378" width="3.28515625" style="4" customWidth="1"/>
    <col min="8379" max="8379" width="8" style="4" customWidth="1"/>
    <col min="8380" max="8380" width="42.5703125" style="4" bestFit="1" customWidth="1"/>
    <col min="8381" max="8381" width="3.28515625" style="4" customWidth="1"/>
    <col min="8382" max="8382" width="8" style="4" customWidth="1"/>
    <col min="8383" max="8383" width="42.5703125" style="4" bestFit="1" customWidth="1"/>
    <col min="8384" max="8384" width="3.28515625" style="4" customWidth="1"/>
    <col min="8385" max="8385" width="8" style="4" customWidth="1"/>
    <col min="8386" max="8386" width="42.5703125" style="4" bestFit="1" customWidth="1"/>
    <col min="8387" max="8387" width="3.28515625" style="4" customWidth="1"/>
    <col min="8388" max="8388" width="8" style="4" customWidth="1"/>
    <col min="8389" max="8389" width="42.5703125" style="4" bestFit="1" customWidth="1"/>
    <col min="8390" max="8390" width="3.28515625" style="4" customWidth="1"/>
    <col min="8391" max="8391" width="8" style="4" customWidth="1"/>
    <col min="8392" max="8392" width="42.5703125" style="4" bestFit="1" customWidth="1"/>
    <col min="8393" max="8393" width="3.28515625" style="4" customWidth="1"/>
    <col min="8394" max="8394" width="8" style="4" customWidth="1"/>
    <col min="8395" max="8395" width="42.5703125" style="4" bestFit="1" customWidth="1"/>
    <col min="8396" max="8396" width="3.28515625" style="4" customWidth="1"/>
    <col min="8397" max="8397" width="8" style="4" customWidth="1"/>
    <col min="8398" max="8398" width="42.5703125" style="4" bestFit="1" customWidth="1"/>
    <col min="8399" max="8399" width="3.28515625" style="4" customWidth="1"/>
    <col min="8400" max="8400" width="8" style="4" customWidth="1"/>
    <col min="8401" max="8401" width="42.5703125" style="4" bestFit="1" customWidth="1"/>
    <col min="8402" max="8402" width="3.28515625" style="4" customWidth="1"/>
    <col min="8403" max="8403" width="8" style="4" customWidth="1"/>
    <col min="8404" max="8404" width="42.5703125" style="4" bestFit="1" customWidth="1"/>
    <col min="8405" max="8405" width="3.28515625" style="4" customWidth="1"/>
    <col min="8406" max="8406" width="8" style="4" customWidth="1"/>
    <col min="8407" max="8407" width="42.5703125" style="4" bestFit="1" customWidth="1"/>
    <col min="8408" max="8408" width="3.28515625" style="4" customWidth="1"/>
    <col min="8409" max="8409" width="8" style="4" customWidth="1"/>
    <col min="8410" max="8410" width="42.5703125" style="4" bestFit="1" customWidth="1"/>
    <col min="8411" max="8411" width="3.28515625" style="4" customWidth="1"/>
    <col min="8412" max="8412" width="8" style="4" customWidth="1"/>
    <col min="8413" max="8413" width="42.5703125" style="4" bestFit="1" customWidth="1"/>
    <col min="8414" max="8414" width="3.28515625" style="4" customWidth="1"/>
    <col min="8415" max="8415" width="8" style="4" customWidth="1"/>
    <col min="8416" max="8416" width="42.5703125" style="4" bestFit="1" customWidth="1"/>
    <col min="8417" max="8417" width="3.28515625" style="4" customWidth="1"/>
    <col min="8418" max="8418" width="8" style="4" customWidth="1"/>
    <col min="8419" max="8419" width="42.5703125" style="4" bestFit="1" customWidth="1"/>
    <col min="8420" max="8420" width="3.28515625" style="4" customWidth="1"/>
    <col min="8421" max="8421" width="8" style="4" customWidth="1"/>
    <col min="8422" max="8422" width="42.5703125" style="4" bestFit="1" customWidth="1"/>
    <col min="8423" max="8423" width="3.28515625" style="4" customWidth="1"/>
    <col min="8424" max="8424" width="8" style="4" customWidth="1"/>
    <col min="8425" max="8425" width="42.5703125" style="4" bestFit="1" customWidth="1"/>
    <col min="8426" max="8426" width="3.28515625" style="4" customWidth="1"/>
    <col min="8427" max="8427" width="8" style="4" customWidth="1"/>
    <col min="8428" max="8428" width="42.5703125" style="4" bestFit="1" customWidth="1"/>
    <col min="8429" max="8429" width="3.28515625" style="4" customWidth="1"/>
    <col min="8430" max="8430" width="8" style="4" customWidth="1"/>
    <col min="8431" max="8431" width="42.5703125" style="4" bestFit="1" customWidth="1"/>
    <col min="8432" max="8432" width="3.28515625" style="4" customWidth="1"/>
    <col min="8433" max="8433" width="8" style="4" customWidth="1"/>
    <col min="8434" max="8434" width="42.5703125" style="4" bestFit="1" customWidth="1"/>
    <col min="8435" max="8435" width="3.28515625" style="4" customWidth="1"/>
    <col min="8436" max="8436" width="8" style="4" customWidth="1"/>
    <col min="8437" max="8437" width="42.5703125" style="4" bestFit="1" customWidth="1"/>
    <col min="8438" max="8438" width="3.28515625" style="4" customWidth="1"/>
    <col min="8439" max="8439" width="8" style="4" customWidth="1"/>
    <col min="8440" max="8440" width="42.5703125" style="4" bestFit="1" customWidth="1"/>
    <col min="8441" max="8441" width="3.28515625" style="4" customWidth="1"/>
    <col min="8442" max="8442" width="8" style="4" customWidth="1"/>
    <col min="8443" max="8443" width="42.5703125" style="4" bestFit="1" customWidth="1"/>
    <col min="8444" max="8444" width="3.28515625" style="4" customWidth="1"/>
    <col min="8445" max="8445" width="8" style="4" customWidth="1"/>
    <col min="8446" max="8446" width="42.5703125" style="4" bestFit="1" customWidth="1"/>
    <col min="8447" max="8447" width="3.28515625" style="4" customWidth="1"/>
    <col min="8448" max="8448" width="8" style="4" customWidth="1"/>
    <col min="8449" max="8449" width="42.5703125" style="4" bestFit="1" customWidth="1"/>
    <col min="8450" max="8450" width="3.28515625" style="4" customWidth="1"/>
    <col min="8451" max="8451" width="8" style="4" customWidth="1"/>
    <col min="8452" max="8452" width="42.5703125" style="4" bestFit="1" customWidth="1"/>
    <col min="8453" max="8453" width="3.28515625" style="4" customWidth="1"/>
    <col min="8454" max="8454" width="8" style="4" customWidth="1"/>
    <col min="8455" max="8455" width="42.5703125" style="4" bestFit="1" customWidth="1"/>
    <col min="8456" max="8456" width="3.28515625" style="4" customWidth="1"/>
    <col min="8457" max="8457" width="8" style="4" customWidth="1"/>
    <col min="8458" max="8458" width="42.5703125" style="4" bestFit="1" customWidth="1"/>
    <col min="8459" max="8459" width="3.28515625" style="4" customWidth="1"/>
    <col min="8460" max="8460" width="8" style="4" customWidth="1"/>
    <col min="8461" max="8461" width="42.5703125" style="4" bestFit="1" customWidth="1"/>
    <col min="8462" max="8462" width="3.28515625" style="4" customWidth="1"/>
    <col min="8463" max="8463" width="8" style="4" customWidth="1"/>
    <col min="8464" max="8464" width="42.5703125" style="4" bestFit="1" customWidth="1"/>
    <col min="8465" max="8465" width="3.28515625" style="4" customWidth="1"/>
    <col min="8466" max="8466" width="8" style="4" customWidth="1"/>
    <col min="8467" max="8467" width="42.5703125" style="4" bestFit="1" customWidth="1"/>
    <col min="8468" max="8468" width="3.28515625" style="4" customWidth="1"/>
    <col min="8469" max="8469" width="8" style="4" customWidth="1"/>
    <col min="8470" max="8470" width="42.5703125" style="4" bestFit="1" customWidth="1"/>
    <col min="8471" max="8471" width="3.28515625" style="4" customWidth="1"/>
    <col min="8472" max="8472" width="8" style="4" customWidth="1"/>
    <col min="8473" max="8473" width="42.5703125" style="4" bestFit="1" customWidth="1"/>
    <col min="8474" max="8474" width="3.28515625" style="4" customWidth="1"/>
    <col min="8475" max="8475" width="8" style="4" customWidth="1"/>
    <col min="8476" max="8476" width="42.5703125" style="4" bestFit="1" customWidth="1"/>
    <col min="8477" max="8477" width="3.28515625" style="4" customWidth="1"/>
    <col min="8478" max="8478" width="8" style="4" customWidth="1"/>
    <col min="8479" max="8479" width="42.5703125" style="4" bestFit="1" customWidth="1"/>
    <col min="8480" max="8480" width="3.28515625" style="4" customWidth="1"/>
    <col min="8481" max="8481" width="8" style="4" customWidth="1"/>
    <col min="8482" max="8482" width="42.5703125" style="4" bestFit="1" customWidth="1"/>
    <col min="8483" max="8483" width="3.28515625" style="4" customWidth="1"/>
    <col min="8484" max="8484" width="8" style="4" customWidth="1"/>
    <col min="8485" max="8485" width="42.5703125" style="4" bestFit="1" customWidth="1"/>
    <col min="8486" max="8486" width="3.28515625" style="4" customWidth="1"/>
    <col min="8487" max="8487" width="8" style="4" customWidth="1"/>
    <col min="8488" max="8488" width="42.5703125" style="4" bestFit="1" customWidth="1"/>
    <col min="8489" max="8489" width="3.28515625" style="4" customWidth="1"/>
    <col min="8490" max="8490" width="8" style="4" customWidth="1"/>
    <col min="8491" max="8491" width="42.5703125" style="4" bestFit="1" customWidth="1"/>
    <col min="8492" max="8492" width="3.28515625" style="4" customWidth="1"/>
    <col min="8493" max="8493" width="8" style="4" customWidth="1"/>
    <col min="8494" max="8494" width="42.5703125" style="4" bestFit="1" customWidth="1"/>
    <col min="8495" max="8495" width="3.28515625" style="4" customWidth="1"/>
    <col min="8496" max="8496" width="8" style="4" customWidth="1"/>
    <col min="8497" max="8497" width="42.5703125" style="4" bestFit="1" customWidth="1"/>
    <col min="8498" max="8498" width="3.28515625" style="4" customWidth="1"/>
    <col min="8499" max="8499" width="8" style="4" customWidth="1"/>
    <col min="8500" max="8500" width="42.5703125" style="4" bestFit="1" customWidth="1"/>
    <col min="8501" max="8501" width="3.28515625" style="4" customWidth="1"/>
    <col min="8502" max="8502" width="8" style="4" customWidth="1"/>
    <col min="8503" max="8503" width="42.5703125" style="4" bestFit="1" customWidth="1"/>
    <col min="8504" max="8504" width="3.28515625" style="4" customWidth="1"/>
    <col min="8505" max="8505" width="8" style="4" customWidth="1"/>
    <col min="8506" max="8506" width="42.5703125" style="4" bestFit="1" customWidth="1"/>
    <col min="8507" max="8507" width="3.28515625" style="4" customWidth="1"/>
    <col min="8508" max="8508" width="8" style="4" customWidth="1"/>
    <col min="8509" max="8509" width="42.5703125" style="4" bestFit="1" customWidth="1"/>
    <col min="8510" max="8510" width="3.28515625" style="4" customWidth="1"/>
    <col min="8511" max="8511" width="8" style="4" customWidth="1"/>
    <col min="8512" max="8512" width="42.5703125" style="4" bestFit="1" customWidth="1"/>
    <col min="8513" max="8513" width="3.28515625" style="4" customWidth="1"/>
    <col min="8514" max="8514" width="8" style="4" customWidth="1"/>
    <col min="8515" max="8515" width="42.5703125" style="4" bestFit="1" customWidth="1"/>
    <col min="8516" max="8516" width="3.28515625" style="4" customWidth="1"/>
    <col min="8517" max="8517" width="8" style="4" customWidth="1"/>
    <col min="8518" max="8518" width="42.5703125" style="4" bestFit="1" customWidth="1"/>
    <col min="8519" max="8519" width="3.28515625" style="4" customWidth="1"/>
    <col min="8520" max="8520" width="8" style="4" customWidth="1"/>
    <col min="8521" max="8521" width="42.5703125" style="4" bestFit="1" customWidth="1"/>
    <col min="8522" max="8522" width="3.28515625" style="4" customWidth="1"/>
    <col min="8523" max="8523" width="8" style="4" customWidth="1"/>
    <col min="8524" max="8524" width="42.5703125" style="4" bestFit="1" customWidth="1"/>
    <col min="8525" max="8525" width="3.28515625" style="4" customWidth="1"/>
    <col min="8526" max="8526" width="8" style="4" customWidth="1"/>
    <col min="8527" max="8527" width="42.5703125" style="4" bestFit="1" customWidth="1"/>
    <col min="8528" max="8528" width="3.28515625" style="4" customWidth="1"/>
    <col min="8529" max="8529" width="8" style="4" customWidth="1"/>
    <col min="8530" max="8530" width="42.5703125" style="4" bestFit="1" customWidth="1"/>
    <col min="8531" max="8531" width="3.28515625" style="4" customWidth="1"/>
    <col min="8532" max="8532" width="8" style="4" customWidth="1"/>
    <col min="8533" max="8533" width="42.5703125" style="4" bestFit="1" customWidth="1"/>
    <col min="8534" max="8534" width="3.28515625" style="4" customWidth="1"/>
    <col min="8535" max="8535" width="8" style="4" customWidth="1"/>
    <col min="8536" max="8536" width="42.5703125" style="4" bestFit="1" customWidth="1"/>
    <col min="8537" max="8537" width="3.28515625" style="4" customWidth="1"/>
    <col min="8538" max="8538" width="8" style="4" customWidth="1"/>
    <col min="8539" max="8539" width="42.5703125" style="4" bestFit="1" customWidth="1"/>
    <col min="8540" max="8540" width="3.28515625" style="4" customWidth="1"/>
    <col min="8541" max="8541" width="8" style="4" customWidth="1"/>
    <col min="8542" max="8542" width="42.5703125" style="4" bestFit="1" customWidth="1"/>
    <col min="8543" max="8543" width="3.28515625" style="4" customWidth="1"/>
    <col min="8544" max="8544" width="8" style="4" customWidth="1"/>
    <col min="8545" max="8545" width="42.5703125" style="4" bestFit="1" customWidth="1"/>
    <col min="8546" max="8546" width="3.28515625" style="4" customWidth="1"/>
    <col min="8547" max="8547" width="8" style="4" customWidth="1"/>
    <col min="8548" max="8548" width="42.5703125" style="4" bestFit="1" customWidth="1"/>
    <col min="8549" max="8549" width="3.28515625" style="4" customWidth="1"/>
    <col min="8550" max="8550" width="8" style="4" customWidth="1"/>
    <col min="8551" max="8551" width="42.5703125" style="4" bestFit="1" customWidth="1"/>
    <col min="8552" max="8552" width="3.28515625" style="4" customWidth="1"/>
    <col min="8553" max="8553" width="8" style="4" customWidth="1"/>
    <col min="8554" max="8554" width="42.5703125" style="4" bestFit="1" customWidth="1"/>
    <col min="8555" max="8555" width="3.28515625" style="4" customWidth="1"/>
    <col min="8556" max="8556" width="8" style="4" customWidth="1"/>
    <col min="8557" max="8557" width="42.5703125" style="4" bestFit="1" customWidth="1"/>
    <col min="8558" max="8558" width="3.28515625" style="4" customWidth="1"/>
    <col min="8559" max="8559" width="8" style="4" customWidth="1"/>
    <col min="8560" max="8560" width="42.5703125" style="4" bestFit="1" customWidth="1"/>
    <col min="8561" max="8561" width="3.28515625" style="4" customWidth="1"/>
    <col min="8562" max="8562" width="8" style="4" customWidth="1"/>
    <col min="8563" max="8563" width="42.5703125" style="4" bestFit="1" customWidth="1"/>
    <col min="8564" max="8564" width="3.28515625" style="4" customWidth="1"/>
    <col min="8565" max="8565" width="8" style="4" customWidth="1"/>
    <col min="8566" max="8566" width="42.5703125" style="4" bestFit="1" customWidth="1"/>
    <col min="8567" max="8567" width="3.28515625" style="4" customWidth="1"/>
    <col min="8568" max="8568" width="8" style="4" customWidth="1"/>
    <col min="8569" max="8569" width="42.5703125" style="4" bestFit="1" customWidth="1"/>
    <col min="8570" max="8570" width="3.28515625" style="4" customWidth="1"/>
    <col min="8571" max="8571" width="8" style="4" customWidth="1"/>
    <col min="8572" max="8572" width="42.5703125" style="4" bestFit="1" customWidth="1"/>
    <col min="8573" max="8573" width="3.28515625" style="4" customWidth="1"/>
    <col min="8574" max="8574" width="8" style="4" customWidth="1"/>
    <col min="8575" max="8575" width="42.5703125" style="4" bestFit="1" customWidth="1"/>
    <col min="8576" max="8576" width="3.28515625" style="4" customWidth="1"/>
    <col min="8577" max="8577" width="8" style="4" customWidth="1"/>
    <col min="8578" max="8578" width="42.5703125" style="4" bestFit="1" customWidth="1"/>
    <col min="8579" max="8579" width="3.28515625" style="4" customWidth="1"/>
    <col min="8580" max="8580" width="8" style="4" customWidth="1"/>
    <col min="8581" max="8581" width="42.5703125" style="4" bestFit="1" customWidth="1"/>
    <col min="8582" max="8582" width="3.28515625" style="4" customWidth="1"/>
    <col min="8583" max="8583" width="8" style="4" customWidth="1"/>
    <col min="8584" max="8584" width="42.5703125" style="4" bestFit="1" customWidth="1"/>
    <col min="8585" max="8585" width="3.28515625" style="4" customWidth="1"/>
    <col min="8586" max="8586" width="8" style="4" customWidth="1"/>
    <col min="8587" max="8587" width="42.5703125" style="4" bestFit="1" customWidth="1"/>
    <col min="8588" max="8588" width="3.28515625" style="4" customWidth="1"/>
    <col min="8589" max="8589" width="8" style="4" customWidth="1"/>
    <col min="8590" max="8590" width="42.5703125" style="4" bestFit="1" customWidth="1"/>
    <col min="8591" max="8591" width="3.28515625" style="4" customWidth="1"/>
    <col min="8592" max="8592" width="8" style="4" customWidth="1"/>
    <col min="8593" max="8593" width="42.5703125" style="4" bestFit="1" customWidth="1"/>
    <col min="8594" max="8594" width="3.28515625" style="4" customWidth="1"/>
    <col min="8595" max="8595" width="8" style="4" customWidth="1"/>
    <col min="8596" max="8596" width="42.5703125" style="4" bestFit="1" customWidth="1"/>
    <col min="8597" max="8597" width="3.28515625" style="4" customWidth="1"/>
    <col min="8598" max="8598" width="8" style="4" customWidth="1"/>
    <col min="8599" max="8599" width="42.5703125" style="4" bestFit="1" customWidth="1"/>
    <col min="8600" max="8600" width="3.28515625" style="4" customWidth="1"/>
    <col min="8601" max="8601" width="8" style="4" customWidth="1"/>
    <col min="8602" max="8602" width="42.5703125" style="4" bestFit="1" customWidth="1"/>
    <col min="8603" max="8603" width="3.28515625" style="4" customWidth="1"/>
    <col min="8604" max="8604" width="8" style="4" customWidth="1"/>
    <col min="8605" max="8605" width="42.5703125" style="4" bestFit="1" customWidth="1"/>
    <col min="8606" max="8606" width="3.28515625" style="4" customWidth="1"/>
    <col min="8607" max="8607" width="8" style="4" customWidth="1"/>
    <col min="8608" max="8608" width="42.5703125" style="4" bestFit="1" customWidth="1"/>
    <col min="8609" max="8609" width="3.28515625" style="4" customWidth="1"/>
    <col min="8610" max="8610" width="8" style="4" customWidth="1"/>
    <col min="8611" max="8611" width="42.5703125" style="4" bestFit="1" customWidth="1"/>
    <col min="8612" max="8612" width="3.28515625" style="4" customWidth="1"/>
    <col min="8613" max="8613" width="8" style="4" customWidth="1"/>
    <col min="8614" max="8614" width="42.5703125" style="4" bestFit="1" customWidth="1"/>
    <col min="8615" max="8615" width="3.28515625" style="4" customWidth="1"/>
    <col min="8616" max="8616" width="8" style="4" customWidth="1"/>
    <col min="8617" max="8617" width="42.5703125" style="4" bestFit="1" customWidth="1"/>
    <col min="8618" max="8618" width="3.28515625" style="4" customWidth="1"/>
    <col min="8619" max="8619" width="8" style="4" customWidth="1"/>
    <col min="8620" max="8620" width="42.5703125" style="4" bestFit="1" customWidth="1"/>
    <col min="8621" max="8621" width="3.28515625" style="4" customWidth="1"/>
    <col min="8622" max="8622" width="8" style="4" customWidth="1"/>
    <col min="8623" max="8623" width="42.5703125" style="4" bestFit="1" customWidth="1"/>
    <col min="8624" max="8624" width="3.28515625" style="4" customWidth="1"/>
    <col min="8625" max="8625" width="8" style="4" customWidth="1"/>
    <col min="8626" max="8626" width="42.5703125" style="4" bestFit="1" customWidth="1"/>
    <col min="8627" max="8627" width="3.28515625" style="4" customWidth="1"/>
    <col min="8628" max="8628" width="8" style="4" customWidth="1"/>
    <col min="8629" max="8629" width="42.5703125" style="4" bestFit="1" customWidth="1"/>
    <col min="8630" max="8630" width="3.28515625" style="4" customWidth="1"/>
    <col min="8631" max="8631" width="8" style="4" customWidth="1"/>
    <col min="8632" max="8632" width="42.5703125" style="4" bestFit="1" customWidth="1"/>
    <col min="8633" max="8633" width="3.28515625" style="4" customWidth="1"/>
    <col min="8634" max="8634" width="8" style="4" customWidth="1"/>
    <col min="8635" max="8635" width="42.5703125" style="4" bestFit="1" customWidth="1"/>
    <col min="8636" max="8636" width="3.28515625" style="4" customWidth="1"/>
    <col min="8637" max="8637" width="8" style="4" customWidth="1"/>
    <col min="8638" max="8638" width="42.5703125" style="4" bestFit="1" customWidth="1"/>
    <col min="8639" max="8639" width="3.28515625" style="4" customWidth="1"/>
    <col min="8640" max="8640" width="8" style="4" customWidth="1"/>
    <col min="8641" max="8641" width="42.5703125" style="4" bestFit="1" customWidth="1"/>
    <col min="8642" max="8642" width="3.28515625" style="4" customWidth="1"/>
    <col min="8643" max="8643" width="8" style="4" customWidth="1"/>
    <col min="8644" max="8644" width="42.5703125" style="4" bestFit="1" customWidth="1"/>
    <col min="8645" max="8645" width="3.28515625" style="4" customWidth="1"/>
    <col min="8646" max="8646" width="8" style="4" customWidth="1"/>
    <col min="8647" max="8647" width="42.5703125" style="4" bestFit="1" customWidth="1"/>
    <col min="8648" max="8648" width="3.28515625" style="4" customWidth="1"/>
    <col min="8649" max="8649" width="8" style="4" customWidth="1"/>
    <col min="8650" max="8650" width="42.5703125" style="4" bestFit="1" customWidth="1"/>
    <col min="8651" max="8651" width="3.28515625" style="4" customWidth="1"/>
    <col min="8652" max="8652" width="8" style="4" customWidth="1"/>
    <col min="8653" max="8653" width="42.5703125" style="4" bestFit="1" customWidth="1"/>
    <col min="8654" max="8654" width="3.28515625" style="4" customWidth="1"/>
    <col min="8655" max="8655" width="8" style="4" customWidth="1"/>
    <col min="8656" max="8656" width="42.5703125" style="4" bestFit="1" customWidth="1"/>
    <col min="8657" max="8657" width="3.28515625" style="4" customWidth="1"/>
    <col min="8658" max="8658" width="8" style="4" customWidth="1"/>
    <col min="8659" max="8659" width="42.5703125" style="4" bestFit="1" customWidth="1"/>
    <col min="8660" max="8660" width="3.28515625" style="4" customWidth="1"/>
    <col min="8661" max="8661" width="8" style="4" customWidth="1"/>
    <col min="8662" max="8662" width="42.5703125" style="4" bestFit="1" customWidth="1"/>
    <col min="8663" max="8663" width="3.28515625" style="4" customWidth="1"/>
    <col min="8664" max="8664" width="8" style="4" customWidth="1"/>
    <col min="8665" max="8665" width="42.5703125" style="4" bestFit="1" customWidth="1"/>
    <col min="8666" max="8666" width="3.28515625" style="4" customWidth="1"/>
    <col min="8667" max="8667" width="8" style="4" customWidth="1"/>
    <col min="8668" max="8668" width="42.5703125" style="4" bestFit="1" customWidth="1"/>
    <col min="8669" max="8669" width="3.28515625" style="4" customWidth="1"/>
    <col min="8670" max="8670" width="8" style="4" customWidth="1"/>
    <col min="8671" max="8671" width="42.5703125" style="4" bestFit="1" customWidth="1"/>
    <col min="8672" max="8672" width="3.28515625" style="4" customWidth="1"/>
    <col min="8673" max="8673" width="8" style="4" customWidth="1"/>
    <col min="8674" max="8674" width="42.5703125" style="4" bestFit="1" customWidth="1"/>
    <col min="8675" max="8675" width="3.28515625" style="4" customWidth="1"/>
    <col min="8676" max="8676" width="8" style="4" customWidth="1"/>
    <col min="8677" max="8677" width="42.5703125" style="4" bestFit="1" customWidth="1"/>
    <col min="8678" max="8678" width="3.28515625" style="4" customWidth="1"/>
    <col min="8679" max="8679" width="8" style="4" customWidth="1"/>
    <col min="8680" max="8680" width="42.5703125" style="4" bestFit="1" customWidth="1"/>
    <col min="8681" max="8681" width="3.28515625" style="4" customWidth="1"/>
    <col min="8682" max="8682" width="8" style="4" customWidth="1"/>
    <col min="8683" max="8683" width="42.5703125" style="4" bestFit="1" customWidth="1"/>
    <col min="8684" max="8684" width="3.28515625" style="4" customWidth="1"/>
    <col min="8685" max="8685" width="8" style="4" customWidth="1"/>
    <col min="8686" max="8686" width="42.5703125" style="4" bestFit="1" customWidth="1"/>
    <col min="8687" max="8687" width="3.28515625" style="4" customWidth="1"/>
    <col min="8688" max="8688" width="8" style="4" customWidth="1"/>
    <col min="8689" max="8689" width="42.5703125" style="4" bestFit="1" customWidth="1"/>
    <col min="8690" max="8690" width="3.28515625" style="4" customWidth="1"/>
    <col min="8691" max="8691" width="8" style="4" customWidth="1"/>
    <col min="8692" max="8692" width="42.5703125" style="4" bestFit="1" customWidth="1"/>
    <col min="8693" max="8693" width="3.28515625" style="4" customWidth="1"/>
    <col min="8694" max="8694" width="8" style="4" customWidth="1"/>
    <col min="8695" max="8695" width="42.5703125" style="4" bestFit="1" customWidth="1"/>
    <col min="8696" max="8696" width="3.28515625" style="4" customWidth="1"/>
    <col min="8697" max="8697" width="8" style="4" customWidth="1"/>
    <col min="8698" max="8698" width="42.5703125" style="4" bestFit="1" customWidth="1"/>
    <col min="8699" max="8699" width="3.28515625" style="4" customWidth="1"/>
    <col min="8700" max="8700" width="8" style="4" customWidth="1"/>
    <col min="8701" max="8701" width="42.5703125" style="4" bestFit="1" customWidth="1"/>
    <col min="8702" max="8702" width="3.28515625" style="4" customWidth="1"/>
    <col min="8703" max="8703" width="8" style="4" customWidth="1"/>
    <col min="8704" max="8704" width="42.5703125" style="4" bestFit="1" customWidth="1"/>
    <col min="8705" max="8705" width="3.28515625" style="4" customWidth="1"/>
    <col min="8706" max="8706" width="8" style="4" customWidth="1"/>
    <col min="8707" max="8707" width="42.5703125" style="4" bestFit="1" customWidth="1"/>
    <col min="8708" max="8708" width="3.28515625" style="4" customWidth="1"/>
    <col min="8709" max="8709" width="8" style="4" customWidth="1"/>
    <col min="8710" max="8710" width="42.5703125" style="4" bestFit="1" customWidth="1"/>
    <col min="8711" max="8711" width="3.28515625" style="4" customWidth="1"/>
    <col min="8712" max="8712" width="8" style="4" customWidth="1"/>
    <col min="8713" max="8713" width="42.5703125" style="4" bestFit="1" customWidth="1"/>
    <col min="8714" max="8714" width="3.28515625" style="4" customWidth="1"/>
    <col min="8715" max="8715" width="8" style="4" customWidth="1"/>
    <col min="8716" max="8716" width="42.5703125" style="4" bestFit="1" customWidth="1"/>
    <col min="8717" max="8717" width="3.28515625" style="4" customWidth="1"/>
    <col min="8718" max="8718" width="8" style="4" customWidth="1"/>
    <col min="8719" max="8719" width="42.5703125" style="4" bestFit="1" customWidth="1"/>
    <col min="8720" max="8720" width="3.28515625" style="4" customWidth="1"/>
    <col min="8721" max="8721" width="8" style="4" customWidth="1"/>
    <col min="8722" max="8722" width="42.5703125" style="4" bestFit="1" customWidth="1"/>
    <col min="8723" max="8723" width="3.28515625" style="4" customWidth="1"/>
    <col min="8724" max="8724" width="8" style="4" customWidth="1"/>
    <col min="8725" max="8725" width="42.5703125" style="4" bestFit="1" customWidth="1"/>
    <col min="8726" max="8726" width="3.28515625" style="4" customWidth="1"/>
    <col min="8727" max="8727" width="8" style="4" customWidth="1"/>
    <col min="8728" max="8728" width="42.5703125" style="4" bestFit="1" customWidth="1"/>
    <col min="8729" max="8729" width="3.28515625" style="4" customWidth="1"/>
    <col min="8730" max="8730" width="8" style="4" customWidth="1"/>
    <col min="8731" max="8731" width="42.5703125" style="4" bestFit="1" customWidth="1"/>
    <col min="8732" max="8732" width="3.28515625" style="4" customWidth="1"/>
    <col min="8733" max="8733" width="8" style="4" customWidth="1"/>
    <col min="8734" max="8734" width="42.5703125" style="4" bestFit="1" customWidth="1"/>
    <col min="8735" max="8735" width="3.28515625" style="4" customWidth="1"/>
    <col min="8736" max="8736" width="8" style="4" customWidth="1"/>
    <col min="8737" max="8737" width="42.5703125" style="4" bestFit="1" customWidth="1"/>
    <col min="8738" max="8738" width="3.28515625" style="4" customWidth="1"/>
    <col min="8739" max="8739" width="8" style="4" customWidth="1"/>
    <col min="8740" max="8740" width="42.5703125" style="4" bestFit="1" customWidth="1"/>
    <col min="8741" max="8741" width="3.28515625" style="4" customWidth="1"/>
    <col min="8742" max="8742" width="8" style="4" customWidth="1"/>
    <col min="8743" max="8743" width="42.5703125" style="4" bestFit="1" customWidth="1"/>
    <col min="8744" max="8744" width="3.28515625" style="4" customWidth="1"/>
    <col min="8745" max="8745" width="8" style="4" customWidth="1"/>
    <col min="8746" max="8746" width="42.5703125" style="4" bestFit="1" customWidth="1"/>
    <col min="8747" max="8747" width="3.28515625" style="4" customWidth="1"/>
    <col min="8748" max="8748" width="8" style="4" customWidth="1"/>
    <col min="8749" max="8749" width="42.5703125" style="4" bestFit="1" customWidth="1"/>
    <col min="8750" max="8750" width="3.28515625" style="4" customWidth="1"/>
    <col min="8751" max="8751" width="8" style="4" customWidth="1"/>
    <col min="8752" max="8752" width="42.5703125" style="4" bestFit="1" customWidth="1"/>
    <col min="8753" max="8753" width="3.28515625" style="4" customWidth="1"/>
    <col min="8754" max="8754" width="8" style="4" customWidth="1"/>
    <col min="8755" max="8755" width="42.5703125" style="4" bestFit="1" customWidth="1"/>
    <col min="8756" max="8756" width="3.28515625" style="4" customWidth="1"/>
    <col min="8757" max="8757" width="8" style="4" customWidth="1"/>
    <col min="8758" max="8758" width="42.5703125" style="4" bestFit="1" customWidth="1"/>
    <col min="8759" max="8759" width="3.28515625" style="4" customWidth="1"/>
    <col min="8760" max="8760" width="8" style="4" customWidth="1"/>
    <col min="8761" max="8761" width="42.5703125" style="4" bestFit="1" customWidth="1"/>
    <col min="8762" max="8762" width="3.28515625" style="4" customWidth="1"/>
    <col min="8763" max="8763" width="8" style="4" customWidth="1"/>
    <col min="8764" max="8764" width="42.5703125" style="4" bestFit="1" customWidth="1"/>
    <col min="8765" max="8765" width="3.28515625" style="4" customWidth="1"/>
    <col min="8766" max="8766" width="8" style="4" customWidth="1"/>
    <col min="8767" max="8767" width="42.5703125" style="4" bestFit="1" customWidth="1"/>
    <col min="8768" max="8768" width="3.28515625" style="4" customWidth="1"/>
    <col min="8769" max="8769" width="8" style="4" customWidth="1"/>
    <col min="8770" max="8770" width="42.5703125" style="4" bestFit="1" customWidth="1"/>
    <col min="8771" max="8771" width="3.28515625" style="4" customWidth="1"/>
    <col min="8772" max="8772" width="8" style="4" customWidth="1"/>
    <col min="8773" max="8773" width="42.5703125" style="4" bestFit="1" customWidth="1"/>
    <col min="8774" max="8774" width="3.28515625" style="4" customWidth="1"/>
    <col min="8775" max="8775" width="8" style="4" customWidth="1"/>
    <col min="8776" max="8776" width="42.5703125" style="4" bestFit="1" customWidth="1"/>
    <col min="8777" max="8777" width="3.28515625" style="4" customWidth="1"/>
    <col min="8778" max="8778" width="8" style="4" customWidth="1"/>
    <col min="8779" max="8779" width="42.5703125" style="4" bestFit="1" customWidth="1"/>
    <col min="8780" max="8780" width="3.28515625" style="4" customWidth="1"/>
    <col min="8781" max="8781" width="8" style="4" customWidth="1"/>
    <col min="8782" max="8782" width="42.5703125" style="4" bestFit="1" customWidth="1"/>
    <col min="8783" max="8783" width="3.28515625" style="4" customWidth="1"/>
    <col min="8784" max="8784" width="8" style="4" customWidth="1"/>
    <col min="8785" max="8785" width="42.5703125" style="4" bestFit="1" customWidth="1"/>
    <col min="8786" max="8786" width="3.28515625" style="4" customWidth="1"/>
    <col min="8787" max="8787" width="8" style="4" customWidth="1"/>
    <col min="8788" max="8788" width="42.5703125" style="4" bestFit="1" customWidth="1"/>
    <col min="8789" max="8789" width="3.28515625" style="4" customWidth="1"/>
    <col min="8790" max="8790" width="8" style="4" customWidth="1"/>
    <col min="8791" max="8791" width="42.5703125" style="4" bestFit="1" customWidth="1"/>
    <col min="8792" max="8792" width="3.28515625" style="4" customWidth="1"/>
    <col min="8793" max="8793" width="8" style="4" customWidth="1"/>
    <col min="8794" max="8794" width="42.5703125" style="4" bestFit="1" customWidth="1"/>
    <col min="8795" max="8795" width="3.28515625" style="4" customWidth="1"/>
    <col min="8796" max="8796" width="8" style="4" customWidth="1"/>
    <col min="8797" max="8797" width="42.5703125" style="4" bestFit="1" customWidth="1"/>
    <col min="8798" max="8798" width="3.28515625" style="4" customWidth="1"/>
    <col min="8799" max="8799" width="8" style="4" customWidth="1"/>
    <col min="8800" max="8800" width="42.5703125" style="4" bestFit="1" customWidth="1"/>
    <col min="8801" max="8801" width="3.28515625" style="4" customWidth="1"/>
    <col min="8802" max="8802" width="8" style="4" customWidth="1"/>
    <col min="8803" max="8803" width="42.5703125" style="4" bestFit="1" customWidth="1"/>
    <col min="8804" max="8804" width="3.28515625" style="4" customWidth="1"/>
    <col min="8805" max="8805" width="8" style="4" customWidth="1"/>
    <col min="8806" max="8806" width="42.5703125" style="4" bestFit="1" customWidth="1"/>
    <col min="8807" max="8807" width="3.28515625" style="4" customWidth="1"/>
    <col min="8808" max="8808" width="8" style="4" customWidth="1"/>
    <col min="8809" max="8809" width="42.5703125" style="4" bestFit="1" customWidth="1"/>
    <col min="8810" max="8810" width="3.28515625" style="4" customWidth="1"/>
    <col min="8811" max="8811" width="8" style="4" customWidth="1"/>
    <col min="8812" max="8812" width="42.5703125" style="4" bestFit="1" customWidth="1"/>
    <col min="8813" max="8813" width="3.28515625" style="4" customWidth="1"/>
    <col min="8814" max="8814" width="8" style="4" customWidth="1"/>
    <col min="8815" max="8815" width="42.5703125" style="4" bestFit="1" customWidth="1"/>
    <col min="8816" max="8816" width="3.28515625" style="4" customWidth="1"/>
    <col min="8817" max="8817" width="8" style="4" customWidth="1"/>
    <col min="8818" max="8818" width="42.5703125" style="4" bestFit="1" customWidth="1"/>
    <col min="8819" max="8819" width="3.28515625" style="4" customWidth="1"/>
    <col min="8820" max="8820" width="8" style="4" customWidth="1"/>
    <col min="8821" max="8821" width="42.5703125" style="4" bestFit="1" customWidth="1"/>
    <col min="8822" max="8822" width="3.28515625" style="4" customWidth="1"/>
    <col min="8823" max="8823" width="8" style="4" customWidth="1"/>
    <col min="8824" max="8824" width="42.5703125" style="4" bestFit="1" customWidth="1"/>
    <col min="8825" max="8825" width="3.28515625" style="4" customWidth="1"/>
    <col min="8826" max="8826" width="8" style="4" customWidth="1"/>
    <col min="8827" max="8827" width="42.5703125" style="4" bestFit="1" customWidth="1"/>
    <col min="8828" max="8828" width="3.28515625" style="4" customWidth="1"/>
    <col min="8829" max="8829" width="8" style="4" customWidth="1"/>
    <col min="8830" max="8830" width="42.5703125" style="4" bestFit="1" customWidth="1"/>
    <col min="8831" max="8831" width="3.28515625" style="4" customWidth="1"/>
    <col min="8832" max="8832" width="8" style="4" customWidth="1"/>
    <col min="8833" max="8833" width="42.5703125" style="4" bestFit="1" customWidth="1"/>
    <col min="8834" max="8834" width="3.28515625" style="4" customWidth="1"/>
    <col min="8835" max="8835" width="8" style="4" customWidth="1"/>
    <col min="8836" max="8836" width="42.5703125" style="4" bestFit="1" customWidth="1"/>
    <col min="8837" max="8837" width="3.28515625" style="4" customWidth="1"/>
    <col min="8838" max="8838" width="8" style="4" customWidth="1"/>
    <col min="8839" max="8839" width="42.5703125" style="4" bestFit="1" customWidth="1"/>
    <col min="8840" max="8840" width="3.28515625" style="4" customWidth="1"/>
    <col min="8841" max="8841" width="8" style="4" customWidth="1"/>
    <col min="8842" max="8842" width="42.5703125" style="4" bestFit="1" customWidth="1"/>
    <col min="8843" max="8843" width="3.28515625" style="4" customWidth="1"/>
    <col min="8844" max="8844" width="8" style="4" customWidth="1"/>
    <col min="8845" max="8845" width="42.5703125" style="4" bestFit="1" customWidth="1"/>
    <col min="8846" max="8846" width="3.28515625" style="4" customWidth="1"/>
    <col min="8847" max="8847" width="8" style="4" customWidth="1"/>
    <col min="8848" max="8848" width="42.5703125" style="4" bestFit="1" customWidth="1"/>
    <col min="8849" max="8849" width="3.28515625" style="4" customWidth="1"/>
    <col min="8850" max="8850" width="8" style="4" customWidth="1"/>
    <col min="8851" max="8851" width="42.5703125" style="4" bestFit="1" customWidth="1"/>
    <col min="8852" max="8852" width="3.28515625" style="4" customWidth="1"/>
    <col min="8853" max="8853" width="8" style="4" customWidth="1"/>
    <col min="8854" max="8854" width="42.5703125" style="4" bestFit="1" customWidth="1"/>
    <col min="8855" max="8855" width="3.28515625" style="4" customWidth="1"/>
    <col min="8856" max="8856" width="8" style="4" customWidth="1"/>
    <col min="8857" max="8857" width="42.5703125" style="4" bestFit="1" customWidth="1"/>
    <col min="8858" max="8858" width="3.28515625" style="4" customWidth="1"/>
    <col min="8859" max="8859" width="8" style="4" customWidth="1"/>
    <col min="8860" max="8860" width="42.5703125" style="4" bestFit="1" customWidth="1"/>
    <col min="8861" max="8861" width="3.28515625" style="4" customWidth="1"/>
    <col min="8862" max="8862" width="8" style="4" customWidth="1"/>
    <col min="8863" max="8863" width="42.5703125" style="4" bestFit="1" customWidth="1"/>
    <col min="8864" max="8864" width="3.28515625" style="4" customWidth="1"/>
    <col min="8865" max="8865" width="8" style="4" customWidth="1"/>
    <col min="8866" max="8866" width="42.5703125" style="4" bestFit="1" customWidth="1"/>
    <col min="8867" max="8867" width="3.28515625" style="4" customWidth="1"/>
    <col min="8868" max="8868" width="8" style="4" customWidth="1"/>
    <col min="8869" max="8869" width="42.5703125" style="4" bestFit="1" customWidth="1"/>
    <col min="8870" max="8870" width="3.28515625" style="4" customWidth="1"/>
    <col min="8871" max="8871" width="8" style="4" customWidth="1"/>
    <col min="8872" max="8872" width="42.5703125" style="4" bestFit="1" customWidth="1"/>
    <col min="8873" max="8873" width="3.28515625" style="4" customWidth="1"/>
    <col min="8874" max="8874" width="8" style="4" customWidth="1"/>
    <col min="8875" max="8875" width="42.5703125" style="4" bestFit="1" customWidth="1"/>
    <col min="8876" max="8876" width="3.28515625" style="4" customWidth="1"/>
    <col min="8877" max="8877" width="8" style="4" customWidth="1"/>
    <col min="8878" max="8878" width="42.5703125" style="4" bestFit="1" customWidth="1"/>
    <col min="8879" max="8879" width="3.28515625" style="4" customWidth="1"/>
    <col min="8880" max="8880" width="8" style="4" customWidth="1"/>
    <col min="8881" max="8881" width="42.5703125" style="4" bestFit="1" customWidth="1"/>
    <col min="8882" max="8882" width="3.28515625" style="4" customWidth="1"/>
    <col min="8883" max="8883" width="8" style="4" customWidth="1"/>
    <col min="8884" max="8884" width="42.5703125" style="4" bestFit="1" customWidth="1"/>
    <col min="8885" max="8885" width="3.28515625" style="4" customWidth="1"/>
    <col min="8886" max="8886" width="8" style="4" customWidth="1"/>
    <col min="8887" max="8887" width="42.5703125" style="4" bestFit="1" customWidth="1"/>
    <col min="8888" max="8888" width="3.28515625" style="4" customWidth="1"/>
    <col min="8889" max="8889" width="8" style="4" customWidth="1"/>
    <col min="8890" max="8890" width="42.5703125" style="4" bestFit="1" customWidth="1"/>
    <col min="8891" max="8891" width="3.28515625" style="4" customWidth="1"/>
    <col min="8892" max="8892" width="8" style="4" customWidth="1"/>
    <col min="8893" max="8893" width="42.5703125" style="4" bestFit="1" customWidth="1"/>
    <col min="8894" max="8894" width="3.28515625" style="4" customWidth="1"/>
    <col min="8895" max="8895" width="8" style="4" customWidth="1"/>
    <col min="8896" max="8896" width="42.5703125" style="4" bestFit="1" customWidth="1"/>
    <col min="8897" max="8897" width="3.28515625" style="4" customWidth="1"/>
    <col min="8898" max="8898" width="8" style="4" customWidth="1"/>
    <col min="8899" max="8899" width="42.5703125" style="4" bestFit="1" customWidth="1"/>
    <col min="8900" max="8900" width="3.28515625" style="4" customWidth="1"/>
    <col min="8901" max="8901" width="8" style="4" customWidth="1"/>
    <col min="8902" max="8902" width="42.5703125" style="4" bestFit="1" customWidth="1"/>
    <col min="8903" max="8903" width="3.28515625" style="4" customWidth="1"/>
    <col min="8904" max="8904" width="8" style="4" customWidth="1"/>
    <col min="8905" max="8905" width="42.5703125" style="4" bestFit="1" customWidth="1"/>
    <col min="8906" max="8906" width="3.28515625" style="4" customWidth="1"/>
    <col min="8907" max="8907" width="8" style="4" customWidth="1"/>
    <col min="8908" max="8908" width="42.5703125" style="4" bestFit="1" customWidth="1"/>
    <col min="8909" max="8909" width="3.28515625" style="4" customWidth="1"/>
    <col min="8910" max="8910" width="8" style="4" customWidth="1"/>
    <col min="8911" max="8911" width="42.5703125" style="4" bestFit="1" customWidth="1"/>
    <col min="8912" max="8912" width="3.28515625" style="4" customWidth="1"/>
    <col min="8913" max="8913" width="8" style="4" customWidth="1"/>
    <col min="8914" max="8914" width="42.5703125" style="4" bestFit="1" customWidth="1"/>
    <col min="8915" max="8915" width="3.28515625" style="4" customWidth="1"/>
    <col min="8916" max="8916" width="8" style="4" customWidth="1"/>
    <col min="8917" max="8917" width="42.5703125" style="4" bestFit="1" customWidth="1"/>
    <col min="8918" max="8918" width="3.28515625" style="4" customWidth="1"/>
    <col min="8919" max="8919" width="8" style="4" customWidth="1"/>
    <col min="8920" max="8920" width="42.5703125" style="4" bestFit="1" customWidth="1"/>
    <col min="8921" max="8921" width="3.28515625" style="4" customWidth="1"/>
    <col min="8922" max="8922" width="8" style="4" customWidth="1"/>
    <col min="8923" max="8923" width="42.5703125" style="4" bestFit="1" customWidth="1"/>
    <col min="8924" max="8924" width="3.28515625" style="4" customWidth="1"/>
    <col min="8925" max="8925" width="8" style="4" customWidth="1"/>
    <col min="8926" max="8926" width="42.5703125" style="4" bestFit="1" customWidth="1"/>
    <col min="8927" max="8927" width="3.28515625" style="4" customWidth="1"/>
    <col min="8928" max="8928" width="8" style="4" customWidth="1"/>
    <col min="8929" max="8929" width="42.5703125" style="4" bestFit="1" customWidth="1"/>
    <col min="8930" max="8930" width="3.28515625" style="4" customWidth="1"/>
    <col min="8931" max="8931" width="8" style="4" customWidth="1"/>
    <col min="8932" max="8932" width="42.5703125" style="4" bestFit="1" customWidth="1"/>
    <col min="8933" max="8933" width="3.28515625" style="4" customWidth="1"/>
    <col min="8934" max="8934" width="8" style="4" customWidth="1"/>
    <col min="8935" max="8935" width="42.5703125" style="4" bestFit="1" customWidth="1"/>
    <col min="8936" max="8936" width="3.28515625" style="4" customWidth="1"/>
    <col min="8937" max="8937" width="8" style="4" customWidth="1"/>
    <col min="8938" max="8938" width="42.5703125" style="4" bestFit="1" customWidth="1"/>
    <col min="8939" max="8939" width="3.28515625" style="4" customWidth="1"/>
    <col min="8940" max="8940" width="8" style="4" customWidth="1"/>
    <col min="8941" max="8941" width="42.5703125" style="4" bestFit="1" customWidth="1"/>
    <col min="8942" max="8942" width="3.28515625" style="4" customWidth="1"/>
    <col min="8943" max="8943" width="8" style="4" customWidth="1"/>
    <col min="8944" max="8944" width="42.5703125" style="4" bestFit="1" customWidth="1"/>
    <col min="8945" max="8945" width="3.28515625" style="4" customWidth="1"/>
    <col min="8946" max="8946" width="8" style="4" customWidth="1"/>
    <col min="8947" max="8947" width="42.5703125" style="4" bestFit="1" customWidth="1"/>
    <col min="8948" max="8948" width="3.28515625" style="4" customWidth="1"/>
    <col min="8949" max="8949" width="8" style="4" customWidth="1"/>
    <col min="8950" max="8950" width="42.5703125" style="4" bestFit="1" customWidth="1"/>
    <col min="8951" max="8951" width="3.28515625" style="4" customWidth="1"/>
    <col min="8952" max="8952" width="8" style="4" customWidth="1"/>
    <col min="8953" max="8953" width="42.5703125" style="4" bestFit="1" customWidth="1"/>
    <col min="8954" max="8954" width="3.28515625" style="4" customWidth="1"/>
    <col min="8955" max="8955" width="8" style="4" customWidth="1"/>
    <col min="8956" max="8956" width="42.5703125" style="4" bestFit="1" customWidth="1"/>
    <col min="8957" max="8957" width="3.28515625" style="4" customWidth="1"/>
    <col min="8958" max="8958" width="8" style="4" customWidth="1"/>
    <col min="8959" max="8959" width="42.5703125" style="4" bestFit="1" customWidth="1"/>
    <col min="8960" max="8960" width="3.28515625" style="4" customWidth="1"/>
    <col min="8961" max="8961" width="8" style="4" customWidth="1"/>
    <col min="8962" max="8962" width="42.5703125" style="4" bestFit="1" customWidth="1"/>
    <col min="8963" max="8963" width="3.28515625" style="4" customWidth="1"/>
    <col min="8964" max="8964" width="8" style="4" customWidth="1"/>
    <col min="8965" max="8965" width="42.5703125" style="4" bestFit="1" customWidth="1"/>
    <col min="8966" max="8966" width="3.28515625" style="4" customWidth="1"/>
    <col min="8967" max="8967" width="8" style="4" customWidth="1"/>
    <col min="8968" max="8968" width="42.5703125" style="4" bestFit="1" customWidth="1"/>
    <col min="8969" max="8969" width="3.28515625" style="4" customWidth="1"/>
    <col min="8970" max="8970" width="8" style="4" customWidth="1"/>
    <col min="8971" max="8971" width="42.5703125" style="4" bestFit="1" customWidth="1"/>
    <col min="8972" max="8972" width="3.28515625" style="4" customWidth="1"/>
    <col min="8973" max="8973" width="8" style="4" customWidth="1"/>
    <col min="8974" max="8974" width="42.5703125" style="4" bestFit="1" customWidth="1"/>
    <col min="8975" max="8975" width="3.28515625" style="4" customWidth="1"/>
    <col min="8976" max="8976" width="8" style="4" customWidth="1"/>
    <col min="8977" max="8977" width="42.5703125" style="4" bestFit="1" customWidth="1"/>
    <col min="8978" max="8978" width="3.28515625" style="4" customWidth="1"/>
    <col min="8979" max="8979" width="8" style="4" customWidth="1"/>
    <col min="8980" max="8980" width="42.5703125" style="4" bestFit="1" customWidth="1"/>
    <col min="8981" max="8981" width="3.28515625" style="4" customWidth="1"/>
    <col min="8982" max="8982" width="8" style="4" customWidth="1"/>
    <col min="8983" max="8983" width="42.5703125" style="4" bestFit="1" customWidth="1"/>
    <col min="8984" max="8984" width="3.28515625" style="4" customWidth="1"/>
    <col min="8985" max="8985" width="8" style="4" customWidth="1"/>
    <col min="8986" max="8986" width="42.5703125" style="4" bestFit="1" customWidth="1"/>
    <col min="8987" max="8987" width="3.28515625" style="4" customWidth="1"/>
    <col min="8988" max="8988" width="8" style="4" customWidth="1"/>
    <col min="8989" max="8989" width="42.5703125" style="4" bestFit="1" customWidth="1"/>
    <col min="8990" max="8990" width="3.28515625" style="4" customWidth="1"/>
    <col min="8991" max="8991" width="8" style="4" customWidth="1"/>
    <col min="8992" max="8992" width="42.5703125" style="4" bestFit="1" customWidth="1"/>
    <col min="8993" max="8993" width="3.28515625" style="4" customWidth="1"/>
    <col min="8994" max="8994" width="8" style="4" customWidth="1"/>
    <col min="8995" max="8995" width="42.5703125" style="4" bestFit="1" customWidth="1"/>
    <col min="8996" max="8996" width="3.28515625" style="4" customWidth="1"/>
    <col min="8997" max="8997" width="8" style="4" customWidth="1"/>
    <col min="8998" max="8998" width="42.5703125" style="4" bestFit="1" customWidth="1"/>
    <col min="8999" max="8999" width="3.28515625" style="4" customWidth="1"/>
    <col min="9000" max="9000" width="8" style="4" customWidth="1"/>
    <col min="9001" max="9001" width="42.5703125" style="4" bestFit="1" customWidth="1"/>
    <col min="9002" max="9002" width="3.28515625" style="4" customWidth="1"/>
    <col min="9003" max="9003" width="8" style="4" customWidth="1"/>
    <col min="9004" max="9004" width="42.5703125" style="4" bestFit="1" customWidth="1"/>
    <col min="9005" max="9005" width="3.28515625" style="4" customWidth="1"/>
    <col min="9006" max="9006" width="8" style="4" customWidth="1"/>
    <col min="9007" max="9007" width="42.5703125" style="4" bestFit="1" customWidth="1"/>
    <col min="9008" max="9008" width="3.28515625" style="4" customWidth="1"/>
    <col min="9009" max="9009" width="8" style="4" customWidth="1"/>
    <col min="9010" max="9010" width="42.5703125" style="4" bestFit="1" customWidth="1"/>
    <col min="9011" max="9011" width="3.28515625" style="4" customWidth="1"/>
    <col min="9012" max="9012" width="8" style="4" customWidth="1"/>
    <col min="9013" max="9013" width="42.5703125" style="4" bestFit="1" customWidth="1"/>
    <col min="9014" max="9014" width="3.28515625" style="4" customWidth="1"/>
    <col min="9015" max="9015" width="8" style="4" customWidth="1"/>
    <col min="9016" max="9016" width="42.5703125" style="4" bestFit="1" customWidth="1"/>
    <col min="9017" max="9017" width="3.28515625" style="4" customWidth="1"/>
    <col min="9018" max="9018" width="8" style="4" customWidth="1"/>
    <col min="9019" max="9019" width="42.5703125" style="4" bestFit="1" customWidth="1"/>
    <col min="9020" max="9020" width="3.28515625" style="4" customWidth="1"/>
    <col min="9021" max="9021" width="8" style="4" customWidth="1"/>
    <col min="9022" max="9022" width="42.5703125" style="4" bestFit="1" customWidth="1"/>
    <col min="9023" max="9023" width="3.28515625" style="4" customWidth="1"/>
    <col min="9024" max="9024" width="8" style="4" customWidth="1"/>
    <col min="9025" max="9025" width="42.5703125" style="4" bestFit="1" customWidth="1"/>
    <col min="9026" max="9026" width="3.28515625" style="4" customWidth="1"/>
    <col min="9027" max="9027" width="8" style="4" customWidth="1"/>
    <col min="9028" max="9028" width="42.5703125" style="4" bestFit="1" customWidth="1"/>
    <col min="9029" max="9029" width="3.28515625" style="4" customWidth="1"/>
    <col min="9030" max="9030" width="8" style="4" customWidth="1"/>
    <col min="9031" max="9031" width="42.5703125" style="4" bestFit="1" customWidth="1"/>
    <col min="9032" max="9032" width="3.28515625" style="4" customWidth="1"/>
    <col min="9033" max="9033" width="8" style="4" customWidth="1"/>
    <col min="9034" max="9034" width="42.5703125" style="4" bestFit="1" customWidth="1"/>
    <col min="9035" max="9035" width="3.28515625" style="4" customWidth="1"/>
    <col min="9036" max="9036" width="8" style="4" customWidth="1"/>
    <col min="9037" max="9037" width="42.5703125" style="4" bestFit="1" customWidth="1"/>
    <col min="9038" max="9038" width="3.28515625" style="4" customWidth="1"/>
    <col min="9039" max="9039" width="8" style="4" customWidth="1"/>
    <col min="9040" max="9040" width="42.5703125" style="4" bestFit="1" customWidth="1"/>
    <col min="9041" max="9041" width="3.28515625" style="4" customWidth="1"/>
    <col min="9042" max="9042" width="8" style="4" customWidth="1"/>
    <col min="9043" max="9043" width="42.5703125" style="4" bestFit="1" customWidth="1"/>
    <col min="9044" max="9044" width="3.28515625" style="4" customWidth="1"/>
    <col min="9045" max="9045" width="8" style="4" customWidth="1"/>
    <col min="9046" max="9046" width="42.5703125" style="4" bestFit="1" customWidth="1"/>
    <col min="9047" max="9047" width="3.28515625" style="4" customWidth="1"/>
    <col min="9048" max="9048" width="8" style="4" customWidth="1"/>
    <col min="9049" max="9049" width="42.5703125" style="4" bestFit="1" customWidth="1"/>
    <col min="9050" max="9050" width="3.28515625" style="4" customWidth="1"/>
    <col min="9051" max="9051" width="8" style="4" customWidth="1"/>
    <col min="9052" max="9052" width="42.5703125" style="4" bestFit="1" customWidth="1"/>
    <col min="9053" max="9053" width="3.28515625" style="4" customWidth="1"/>
    <col min="9054" max="9054" width="8" style="4" customWidth="1"/>
    <col min="9055" max="9055" width="42.5703125" style="4" bestFit="1" customWidth="1"/>
    <col min="9056" max="9056" width="3.28515625" style="4" customWidth="1"/>
    <col min="9057" max="9057" width="8" style="4" customWidth="1"/>
    <col min="9058" max="9058" width="42.5703125" style="4" bestFit="1" customWidth="1"/>
    <col min="9059" max="9059" width="3.28515625" style="4" customWidth="1"/>
    <col min="9060" max="9060" width="8" style="4" customWidth="1"/>
    <col min="9061" max="9061" width="42.5703125" style="4" bestFit="1" customWidth="1"/>
    <col min="9062" max="9062" width="3.28515625" style="4" customWidth="1"/>
    <col min="9063" max="9063" width="8" style="4" customWidth="1"/>
    <col min="9064" max="9064" width="42.5703125" style="4" bestFit="1" customWidth="1"/>
    <col min="9065" max="9065" width="3.28515625" style="4" customWidth="1"/>
    <col min="9066" max="9066" width="8" style="4" customWidth="1"/>
    <col min="9067" max="9067" width="42.5703125" style="4" bestFit="1" customWidth="1"/>
    <col min="9068" max="9068" width="3.28515625" style="4" customWidth="1"/>
    <col min="9069" max="9069" width="8" style="4" customWidth="1"/>
    <col min="9070" max="9070" width="42.5703125" style="4" bestFit="1" customWidth="1"/>
    <col min="9071" max="9071" width="3.28515625" style="4" customWidth="1"/>
    <col min="9072" max="9072" width="8" style="4" customWidth="1"/>
    <col min="9073" max="9073" width="42.5703125" style="4" bestFit="1" customWidth="1"/>
    <col min="9074" max="9074" width="3.28515625" style="4" customWidth="1"/>
    <col min="9075" max="9075" width="8" style="4" customWidth="1"/>
    <col min="9076" max="9076" width="42.5703125" style="4" bestFit="1" customWidth="1"/>
    <col min="9077" max="9077" width="3.28515625" style="4" customWidth="1"/>
    <col min="9078" max="9078" width="8" style="4" customWidth="1"/>
    <col min="9079" max="9079" width="42.5703125" style="4" bestFit="1" customWidth="1"/>
    <col min="9080" max="9080" width="3.28515625" style="4" customWidth="1"/>
    <col min="9081" max="9081" width="8" style="4" customWidth="1"/>
    <col min="9082" max="9082" width="42.5703125" style="4" bestFit="1" customWidth="1"/>
    <col min="9083" max="9083" width="3.28515625" style="4" customWidth="1"/>
    <col min="9084" max="9084" width="8" style="4" customWidth="1"/>
    <col min="9085" max="9085" width="42.5703125" style="4" bestFit="1" customWidth="1"/>
    <col min="9086" max="9086" width="3.28515625" style="4" customWidth="1"/>
    <col min="9087" max="9087" width="8" style="4" customWidth="1"/>
    <col min="9088" max="9088" width="42.5703125" style="4" bestFit="1" customWidth="1"/>
    <col min="9089" max="9089" width="3.28515625" style="4" customWidth="1"/>
    <col min="9090" max="9090" width="8" style="4" customWidth="1"/>
    <col min="9091" max="9091" width="42.5703125" style="4" bestFit="1" customWidth="1"/>
    <col min="9092" max="9092" width="3.28515625" style="4" customWidth="1"/>
    <col min="9093" max="9093" width="8" style="4" customWidth="1"/>
    <col min="9094" max="9094" width="42.5703125" style="4" bestFit="1" customWidth="1"/>
    <col min="9095" max="9095" width="3.28515625" style="4" customWidth="1"/>
    <col min="9096" max="9096" width="8" style="4" customWidth="1"/>
    <col min="9097" max="9097" width="42.5703125" style="4" bestFit="1" customWidth="1"/>
    <col min="9098" max="9098" width="3.28515625" style="4" customWidth="1"/>
    <col min="9099" max="9099" width="8" style="4" customWidth="1"/>
    <col min="9100" max="9100" width="42.5703125" style="4" bestFit="1" customWidth="1"/>
    <col min="9101" max="9101" width="3.28515625" style="4" customWidth="1"/>
    <col min="9102" max="9102" width="8" style="4" customWidth="1"/>
    <col min="9103" max="9103" width="42.5703125" style="4" bestFit="1" customWidth="1"/>
    <col min="9104" max="9104" width="3.28515625" style="4" customWidth="1"/>
    <col min="9105" max="9105" width="8" style="4" customWidth="1"/>
    <col min="9106" max="9106" width="42.5703125" style="4" bestFit="1" customWidth="1"/>
    <col min="9107" max="9107" width="3.28515625" style="4" customWidth="1"/>
    <col min="9108" max="9108" width="8" style="4" customWidth="1"/>
    <col min="9109" max="9109" width="42.5703125" style="4" bestFit="1" customWidth="1"/>
    <col min="9110" max="9110" width="3.28515625" style="4" customWidth="1"/>
    <col min="9111" max="9111" width="8" style="4" customWidth="1"/>
    <col min="9112" max="9112" width="42.5703125" style="4" bestFit="1" customWidth="1"/>
    <col min="9113" max="9113" width="3.28515625" style="4" customWidth="1"/>
    <col min="9114" max="9114" width="8" style="4" customWidth="1"/>
    <col min="9115" max="9115" width="42.5703125" style="4" bestFit="1" customWidth="1"/>
    <col min="9116" max="9116" width="3.28515625" style="4" customWidth="1"/>
    <col min="9117" max="9117" width="8" style="4" customWidth="1"/>
    <col min="9118" max="9118" width="42.5703125" style="4" bestFit="1" customWidth="1"/>
    <col min="9119" max="9119" width="3.28515625" style="4" customWidth="1"/>
    <col min="9120" max="9120" width="8" style="4" customWidth="1"/>
    <col min="9121" max="9121" width="42.5703125" style="4" bestFit="1" customWidth="1"/>
    <col min="9122" max="9122" width="3.28515625" style="4" customWidth="1"/>
    <col min="9123" max="9123" width="8" style="4" customWidth="1"/>
    <col min="9124" max="9124" width="42.5703125" style="4" bestFit="1" customWidth="1"/>
    <col min="9125" max="9125" width="3.28515625" style="4" customWidth="1"/>
    <col min="9126" max="9126" width="8" style="4" customWidth="1"/>
    <col min="9127" max="9127" width="42.5703125" style="4" bestFit="1" customWidth="1"/>
    <col min="9128" max="9128" width="3.28515625" style="4" customWidth="1"/>
    <col min="9129" max="9129" width="8" style="4" customWidth="1"/>
    <col min="9130" max="9130" width="42.5703125" style="4" bestFit="1" customWidth="1"/>
    <col min="9131" max="9131" width="3.28515625" style="4" customWidth="1"/>
    <col min="9132" max="9132" width="8" style="4" customWidth="1"/>
    <col min="9133" max="9133" width="42.5703125" style="4" bestFit="1" customWidth="1"/>
    <col min="9134" max="9134" width="3.28515625" style="4" customWidth="1"/>
    <col min="9135" max="9135" width="8" style="4" customWidth="1"/>
    <col min="9136" max="9136" width="42.5703125" style="4" bestFit="1" customWidth="1"/>
    <col min="9137" max="9137" width="3.28515625" style="4" customWidth="1"/>
    <col min="9138" max="9138" width="8" style="4" customWidth="1"/>
    <col min="9139" max="9139" width="42.5703125" style="4" bestFit="1" customWidth="1"/>
    <col min="9140" max="9140" width="3.28515625" style="4" customWidth="1"/>
    <col min="9141" max="9141" width="8" style="4" customWidth="1"/>
    <col min="9142" max="9142" width="42.5703125" style="4" bestFit="1" customWidth="1"/>
    <col min="9143" max="9143" width="3.28515625" style="4" customWidth="1"/>
    <col min="9144" max="9144" width="8" style="4" customWidth="1"/>
    <col min="9145" max="9145" width="42.5703125" style="4" bestFit="1" customWidth="1"/>
    <col min="9146" max="9146" width="3.28515625" style="4" customWidth="1"/>
    <col min="9147" max="9147" width="8" style="4" customWidth="1"/>
    <col min="9148" max="9148" width="42.5703125" style="4" bestFit="1" customWidth="1"/>
    <col min="9149" max="9149" width="3.28515625" style="4" customWidth="1"/>
    <col min="9150" max="9150" width="8" style="4" customWidth="1"/>
    <col min="9151" max="9151" width="42.5703125" style="4" bestFit="1" customWidth="1"/>
    <col min="9152" max="9152" width="3.28515625" style="4" customWidth="1"/>
    <col min="9153" max="9153" width="8" style="4" customWidth="1"/>
    <col min="9154" max="9154" width="42.5703125" style="4" bestFit="1" customWidth="1"/>
    <col min="9155" max="9155" width="3.28515625" style="4" customWidth="1"/>
    <col min="9156" max="9156" width="8" style="4" customWidth="1"/>
    <col min="9157" max="9157" width="42.5703125" style="4" bestFit="1" customWidth="1"/>
    <col min="9158" max="9158" width="3.28515625" style="4" customWidth="1"/>
    <col min="9159" max="9159" width="8" style="4" customWidth="1"/>
    <col min="9160" max="9160" width="42.5703125" style="4" bestFit="1" customWidth="1"/>
    <col min="9161" max="9161" width="3.28515625" style="4" customWidth="1"/>
    <col min="9162" max="9162" width="8" style="4" customWidth="1"/>
    <col min="9163" max="9163" width="42.5703125" style="4" bestFit="1" customWidth="1"/>
    <col min="9164" max="9164" width="3.28515625" style="4" customWidth="1"/>
    <col min="9165" max="9165" width="8" style="4" customWidth="1"/>
    <col min="9166" max="9166" width="42.5703125" style="4" bestFit="1" customWidth="1"/>
    <col min="9167" max="9167" width="3.28515625" style="4" customWidth="1"/>
    <col min="9168" max="9168" width="8" style="4" customWidth="1"/>
    <col min="9169" max="9169" width="42.5703125" style="4" bestFit="1" customWidth="1"/>
    <col min="9170" max="9170" width="3.28515625" style="4" customWidth="1"/>
    <col min="9171" max="9171" width="8" style="4" customWidth="1"/>
    <col min="9172" max="9172" width="42.5703125" style="4" bestFit="1" customWidth="1"/>
    <col min="9173" max="9173" width="3.28515625" style="4" customWidth="1"/>
    <col min="9174" max="9174" width="8" style="4" customWidth="1"/>
    <col min="9175" max="9175" width="42.5703125" style="4" bestFit="1" customWidth="1"/>
    <col min="9176" max="9176" width="3.28515625" style="4" customWidth="1"/>
    <col min="9177" max="9177" width="8" style="4" customWidth="1"/>
    <col min="9178" max="9178" width="42.5703125" style="4" bestFit="1" customWidth="1"/>
    <col min="9179" max="9179" width="3.28515625" style="4" customWidth="1"/>
    <col min="9180" max="9180" width="8" style="4" customWidth="1"/>
    <col min="9181" max="9181" width="42.5703125" style="4" bestFit="1" customWidth="1"/>
    <col min="9182" max="9182" width="3.28515625" style="4" customWidth="1"/>
    <col min="9183" max="9183" width="8" style="4" customWidth="1"/>
    <col min="9184" max="9184" width="42.5703125" style="4" bestFit="1" customWidth="1"/>
    <col min="9185" max="9185" width="3.28515625" style="4" customWidth="1"/>
    <col min="9186" max="9186" width="8" style="4" customWidth="1"/>
    <col min="9187" max="9187" width="42.5703125" style="4" bestFit="1" customWidth="1"/>
    <col min="9188" max="9188" width="3.28515625" style="4" customWidth="1"/>
    <col min="9189" max="9189" width="8" style="4" customWidth="1"/>
    <col min="9190" max="9190" width="42.5703125" style="4" bestFit="1" customWidth="1"/>
    <col min="9191" max="9191" width="3.28515625" style="4" customWidth="1"/>
    <col min="9192" max="9192" width="8" style="4" customWidth="1"/>
    <col min="9193" max="9193" width="42.5703125" style="4" bestFit="1" customWidth="1"/>
    <col min="9194" max="9194" width="3.28515625" style="4" customWidth="1"/>
    <col min="9195" max="9195" width="8" style="4" customWidth="1"/>
    <col min="9196" max="9196" width="42.5703125" style="4" bestFit="1" customWidth="1"/>
    <col min="9197" max="9197" width="3.28515625" style="4" customWidth="1"/>
    <col min="9198" max="9198" width="8" style="4" customWidth="1"/>
    <col min="9199" max="9199" width="42.5703125" style="4" bestFit="1" customWidth="1"/>
    <col min="9200" max="9200" width="3.28515625" style="4" customWidth="1"/>
    <col min="9201" max="9201" width="8" style="4" customWidth="1"/>
    <col min="9202" max="9202" width="42.5703125" style="4" bestFit="1" customWidth="1"/>
    <col min="9203" max="9203" width="3.28515625" style="4" customWidth="1"/>
    <col min="9204" max="9204" width="8" style="4" customWidth="1"/>
    <col min="9205" max="9205" width="42.5703125" style="4" bestFit="1" customWidth="1"/>
    <col min="9206" max="9206" width="3.28515625" style="4" customWidth="1"/>
    <col min="9207" max="9207" width="8" style="4" customWidth="1"/>
    <col min="9208" max="9208" width="42.5703125" style="4" bestFit="1" customWidth="1"/>
    <col min="9209" max="9209" width="3.28515625" style="4" customWidth="1"/>
    <col min="9210" max="9210" width="8" style="4" customWidth="1"/>
    <col min="9211" max="9211" width="42.5703125" style="4" bestFit="1" customWidth="1"/>
    <col min="9212" max="9212" width="3.28515625" style="4" customWidth="1"/>
    <col min="9213" max="9213" width="8" style="4" customWidth="1"/>
    <col min="9214" max="9214" width="42.5703125" style="4" bestFit="1" customWidth="1"/>
    <col min="9215" max="9215" width="3.28515625" style="4" customWidth="1"/>
    <col min="9216" max="9216" width="8" style="4" customWidth="1"/>
    <col min="9217" max="9217" width="42.5703125" style="4" bestFit="1" customWidth="1"/>
    <col min="9218" max="9218" width="3.28515625" style="4" customWidth="1"/>
    <col min="9219" max="9219" width="8" style="4" customWidth="1"/>
    <col min="9220" max="9220" width="42.5703125" style="4" bestFit="1" customWidth="1"/>
    <col min="9221" max="9221" width="3.28515625" style="4" customWidth="1"/>
    <col min="9222" max="9222" width="8" style="4" customWidth="1"/>
    <col min="9223" max="9223" width="42.5703125" style="4" bestFit="1" customWidth="1"/>
    <col min="9224" max="9224" width="3.28515625" style="4" customWidth="1"/>
    <col min="9225" max="9225" width="8" style="4" customWidth="1"/>
    <col min="9226" max="9226" width="42.5703125" style="4" bestFit="1" customWidth="1"/>
    <col min="9227" max="9227" width="3.28515625" style="4" customWidth="1"/>
    <col min="9228" max="9228" width="8" style="4" customWidth="1"/>
    <col min="9229" max="9229" width="42.5703125" style="4" bestFit="1" customWidth="1"/>
    <col min="9230" max="9230" width="3.28515625" style="4" customWidth="1"/>
    <col min="9231" max="9231" width="8" style="4" customWidth="1"/>
    <col min="9232" max="9232" width="42.5703125" style="4" bestFit="1" customWidth="1"/>
    <col min="9233" max="9233" width="3.28515625" style="4" customWidth="1"/>
    <col min="9234" max="9234" width="8" style="4" customWidth="1"/>
    <col min="9235" max="9235" width="42.5703125" style="4" bestFit="1" customWidth="1"/>
    <col min="9236" max="9236" width="3.28515625" style="4" customWidth="1"/>
    <col min="9237" max="9237" width="8" style="4" customWidth="1"/>
    <col min="9238" max="9238" width="42.5703125" style="4" bestFit="1" customWidth="1"/>
    <col min="9239" max="9239" width="3.28515625" style="4" customWidth="1"/>
    <col min="9240" max="9240" width="8" style="4" customWidth="1"/>
    <col min="9241" max="9241" width="42.5703125" style="4" bestFit="1" customWidth="1"/>
    <col min="9242" max="9242" width="3.28515625" style="4" customWidth="1"/>
    <col min="9243" max="9243" width="8" style="4" customWidth="1"/>
    <col min="9244" max="9244" width="42.5703125" style="4" bestFit="1" customWidth="1"/>
    <col min="9245" max="9245" width="3.28515625" style="4" customWidth="1"/>
    <col min="9246" max="9246" width="8" style="4" customWidth="1"/>
    <col min="9247" max="9247" width="42.5703125" style="4" bestFit="1" customWidth="1"/>
    <col min="9248" max="9248" width="3.28515625" style="4" customWidth="1"/>
    <col min="9249" max="9249" width="8" style="4" customWidth="1"/>
    <col min="9250" max="9250" width="42.5703125" style="4" bestFit="1" customWidth="1"/>
    <col min="9251" max="9251" width="3.28515625" style="4" customWidth="1"/>
    <col min="9252" max="9252" width="8" style="4" customWidth="1"/>
    <col min="9253" max="9253" width="42.5703125" style="4" bestFit="1" customWidth="1"/>
    <col min="9254" max="9254" width="3.28515625" style="4" customWidth="1"/>
    <col min="9255" max="9255" width="8" style="4" customWidth="1"/>
    <col min="9256" max="9256" width="42.5703125" style="4" bestFit="1" customWidth="1"/>
    <col min="9257" max="9257" width="3.28515625" style="4" customWidth="1"/>
    <col min="9258" max="9258" width="8" style="4" customWidth="1"/>
    <col min="9259" max="9259" width="42.5703125" style="4" bestFit="1" customWidth="1"/>
    <col min="9260" max="9260" width="3.28515625" style="4" customWidth="1"/>
    <col min="9261" max="9261" width="8" style="4" customWidth="1"/>
    <col min="9262" max="9262" width="42.5703125" style="4" bestFit="1" customWidth="1"/>
    <col min="9263" max="9263" width="3.28515625" style="4" customWidth="1"/>
    <col min="9264" max="9264" width="8" style="4" customWidth="1"/>
    <col min="9265" max="9265" width="42.5703125" style="4" bestFit="1" customWidth="1"/>
    <col min="9266" max="9266" width="3.28515625" style="4" customWidth="1"/>
    <col min="9267" max="9267" width="8" style="4" customWidth="1"/>
    <col min="9268" max="9268" width="42.5703125" style="4" bestFit="1" customWidth="1"/>
    <col min="9269" max="9269" width="3.28515625" style="4" customWidth="1"/>
    <col min="9270" max="9270" width="8" style="4" customWidth="1"/>
    <col min="9271" max="9271" width="42.5703125" style="4" bestFit="1" customWidth="1"/>
    <col min="9272" max="9272" width="3.28515625" style="4" customWidth="1"/>
    <col min="9273" max="9273" width="8" style="4" customWidth="1"/>
    <col min="9274" max="9274" width="42.5703125" style="4" bestFit="1" customWidth="1"/>
    <col min="9275" max="9275" width="3.28515625" style="4" customWidth="1"/>
    <col min="9276" max="9276" width="8" style="4" customWidth="1"/>
    <col min="9277" max="9277" width="42.5703125" style="4" bestFit="1" customWidth="1"/>
    <col min="9278" max="9278" width="3.28515625" style="4" customWidth="1"/>
    <col min="9279" max="9279" width="8" style="4" customWidth="1"/>
    <col min="9280" max="9280" width="42.5703125" style="4" bestFit="1" customWidth="1"/>
    <col min="9281" max="9281" width="3.28515625" style="4" customWidth="1"/>
    <col min="9282" max="9282" width="8" style="4" customWidth="1"/>
    <col min="9283" max="9283" width="42.5703125" style="4" bestFit="1" customWidth="1"/>
    <col min="9284" max="9284" width="3.28515625" style="4" customWidth="1"/>
    <col min="9285" max="9285" width="8" style="4" customWidth="1"/>
    <col min="9286" max="9286" width="42.5703125" style="4" bestFit="1" customWidth="1"/>
    <col min="9287" max="9287" width="3.28515625" style="4" customWidth="1"/>
    <col min="9288" max="9288" width="8" style="4" customWidth="1"/>
    <col min="9289" max="9289" width="42.5703125" style="4" bestFit="1" customWidth="1"/>
    <col min="9290" max="9290" width="3.28515625" style="4" customWidth="1"/>
    <col min="9291" max="9291" width="8" style="4" customWidth="1"/>
    <col min="9292" max="9292" width="42.5703125" style="4" bestFit="1" customWidth="1"/>
    <col min="9293" max="9293" width="3.28515625" style="4" customWidth="1"/>
    <col min="9294" max="9294" width="8" style="4" customWidth="1"/>
    <col min="9295" max="9295" width="42.5703125" style="4" bestFit="1" customWidth="1"/>
    <col min="9296" max="9296" width="3.28515625" style="4" customWidth="1"/>
    <col min="9297" max="9297" width="8" style="4" customWidth="1"/>
    <col min="9298" max="9298" width="42.5703125" style="4" bestFit="1" customWidth="1"/>
    <col min="9299" max="9299" width="3.28515625" style="4" customWidth="1"/>
    <col min="9300" max="9300" width="8" style="4" customWidth="1"/>
    <col min="9301" max="9301" width="42.5703125" style="4" bestFit="1" customWidth="1"/>
    <col min="9302" max="9302" width="3.28515625" style="4" customWidth="1"/>
    <col min="9303" max="9303" width="8" style="4" customWidth="1"/>
    <col min="9304" max="9304" width="42.5703125" style="4" bestFit="1" customWidth="1"/>
    <col min="9305" max="9305" width="3.28515625" style="4" customWidth="1"/>
    <col min="9306" max="9306" width="8" style="4" customWidth="1"/>
    <col min="9307" max="9307" width="42.5703125" style="4" bestFit="1" customWidth="1"/>
    <col min="9308" max="9308" width="3.28515625" style="4" customWidth="1"/>
    <col min="9309" max="9309" width="8" style="4" customWidth="1"/>
    <col min="9310" max="9310" width="42.5703125" style="4" bestFit="1" customWidth="1"/>
    <col min="9311" max="9311" width="3.28515625" style="4" customWidth="1"/>
    <col min="9312" max="9312" width="8" style="4" customWidth="1"/>
    <col min="9313" max="9313" width="42.5703125" style="4" bestFit="1" customWidth="1"/>
    <col min="9314" max="9314" width="3.28515625" style="4" customWidth="1"/>
    <col min="9315" max="9315" width="8" style="4" customWidth="1"/>
    <col min="9316" max="9316" width="42.5703125" style="4" bestFit="1" customWidth="1"/>
    <col min="9317" max="9317" width="3.28515625" style="4" customWidth="1"/>
    <col min="9318" max="9318" width="8" style="4" customWidth="1"/>
    <col min="9319" max="9319" width="42.5703125" style="4" bestFit="1" customWidth="1"/>
    <col min="9320" max="9320" width="3.28515625" style="4" customWidth="1"/>
    <col min="9321" max="9321" width="8" style="4" customWidth="1"/>
    <col min="9322" max="9322" width="42.5703125" style="4" bestFit="1" customWidth="1"/>
    <col min="9323" max="9323" width="3.28515625" style="4" customWidth="1"/>
    <col min="9324" max="9324" width="8" style="4" customWidth="1"/>
    <col min="9325" max="9325" width="42.5703125" style="4" bestFit="1" customWidth="1"/>
    <col min="9326" max="9326" width="3.28515625" style="4" customWidth="1"/>
    <col min="9327" max="9327" width="8" style="4" customWidth="1"/>
    <col min="9328" max="9328" width="42.5703125" style="4" bestFit="1" customWidth="1"/>
    <col min="9329" max="9329" width="3.28515625" style="4" customWidth="1"/>
    <col min="9330" max="9330" width="8" style="4" customWidth="1"/>
    <col min="9331" max="9331" width="42.5703125" style="4" bestFit="1" customWidth="1"/>
    <col min="9332" max="9332" width="3.28515625" style="4" customWidth="1"/>
    <col min="9333" max="9333" width="8" style="4" customWidth="1"/>
    <col min="9334" max="9334" width="42.5703125" style="4" bestFit="1" customWidth="1"/>
    <col min="9335" max="9335" width="3.28515625" style="4" customWidth="1"/>
    <col min="9336" max="9336" width="8" style="4" customWidth="1"/>
    <col min="9337" max="9337" width="42.5703125" style="4" bestFit="1" customWidth="1"/>
    <col min="9338" max="9338" width="3.28515625" style="4" customWidth="1"/>
    <col min="9339" max="9339" width="8" style="4" customWidth="1"/>
    <col min="9340" max="9340" width="42.5703125" style="4" bestFit="1" customWidth="1"/>
    <col min="9341" max="9341" width="3.28515625" style="4" customWidth="1"/>
    <col min="9342" max="9342" width="8" style="4" customWidth="1"/>
    <col min="9343" max="9343" width="42.5703125" style="4" bestFit="1" customWidth="1"/>
    <col min="9344" max="9344" width="3.28515625" style="4" customWidth="1"/>
    <col min="9345" max="9345" width="8" style="4" customWidth="1"/>
    <col min="9346" max="9346" width="42.5703125" style="4" bestFit="1" customWidth="1"/>
    <col min="9347" max="9347" width="3.28515625" style="4" customWidth="1"/>
    <col min="9348" max="9348" width="8" style="4" customWidth="1"/>
    <col min="9349" max="9349" width="42.5703125" style="4" bestFit="1" customWidth="1"/>
    <col min="9350" max="9350" width="3.28515625" style="4" customWidth="1"/>
    <col min="9351" max="9351" width="8" style="4" customWidth="1"/>
    <col min="9352" max="9352" width="42.5703125" style="4" bestFit="1" customWidth="1"/>
    <col min="9353" max="9353" width="3.28515625" style="4" customWidth="1"/>
    <col min="9354" max="9354" width="8" style="4" customWidth="1"/>
    <col min="9355" max="9355" width="42.5703125" style="4" bestFit="1" customWidth="1"/>
    <col min="9356" max="9356" width="3.28515625" style="4" customWidth="1"/>
    <col min="9357" max="9357" width="8" style="4" customWidth="1"/>
    <col min="9358" max="9358" width="42.5703125" style="4" bestFit="1" customWidth="1"/>
    <col min="9359" max="9359" width="3.28515625" style="4" customWidth="1"/>
    <col min="9360" max="9360" width="8" style="4" customWidth="1"/>
    <col min="9361" max="9361" width="42.5703125" style="4" bestFit="1" customWidth="1"/>
    <col min="9362" max="9362" width="3.28515625" style="4" customWidth="1"/>
    <col min="9363" max="9363" width="8" style="4" customWidth="1"/>
    <col min="9364" max="9364" width="42.5703125" style="4" bestFit="1" customWidth="1"/>
    <col min="9365" max="9365" width="3.28515625" style="4" customWidth="1"/>
    <col min="9366" max="9366" width="8" style="4" customWidth="1"/>
    <col min="9367" max="9367" width="42.5703125" style="4" bestFit="1" customWidth="1"/>
    <col min="9368" max="9368" width="3.28515625" style="4" customWidth="1"/>
    <col min="9369" max="9369" width="8" style="4" customWidth="1"/>
    <col min="9370" max="9370" width="42.5703125" style="4" bestFit="1" customWidth="1"/>
    <col min="9371" max="9371" width="3.28515625" style="4" customWidth="1"/>
    <col min="9372" max="9372" width="8" style="4" customWidth="1"/>
    <col min="9373" max="9373" width="42.5703125" style="4" bestFit="1" customWidth="1"/>
    <col min="9374" max="9374" width="3.28515625" style="4" customWidth="1"/>
    <col min="9375" max="9375" width="8" style="4" customWidth="1"/>
    <col min="9376" max="9376" width="42.5703125" style="4" bestFit="1" customWidth="1"/>
    <col min="9377" max="9377" width="3.28515625" style="4" customWidth="1"/>
    <col min="9378" max="9378" width="8" style="4" customWidth="1"/>
    <col min="9379" max="9379" width="42.5703125" style="4" bestFit="1" customWidth="1"/>
    <col min="9380" max="9380" width="3.28515625" style="4" customWidth="1"/>
    <col min="9381" max="9381" width="8" style="4" customWidth="1"/>
    <col min="9382" max="9382" width="42.5703125" style="4" bestFit="1" customWidth="1"/>
    <col min="9383" max="9383" width="3.28515625" style="4" customWidth="1"/>
    <col min="9384" max="9384" width="8" style="4" customWidth="1"/>
    <col min="9385" max="9385" width="42.5703125" style="4" bestFit="1" customWidth="1"/>
    <col min="9386" max="9386" width="3.28515625" style="4" customWidth="1"/>
    <col min="9387" max="9387" width="8" style="4" customWidth="1"/>
    <col min="9388" max="9388" width="42.5703125" style="4" bestFit="1" customWidth="1"/>
    <col min="9389" max="9389" width="3.28515625" style="4" customWidth="1"/>
    <col min="9390" max="9390" width="8" style="4" customWidth="1"/>
    <col min="9391" max="9391" width="42.5703125" style="4" bestFit="1" customWidth="1"/>
    <col min="9392" max="9392" width="3.28515625" style="4" customWidth="1"/>
    <col min="9393" max="9393" width="8" style="4" customWidth="1"/>
    <col min="9394" max="9394" width="42.5703125" style="4" bestFit="1" customWidth="1"/>
    <col min="9395" max="9395" width="3.28515625" style="4" customWidth="1"/>
    <col min="9396" max="9396" width="8" style="4" customWidth="1"/>
    <col min="9397" max="9397" width="42.5703125" style="4" bestFit="1" customWidth="1"/>
    <col min="9398" max="9398" width="3.28515625" style="4" customWidth="1"/>
    <col min="9399" max="9399" width="8" style="4" customWidth="1"/>
    <col min="9400" max="9400" width="42.5703125" style="4" bestFit="1" customWidth="1"/>
    <col min="9401" max="9401" width="3.28515625" style="4" customWidth="1"/>
    <col min="9402" max="9402" width="8" style="4" customWidth="1"/>
    <col min="9403" max="9403" width="42.5703125" style="4" bestFit="1" customWidth="1"/>
    <col min="9404" max="9404" width="3.28515625" style="4" customWidth="1"/>
    <col min="9405" max="9405" width="8" style="4" customWidth="1"/>
    <col min="9406" max="9406" width="42.5703125" style="4" bestFit="1" customWidth="1"/>
    <col min="9407" max="9407" width="3.28515625" style="4" customWidth="1"/>
    <col min="9408" max="9408" width="8" style="4" customWidth="1"/>
    <col min="9409" max="9409" width="42.5703125" style="4" bestFit="1" customWidth="1"/>
    <col min="9410" max="9410" width="3.28515625" style="4" customWidth="1"/>
    <col min="9411" max="9411" width="8" style="4" customWidth="1"/>
    <col min="9412" max="9412" width="42.5703125" style="4" bestFit="1" customWidth="1"/>
    <col min="9413" max="9413" width="3.28515625" style="4" customWidth="1"/>
    <col min="9414" max="9414" width="8" style="4" customWidth="1"/>
    <col min="9415" max="9415" width="42.5703125" style="4" bestFit="1" customWidth="1"/>
    <col min="9416" max="9416" width="3.28515625" style="4" customWidth="1"/>
    <col min="9417" max="9417" width="8" style="4" customWidth="1"/>
    <col min="9418" max="9418" width="42.5703125" style="4" bestFit="1" customWidth="1"/>
    <col min="9419" max="9419" width="3.28515625" style="4" customWidth="1"/>
    <col min="9420" max="9420" width="8" style="4" customWidth="1"/>
    <col min="9421" max="9421" width="42.5703125" style="4" bestFit="1" customWidth="1"/>
    <col min="9422" max="9422" width="3.28515625" style="4" customWidth="1"/>
    <col min="9423" max="9423" width="8" style="4" customWidth="1"/>
    <col min="9424" max="9424" width="42.5703125" style="4" bestFit="1" customWidth="1"/>
    <col min="9425" max="9425" width="3.28515625" style="4" customWidth="1"/>
    <col min="9426" max="9426" width="8" style="4" customWidth="1"/>
    <col min="9427" max="9427" width="42.5703125" style="4" bestFit="1" customWidth="1"/>
    <col min="9428" max="9428" width="3.28515625" style="4" customWidth="1"/>
    <col min="9429" max="9429" width="8" style="4" customWidth="1"/>
    <col min="9430" max="9430" width="42.5703125" style="4" bestFit="1" customWidth="1"/>
    <col min="9431" max="9431" width="3.28515625" style="4" customWidth="1"/>
    <col min="9432" max="9432" width="8" style="4" customWidth="1"/>
    <col min="9433" max="9433" width="42.5703125" style="4" bestFit="1" customWidth="1"/>
    <col min="9434" max="9434" width="3.28515625" style="4" customWidth="1"/>
    <col min="9435" max="9435" width="8" style="4" customWidth="1"/>
    <col min="9436" max="9436" width="42.5703125" style="4" bestFit="1" customWidth="1"/>
    <col min="9437" max="9437" width="3.28515625" style="4" customWidth="1"/>
    <col min="9438" max="9438" width="8" style="4" customWidth="1"/>
    <col min="9439" max="9439" width="42.5703125" style="4" bestFit="1" customWidth="1"/>
    <col min="9440" max="9440" width="3.28515625" style="4" customWidth="1"/>
    <col min="9441" max="9441" width="8" style="4" customWidth="1"/>
    <col min="9442" max="9442" width="42.5703125" style="4" bestFit="1" customWidth="1"/>
    <col min="9443" max="9443" width="3.28515625" style="4" customWidth="1"/>
    <col min="9444" max="9444" width="8" style="4" customWidth="1"/>
    <col min="9445" max="9445" width="42.5703125" style="4" bestFit="1" customWidth="1"/>
    <col min="9446" max="9446" width="3.28515625" style="4" customWidth="1"/>
    <col min="9447" max="9447" width="8" style="4" customWidth="1"/>
    <col min="9448" max="9448" width="42.5703125" style="4" bestFit="1" customWidth="1"/>
    <col min="9449" max="9449" width="3.28515625" style="4" customWidth="1"/>
    <col min="9450" max="9450" width="8" style="4" customWidth="1"/>
    <col min="9451" max="9451" width="42.5703125" style="4" bestFit="1" customWidth="1"/>
    <col min="9452" max="9452" width="3.28515625" style="4" customWidth="1"/>
    <col min="9453" max="9453" width="8" style="4" customWidth="1"/>
    <col min="9454" max="9454" width="42.5703125" style="4" bestFit="1" customWidth="1"/>
    <col min="9455" max="9455" width="3.28515625" style="4" customWidth="1"/>
    <col min="9456" max="9456" width="8" style="4" customWidth="1"/>
    <col min="9457" max="9457" width="42.5703125" style="4" bestFit="1" customWidth="1"/>
    <col min="9458" max="9458" width="3.28515625" style="4" customWidth="1"/>
    <col min="9459" max="9459" width="8" style="4" customWidth="1"/>
    <col min="9460" max="9460" width="42.5703125" style="4" bestFit="1" customWidth="1"/>
    <col min="9461" max="9461" width="3.28515625" style="4" customWidth="1"/>
    <col min="9462" max="9462" width="8" style="4" customWidth="1"/>
    <col min="9463" max="9463" width="42.5703125" style="4" bestFit="1" customWidth="1"/>
    <col min="9464" max="9464" width="3.28515625" style="4" customWidth="1"/>
    <col min="9465" max="9465" width="8" style="4" customWidth="1"/>
    <col min="9466" max="9466" width="42.5703125" style="4" bestFit="1" customWidth="1"/>
    <col min="9467" max="9467" width="3.28515625" style="4" customWidth="1"/>
    <col min="9468" max="9468" width="8" style="4" customWidth="1"/>
    <col min="9469" max="9469" width="42.5703125" style="4" bestFit="1" customWidth="1"/>
    <col min="9470" max="9470" width="3.28515625" style="4" customWidth="1"/>
    <col min="9471" max="9471" width="8" style="4" customWidth="1"/>
    <col min="9472" max="9472" width="42.5703125" style="4" bestFit="1" customWidth="1"/>
    <col min="9473" max="9473" width="3.28515625" style="4" customWidth="1"/>
    <col min="9474" max="9474" width="8" style="4" customWidth="1"/>
    <col min="9475" max="9475" width="42.5703125" style="4" bestFit="1" customWidth="1"/>
    <col min="9476" max="9476" width="3.28515625" style="4" customWidth="1"/>
    <col min="9477" max="9477" width="8" style="4" customWidth="1"/>
    <col min="9478" max="9478" width="42.5703125" style="4" bestFit="1" customWidth="1"/>
    <col min="9479" max="9479" width="3.28515625" style="4" customWidth="1"/>
    <col min="9480" max="9480" width="8" style="4" customWidth="1"/>
    <col min="9481" max="9481" width="42.5703125" style="4" bestFit="1" customWidth="1"/>
    <col min="9482" max="9482" width="3.28515625" style="4" customWidth="1"/>
    <col min="9483" max="9483" width="8" style="4" customWidth="1"/>
    <col min="9484" max="9484" width="42.5703125" style="4" bestFit="1" customWidth="1"/>
    <col min="9485" max="9485" width="3.28515625" style="4" customWidth="1"/>
    <col min="9486" max="9486" width="8" style="4" customWidth="1"/>
    <col min="9487" max="9487" width="42.5703125" style="4" bestFit="1" customWidth="1"/>
    <col min="9488" max="9488" width="3.28515625" style="4" customWidth="1"/>
    <col min="9489" max="9489" width="8" style="4" customWidth="1"/>
    <col min="9490" max="9490" width="42.5703125" style="4" bestFit="1" customWidth="1"/>
    <col min="9491" max="9491" width="3.28515625" style="4" customWidth="1"/>
    <col min="9492" max="9492" width="8" style="4" customWidth="1"/>
    <col min="9493" max="9493" width="42.5703125" style="4" bestFit="1" customWidth="1"/>
    <col min="9494" max="9494" width="3.28515625" style="4" customWidth="1"/>
    <col min="9495" max="9495" width="8" style="4" customWidth="1"/>
    <col min="9496" max="9496" width="42.5703125" style="4" bestFit="1" customWidth="1"/>
    <col min="9497" max="9497" width="3.28515625" style="4" customWidth="1"/>
    <col min="9498" max="9498" width="8" style="4" customWidth="1"/>
    <col min="9499" max="9499" width="42.5703125" style="4" bestFit="1" customWidth="1"/>
    <col min="9500" max="9500" width="3.28515625" style="4" customWidth="1"/>
    <col min="9501" max="9501" width="8" style="4" customWidth="1"/>
    <col min="9502" max="9502" width="42.5703125" style="4" bestFit="1" customWidth="1"/>
    <col min="9503" max="9503" width="3.28515625" style="4" customWidth="1"/>
    <col min="9504" max="9504" width="8" style="4" customWidth="1"/>
    <col min="9505" max="9505" width="42.5703125" style="4" bestFit="1" customWidth="1"/>
    <col min="9506" max="9506" width="3.28515625" style="4" customWidth="1"/>
    <col min="9507" max="9507" width="8" style="4" customWidth="1"/>
    <col min="9508" max="9508" width="42.5703125" style="4" bestFit="1" customWidth="1"/>
    <col min="9509" max="9509" width="3.28515625" style="4" customWidth="1"/>
    <col min="9510" max="9510" width="8" style="4" customWidth="1"/>
    <col min="9511" max="9511" width="42.5703125" style="4" bestFit="1" customWidth="1"/>
    <col min="9512" max="9512" width="3.28515625" style="4" customWidth="1"/>
    <col min="9513" max="9513" width="8" style="4" customWidth="1"/>
    <col min="9514" max="9514" width="42.5703125" style="4" bestFit="1" customWidth="1"/>
    <col min="9515" max="9515" width="3.28515625" style="4" customWidth="1"/>
    <col min="9516" max="9516" width="8" style="4" customWidth="1"/>
    <col min="9517" max="9517" width="42.5703125" style="4" bestFit="1" customWidth="1"/>
    <col min="9518" max="9518" width="3.28515625" style="4" customWidth="1"/>
    <col min="9519" max="9519" width="8" style="4" customWidth="1"/>
    <col min="9520" max="9520" width="42.5703125" style="4" bestFit="1" customWidth="1"/>
    <col min="9521" max="9521" width="3.28515625" style="4" customWidth="1"/>
    <col min="9522" max="9522" width="8" style="4" customWidth="1"/>
    <col min="9523" max="9523" width="42.5703125" style="4" bestFit="1" customWidth="1"/>
    <col min="9524" max="9524" width="3.28515625" style="4" customWidth="1"/>
    <col min="9525" max="9525" width="8" style="4" customWidth="1"/>
    <col min="9526" max="9526" width="42.5703125" style="4" bestFit="1" customWidth="1"/>
    <col min="9527" max="9527" width="3.28515625" style="4" customWidth="1"/>
    <col min="9528" max="9528" width="8" style="4" customWidth="1"/>
    <col min="9529" max="9529" width="42.5703125" style="4" bestFit="1" customWidth="1"/>
    <col min="9530" max="9530" width="3.28515625" style="4" customWidth="1"/>
    <col min="9531" max="9531" width="8" style="4" customWidth="1"/>
    <col min="9532" max="9532" width="42.5703125" style="4" bestFit="1" customWidth="1"/>
    <col min="9533" max="9533" width="3.28515625" style="4" customWidth="1"/>
    <col min="9534" max="9534" width="8" style="4" customWidth="1"/>
    <col min="9535" max="9535" width="42.5703125" style="4" bestFit="1" customWidth="1"/>
    <col min="9536" max="9536" width="3.28515625" style="4" customWidth="1"/>
    <col min="9537" max="9537" width="8" style="4" customWidth="1"/>
    <col min="9538" max="9538" width="42.5703125" style="4" bestFit="1" customWidth="1"/>
    <col min="9539" max="9539" width="3.28515625" style="4" customWidth="1"/>
    <col min="9540" max="9540" width="8" style="4" customWidth="1"/>
    <col min="9541" max="9541" width="42.5703125" style="4" bestFit="1" customWidth="1"/>
    <col min="9542" max="9542" width="3.28515625" style="4" customWidth="1"/>
    <col min="9543" max="9543" width="8" style="4" customWidth="1"/>
    <col min="9544" max="9544" width="42.5703125" style="4" bestFit="1" customWidth="1"/>
    <col min="9545" max="9545" width="3.28515625" style="4" customWidth="1"/>
    <col min="9546" max="9546" width="8" style="4" customWidth="1"/>
    <col min="9547" max="9547" width="42.5703125" style="4" bestFit="1" customWidth="1"/>
    <col min="9548" max="9548" width="3.28515625" style="4" customWidth="1"/>
    <col min="9549" max="9549" width="8" style="4" customWidth="1"/>
    <col min="9550" max="9550" width="42.5703125" style="4" bestFit="1" customWidth="1"/>
    <col min="9551" max="9551" width="3.28515625" style="4" customWidth="1"/>
    <col min="9552" max="9552" width="8" style="4" customWidth="1"/>
    <col min="9553" max="9553" width="42.5703125" style="4" bestFit="1" customWidth="1"/>
    <col min="9554" max="9554" width="3.28515625" style="4" customWidth="1"/>
    <col min="9555" max="9555" width="8" style="4" customWidth="1"/>
    <col min="9556" max="9556" width="42.5703125" style="4" bestFit="1" customWidth="1"/>
    <col min="9557" max="9557" width="3.28515625" style="4" customWidth="1"/>
    <col min="9558" max="9558" width="8" style="4" customWidth="1"/>
    <col min="9559" max="9559" width="42.5703125" style="4" bestFit="1" customWidth="1"/>
    <col min="9560" max="9560" width="3.28515625" style="4" customWidth="1"/>
    <col min="9561" max="9561" width="8" style="4" customWidth="1"/>
    <col min="9562" max="9562" width="42.5703125" style="4" bestFit="1" customWidth="1"/>
    <col min="9563" max="9563" width="3.28515625" style="4" customWidth="1"/>
    <col min="9564" max="9564" width="8" style="4" customWidth="1"/>
    <col min="9565" max="9565" width="42.5703125" style="4" bestFit="1" customWidth="1"/>
    <col min="9566" max="9566" width="3.28515625" style="4" customWidth="1"/>
    <col min="9567" max="9567" width="8" style="4" customWidth="1"/>
    <col min="9568" max="9568" width="42.5703125" style="4" bestFit="1" customWidth="1"/>
    <col min="9569" max="9569" width="3.28515625" style="4" customWidth="1"/>
    <col min="9570" max="9570" width="8" style="4" customWidth="1"/>
    <col min="9571" max="9571" width="42.5703125" style="4" bestFit="1" customWidth="1"/>
    <col min="9572" max="9572" width="3.28515625" style="4" customWidth="1"/>
    <col min="9573" max="9573" width="8" style="4" customWidth="1"/>
    <col min="9574" max="9574" width="42.5703125" style="4" bestFit="1" customWidth="1"/>
    <col min="9575" max="9575" width="3.28515625" style="4" customWidth="1"/>
    <col min="9576" max="9576" width="8" style="4" customWidth="1"/>
    <col min="9577" max="9577" width="42.5703125" style="4" bestFit="1" customWidth="1"/>
    <col min="9578" max="9578" width="3.28515625" style="4" customWidth="1"/>
    <col min="9579" max="9579" width="8" style="4" customWidth="1"/>
    <col min="9580" max="9580" width="42.5703125" style="4" bestFit="1" customWidth="1"/>
    <col min="9581" max="9581" width="3.28515625" style="4" customWidth="1"/>
    <col min="9582" max="9582" width="8" style="4" customWidth="1"/>
    <col min="9583" max="9583" width="42.5703125" style="4" bestFit="1" customWidth="1"/>
    <col min="9584" max="9584" width="3.28515625" style="4" customWidth="1"/>
    <col min="9585" max="9585" width="8" style="4" customWidth="1"/>
    <col min="9586" max="9586" width="42.5703125" style="4" bestFit="1" customWidth="1"/>
    <col min="9587" max="9587" width="3.28515625" style="4" customWidth="1"/>
    <col min="9588" max="9588" width="8" style="4" customWidth="1"/>
    <col min="9589" max="9589" width="42.5703125" style="4" bestFit="1" customWidth="1"/>
    <col min="9590" max="9590" width="3.28515625" style="4" customWidth="1"/>
    <col min="9591" max="9591" width="8" style="4" customWidth="1"/>
    <col min="9592" max="9592" width="42.5703125" style="4" bestFit="1" customWidth="1"/>
    <col min="9593" max="9593" width="3.28515625" style="4" customWidth="1"/>
    <col min="9594" max="9594" width="8" style="4" customWidth="1"/>
    <col min="9595" max="9595" width="42.5703125" style="4" bestFit="1" customWidth="1"/>
    <col min="9596" max="9596" width="3.28515625" style="4" customWidth="1"/>
    <col min="9597" max="9597" width="8" style="4" customWidth="1"/>
    <col min="9598" max="9598" width="42.5703125" style="4" bestFit="1" customWidth="1"/>
    <col min="9599" max="9599" width="3.28515625" style="4" customWidth="1"/>
    <col min="9600" max="9600" width="8" style="4" customWidth="1"/>
    <col min="9601" max="9601" width="42.5703125" style="4" bestFit="1" customWidth="1"/>
    <col min="9602" max="9602" width="3.28515625" style="4" customWidth="1"/>
    <col min="9603" max="9603" width="8" style="4" customWidth="1"/>
    <col min="9604" max="9604" width="42.5703125" style="4" bestFit="1" customWidth="1"/>
    <col min="9605" max="9605" width="3.28515625" style="4" customWidth="1"/>
    <col min="9606" max="9606" width="8" style="4" customWidth="1"/>
    <col min="9607" max="9607" width="42.5703125" style="4" bestFit="1" customWidth="1"/>
    <col min="9608" max="9608" width="3.28515625" style="4" customWidth="1"/>
    <col min="9609" max="9609" width="8" style="4" customWidth="1"/>
    <col min="9610" max="9610" width="42.5703125" style="4" bestFit="1" customWidth="1"/>
    <col min="9611" max="9611" width="3.28515625" style="4" customWidth="1"/>
    <col min="9612" max="9612" width="8" style="4" customWidth="1"/>
    <col min="9613" max="9613" width="42.5703125" style="4" bestFit="1" customWidth="1"/>
    <col min="9614" max="9614" width="3.28515625" style="4" customWidth="1"/>
    <col min="9615" max="9615" width="8" style="4" customWidth="1"/>
    <col min="9616" max="9616" width="42.5703125" style="4" bestFit="1" customWidth="1"/>
    <col min="9617" max="9617" width="3.28515625" style="4" customWidth="1"/>
    <col min="9618" max="9618" width="8" style="4" customWidth="1"/>
    <col min="9619" max="9619" width="42.5703125" style="4" bestFit="1" customWidth="1"/>
    <col min="9620" max="9620" width="3.28515625" style="4" customWidth="1"/>
    <col min="9621" max="9621" width="8" style="4" customWidth="1"/>
    <col min="9622" max="9622" width="42.5703125" style="4" bestFit="1" customWidth="1"/>
    <col min="9623" max="9623" width="3.28515625" style="4" customWidth="1"/>
    <col min="9624" max="9624" width="8" style="4" customWidth="1"/>
    <col min="9625" max="9625" width="42.5703125" style="4" bestFit="1" customWidth="1"/>
    <col min="9626" max="9626" width="3.28515625" style="4" customWidth="1"/>
    <col min="9627" max="9627" width="8" style="4" customWidth="1"/>
    <col min="9628" max="9628" width="42.5703125" style="4" bestFit="1" customWidth="1"/>
    <col min="9629" max="9629" width="3.28515625" style="4" customWidth="1"/>
    <col min="9630" max="9630" width="8" style="4" customWidth="1"/>
    <col min="9631" max="9631" width="42.5703125" style="4" bestFit="1" customWidth="1"/>
    <col min="9632" max="9632" width="3.28515625" style="4" customWidth="1"/>
    <col min="9633" max="9633" width="8" style="4" customWidth="1"/>
    <col min="9634" max="9634" width="42.5703125" style="4" bestFit="1" customWidth="1"/>
    <col min="9635" max="9635" width="3.28515625" style="4" customWidth="1"/>
    <col min="9636" max="9636" width="8" style="4" customWidth="1"/>
    <col min="9637" max="9637" width="42.5703125" style="4" bestFit="1" customWidth="1"/>
    <col min="9638" max="9638" width="3.28515625" style="4" customWidth="1"/>
    <col min="9639" max="9639" width="8" style="4" customWidth="1"/>
    <col min="9640" max="9640" width="42.5703125" style="4" bestFit="1" customWidth="1"/>
    <col min="9641" max="9641" width="3.28515625" style="4" customWidth="1"/>
    <col min="9642" max="9642" width="8" style="4" customWidth="1"/>
    <col min="9643" max="9643" width="42.5703125" style="4" bestFit="1" customWidth="1"/>
    <col min="9644" max="9644" width="3.28515625" style="4" customWidth="1"/>
    <col min="9645" max="9645" width="8" style="4" customWidth="1"/>
    <col min="9646" max="9646" width="42.5703125" style="4" bestFit="1" customWidth="1"/>
    <col min="9647" max="9647" width="3.28515625" style="4" customWidth="1"/>
    <col min="9648" max="9648" width="8" style="4" customWidth="1"/>
    <col min="9649" max="9649" width="42.5703125" style="4" bestFit="1" customWidth="1"/>
    <col min="9650" max="9650" width="3.28515625" style="4" customWidth="1"/>
    <col min="9651" max="9651" width="8" style="4" customWidth="1"/>
    <col min="9652" max="9652" width="42.5703125" style="4" bestFit="1" customWidth="1"/>
    <col min="9653" max="9653" width="3.28515625" style="4" customWidth="1"/>
    <col min="9654" max="9654" width="8" style="4" customWidth="1"/>
    <col min="9655" max="9655" width="42.5703125" style="4" bestFit="1" customWidth="1"/>
    <col min="9656" max="9656" width="3.28515625" style="4" customWidth="1"/>
    <col min="9657" max="9657" width="8" style="4" customWidth="1"/>
    <col min="9658" max="9658" width="42.5703125" style="4" bestFit="1" customWidth="1"/>
    <col min="9659" max="9659" width="3.28515625" style="4" customWidth="1"/>
    <col min="9660" max="9660" width="8" style="4" customWidth="1"/>
    <col min="9661" max="9661" width="42.5703125" style="4" bestFit="1" customWidth="1"/>
    <col min="9662" max="9662" width="3.28515625" style="4" customWidth="1"/>
    <col min="9663" max="9663" width="8" style="4" customWidth="1"/>
    <col min="9664" max="9664" width="42.5703125" style="4" bestFit="1" customWidth="1"/>
    <col min="9665" max="9665" width="3.28515625" style="4" customWidth="1"/>
    <col min="9666" max="9666" width="8" style="4" customWidth="1"/>
    <col min="9667" max="9667" width="42.5703125" style="4" bestFit="1" customWidth="1"/>
    <col min="9668" max="9668" width="3.28515625" style="4" customWidth="1"/>
    <col min="9669" max="9669" width="8" style="4" customWidth="1"/>
    <col min="9670" max="9670" width="42.5703125" style="4" bestFit="1" customWidth="1"/>
    <col min="9671" max="9671" width="3.28515625" style="4" customWidth="1"/>
    <col min="9672" max="9672" width="8" style="4" customWidth="1"/>
    <col min="9673" max="9673" width="42.5703125" style="4" bestFit="1" customWidth="1"/>
    <col min="9674" max="9674" width="3.28515625" style="4" customWidth="1"/>
    <col min="9675" max="9675" width="8" style="4" customWidth="1"/>
    <col min="9676" max="9676" width="42.5703125" style="4" bestFit="1" customWidth="1"/>
    <col min="9677" max="9677" width="3.28515625" style="4" customWidth="1"/>
    <col min="9678" max="9678" width="8" style="4" customWidth="1"/>
    <col min="9679" max="9679" width="42.5703125" style="4" bestFit="1" customWidth="1"/>
    <col min="9680" max="9680" width="3.28515625" style="4" customWidth="1"/>
    <col min="9681" max="9681" width="8" style="4" customWidth="1"/>
    <col min="9682" max="9682" width="42.5703125" style="4" bestFit="1" customWidth="1"/>
    <col min="9683" max="9683" width="3.28515625" style="4" customWidth="1"/>
    <col min="9684" max="9684" width="8" style="4" customWidth="1"/>
    <col min="9685" max="9685" width="42.5703125" style="4" bestFit="1" customWidth="1"/>
    <col min="9686" max="9686" width="3.28515625" style="4" customWidth="1"/>
    <col min="9687" max="9687" width="8" style="4" customWidth="1"/>
    <col min="9688" max="9688" width="42.5703125" style="4" bestFit="1" customWidth="1"/>
    <col min="9689" max="9689" width="3.28515625" style="4" customWidth="1"/>
    <col min="9690" max="9690" width="8" style="4" customWidth="1"/>
    <col min="9691" max="9691" width="42.5703125" style="4" bestFit="1" customWidth="1"/>
    <col min="9692" max="9692" width="3.28515625" style="4" customWidth="1"/>
    <col min="9693" max="9693" width="8" style="4" customWidth="1"/>
    <col min="9694" max="9694" width="42.5703125" style="4" bestFit="1" customWidth="1"/>
    <col min="9695" max="9695" width="3.28515625" style="4" customWidth="1"/>
    <col min="9696" max="9696" width="8" style="4" customWidth="1"/>
    <col min="9697" max="9697" width="42.5703125" style="4" bestFit="1" customWidth="1"/>
    <col min="9698" max="9698" width="3.28515625" style="4" customWidth="1"/>
    <col min="9699" max="9699" width="8" style="4" customWidth="1"/>
    <col min="9700" max="9700" width="42.5703125" style="4" bestFit="1" customWidth="1"/>
    <col min="9701" max="9701" width="3.28515625" style="4" customWidth="1"/>
    <col min="9702" max="9702" width="8" style="4" customWidth="1"/>
    <col min="9703" max="9703" width="42.5703125" style="4" bestFit="1" customWidth="1"/>
    <col min="9704" max="9704" width="3.28515625" style="4" customWidth="1"/>
    <col min="9705" max="9705" width="8" style="4" customWidth="1"/>
    <col min="9706" max="9706" width="42.5703125" style="4" bestFit="1" customWidth="1"/>
    <col min="9707" max="9707" width="3.28515625" style="4" customWidth="1"/>
    <col min="9708" max="9708" width="8" style="4" customWidth="1"/>
    <col min="9709" max="9709" width="42.5703125" style="4" bestFit="1" customWidth="1"/>
    <col min="9710" max="9710" width="3.28515625" style="4" customWidth="1"/>
    <col min="9711" max="9711" width="8" style="4" customWidth="1"/>
    <col min="9712" max="9712" width="42.5703125" style="4" bestFit="1" customWidth="1"/>
    <col min="9713" max="9713" width="3.28515625" style="4" customWidth="1"/>
    <col min="9714" max="9714" width="8" style="4" customWidth="1"/>
    <col min="9715" max="9715" width="42.5703125" style="4" bestFit="1" customWidth="1"/>
    <col min="9716" max="9716" width="3.28515625" style="4" customWidth="1"/>
    <col min="9717" max="9717" width="8" style="4" customWidth="1"/>
    <col min="9718" max="9718" width="42.5703125" style="4" bestFit="1" customWidth="1"/>
    <col min="9719" max="9719" width="3.28515625" style="4" customWidth="1"/>
    <col min="9720" max="9720" width="8" style="4" customWidth="1"/>
    <col min="9721" max="9721" width="42.5703125" style="4" bestFit="1" customWidth="1"/>
    <col min="9722" max="9722" width="3.28515625" style="4" customWidth="1"/>
    <col min="9723" max="9723" width="8" style="4" customWidth="1"/>
    <col min="9724" max="9724" width="42.5703125" style="4" bestFit="1" customWidth="1"/>
    <col min="9725" max="9725" width="3.28515625" style="4" customWidth="1"/>
    <col min="9726" max="9726" width="8" style="4" customWidth="1"/>
    <col min="9727" max="9727" width="42.5703125" style="4" bestFit="1" customWidth="1"/>
    <col min="9728" max="9728" width="3.28515625" style="4" customWidth="1"/>
    <col min="9729" max="9729" width="8" style="4" customWidth="1"/>
    <col min="9730" max="9730" width="42.5703125" style="4" bestFit="1" customWidth="1"/>
    <col min="9731" max="9731" width="3.28515625" style="4" customWidth="1"/>
    <col min="9732" max="9732" width="8" style="4" customWidth="1"/>
    <col min="9733" max="9733" width="42.5703125" style="4" bestFit="1" customWidth="1"/>
    <col min="9734" max="9734" width="3.28515625" style="4" customWidth="1"/>
    <col min="9735" max="9735" width="8" style="4" customWidth="1"/>
    <col min="9736" max="9736" width="42.5703125" style="4" bestFit="1" customWidth="1"/>
    <col min="9737" max="9737" width="3.28515625" style="4" customWidth="1"/>
    <col min="9738" max="9738" width="8" style="4" customWidth="1"/>
    <col min="9739" max="9739" width="42.5703125" style="4" bestFit="1" customWidth="1"/>
    <col min="9740" max="9740" width="3.28515625" style="4" customWidth="1"/>
    <col min="9741" max="9741" width="8" style="4" customWidth="1"/>
    <col min="9742" max="9742" width="42.5703125" style="4" bestFit="1" customWidth="1"/>
    <col min="9743" max="9743" width="3.28515625" style="4" customWidth="1"/>
    <col min="9744" max="9744" width="8" style="4" customWidth="1"/>
    <col min="9745" max="9745" width="42.5703125" style="4" bestFit="1" customWidth="1"/>
    <col min="9746" max="9746" width="3.28515625" style="4" customWidth="1"/>
    <col min="9747" max="9747" width="8" style="4" customWidth="1"/>
    <col min="9748" max="9748" width="42.5703125" style="4" bestFit="1" customWidth="1"/>
    <col min="9749" max="9749" width="3.28515625" style="4" customWidth="1"/>
    <col min="9750" max="9750" width="8" style="4" customWidth="1"/>
    <col min="9751" max="9751" width="42.5703125" style="4" bestFit="1" customWidth="1"/>
    <col min="9752" max="9752" width="3.28515625" style="4" customWidth="1"/>
    <col min="9753" max="9753" width="8" style="4" customWidth="1"/>
    <col min="9754" max="9754" width="42.5703125" style="4" bestFit="1" customWidth="1"/>
    <col min="9755" max="9755" width="3.28515625" style="4" customWidth="1"/>
    <col min="9756" max="9756" width="8" style="4" customWidth="1"/>
    <col min="9757" max="9757" width="42.5703125" style="4" bestFit="1" customWidth="1"/>
    <col min="9758" max="9758" width="3.28515625" style="4" customWidth="1"/>
    <col min="9759" max="9759" width="8" style="4" customWidth="1"/>
    <col min="9760" max="9760" width="42.5703125" style="4" bestFit="1" customWidth="1"/>
    <col min="9761" max="9761" width="3.28515625" style="4" customWidth="1"/>
    <col min="9762" max="9762" width="8" style="4" customWidth="1"/>
    <col min="9763" max="9763" width="42.5703125" style="4" bestFit="1" customWidth="1"/>
    <col min="9764" max="9764" width="3.28515625" style="4" customWidth="1"/>
    <col min="9765" max="9765" width="8" style="4" customWidth="1"/>
    <col min="9766" max="9766" width="42.5703125" style="4" bestFit="1" customWidth="1"/>
    <col min="9767" max="9767" width="3.28515625" style="4" customWidth="1"/>
    <col min="9768" max="9768" width="8" style="4" customWidth="1"/>
    <col min="9769" max="9769" width="42.5703125" style="4" bestFit="1" customWidth="1"/>
    <col min="9770" max="9770" width="3.28515625" style="4" customWidth="1"/>
    <col min="9771" max="9771" width="8" style="4" customWidth="1"/>
    <col min="9772" max="9772" width="42.5703125" style="4" bestFit="1" customWidth="1"/>
    <col min="9773" max="9773" width="3.28515625" style="4" customWidth="1"/>
    <col min="9774" max="9774" width="8" style="4" customWidth="1"/>
    <col min="9775" max="9775" width="42.5703125" style="4" bestFit="1" customWidth="1"/>
    <col min="9776" max="9776" width="3.28515625" style="4" customWidth="1"/>
    <col min="9777" max="9777" width="8" style="4" customWidth="1"/>
    <col min="9778" max="9778" width="42.5703125" style="4" bestFit="1" customWidth="1"/>
    <col min="9779" max="9779" width="3.28515625" style="4" customWidth="1"/>
    <col min="9780" max="9780" width="8" style="4" customWidth="1"/>
    <col min="9781" max="9781" width="42.5703125" style="4" bestFit="1" customWidth="1"/>
    <col min="9782" max="9782" width="3.28515625" style="4" customWidth="1"/>
    <col min="9783" max="9783" width="8" style="4" customWidth="1"/>
    <col min="9784" max="9784" width="42.5703125" style="4" bestFit="1" customWidth="1"/>
    <col min="9785" max="9785" width="3.28515625" style="4" customWidth="1"/>
    <col min="9786" max="9786" width="8" style="4" customWidth="1"/>
    <col min="9787" max="9787" width="42.5703125" style="4" bestFit="1" customWidth="1"/>
    <col min="9788" max="9788" width="3.28515625" style="4" customWidth="1"/>
    <col min="9789" max="9789" width="8" style="4" customWidth="1"/>
    <col min="9790" max="9790" width="42.5703125" style="4" bestFit="1" customWidth="1"/>
    <col min="9791" max="9791" width="3.28515625" style="4" customWidth="1"/>
    <col min="9792" max="9792" width="8" style="4" customWidth="1"/>
    <col min="9793" max="9793" width="42.5703125" style="4" bestFit="1" customWidth="1"/>
    <col min="9794" max="9794" width="3.28515625" style="4" customWidth="1"/>
    <col min="9795" max="9795" width="8" style="4" customWidth="1"/>
    <col min="9796" max="9796" width="42.5703125" style="4" bestFit="1" customWidth="1"/>
    <col min="9797" max="9797" width="3.28515625" style="4" customWidth="1"/>
    <col min="9798" max="9798" width="8" style="4" customWidth="1"/>
    <col min="9799" max="9799" width="42.5703125" style="4" bestFit="1" customWidth="1"/>
    <col min="9800" max="9800" width="3.28515625" style="4" customWidth="1"/>
    <col min="9801" max="9801" width="8" style="4" customWidth="1"/>
    <col min="9802" max="9802" width="42.5703125" style="4" bestFit="1" customWidth="1"/>
    <col min="9803" max="9803" width="3.28515625" style="4" customWidth="1"/>
    <col min="9804" max="9804" width="8" style="4" customWidth="1"/>
    <col min="9805" max="9805" width="42.5703125" style="4" bestFit="1" customWidth="1"/>
    <col min="9806" max="9806" width="3.28515625" style="4" customWidth="1"/>
    <col min="9807" max="9807" width="8" style="4" customWidth="1"/>
    <col min="9808" max="9808" width="42.5703125" style="4" bestFit="1" customWidth="1"/>
    <col min="9809" max="9809" width="3.28515625" style="4" customWidth="1"/>
    <col min="9810" max="9810" width="8" style="4" customWidth="1"/>
    <col min="9811" max="9811" width="42.5703125" style="4" bestFit="1" customWidth="1"/>
    <col min="9812" max="9812" width="3.28515625" style="4" customWidth="1"/>
    <col min="9813" max="9813" width="8" style="4" customWidth="1"/>
    <col min="9814" max="9814" width="42.5703125" style="4" bestFit="1" customWidth="1"/>
    <col min="9815" max="9815" width="3.28515625" style="4" customWidth="1"/>
    <col min="9816" max="9816" width="8" style="4" customWidth="1"/>
    <col min="9817" max="9817" width="42.5703125" style="4" bestFit="1" customWidth="1"/>
    <col min="9818" max="9818" width="3.28515625" style="4" customWidth="1"/>
    <col min="9819" max="9819" width="8" style="4" customWidth="1"/>
    <col min="9820" max="9820" width="42.5703125" style="4" bestFit="1" customWidth="1"/>
    <col min="9821" max="9821" width="3.28515625" style="4" customWidth="1"/>
    <col min="9822" max="9822" width="8" style="4" customWidth="1"/>
    <col min="9823" max="9823" width="42.5703125" style="4" bestFit="1" customWidth="1"/>
    <col min="9824" max="9824" width="3.28515625" style="4" customWidth="1"/>
    <col min="9825" max="9825" width="8" style="4" customWidth="1"/>
    <col min="9826" max="9826" width="42.5703125" style="4" bestFit="1" customWidth="1"/>
    <col min="9827" max="9827" width="3.28515625" style="4" customWidth="1"/>
    <col min="9828" max="9828" width="8" style="4" customWidth="1"/>
    <col min="9829" max="9829" width="42.5703125" style="4" bestFit="1" customWidth="1"/>
    <col min="9830" max="9830" width="3.28515625" style="4" customWidth="1"/>
    <col min="9831" max="9831" width="8" style="4" customWidth="1"/>
    <col min="9832" max="9832" width="42.5703125" style="4" bestFit="1" customWidth="1"/>
    <col min="9833" max="9833" width="3.28515625" style="4" customWidth="1"/>
    <col min="9834" max="9834" width="8" style="4" customWidth="1"/>
    <col min="9835" max="9835" width="42.5703125" style="4" bestFit="1" customWidth="1"/>
    <col min="9836" max="9836" width="3.28515625" style="4" customWidth="1"/>
    <col min="9837" max="9837" width="8" style="4" customWidth="1"/>
    <col min="9838" max="9838" width="42.5703125" style="4" bestFit="1" customWidth="1"/>
    <col min="9839" max="9839" width="3.28515625" style="4" customWidth="1"/>
    <col min="9840" max="9840" width="8" style="4" customWidth="1"/>
    <col min="9841" max="9841" width="42.5703125" style="4" bestFit="1" customWidth="1"/>
    <col min="9842" max="9842" width="3.28515625" style="4" customWidth="1"/>
    <col min="9843" max="9843" width="8" style="4" customWidth="1"/>
    <col min="9844" max="9844" width="42.5703125" style="4" bestFit="1" customWidth="1"/>
    <col min="9845" max="9845" width="3.28515625" style="4" customWidth="1"/>
    <col min="9846" max="9846" width="8" style="4" customWidth="1"/>
    <col min="9847" max="9847" width="42.5703125" style="4" bestFit="1" customWidth="1"/>
    <col min="9848" max="9848" width="3.28515625" style="4" customWidth="1"/>
    <col min="9849" max="9849" width="8" style="4" customWidth="1"/>
    <col min="9850" max="9850" width="42.5703125" style="4" bestFit="1" customWidth="1"/>
    <col min="9851" max="9851" width="3.28515625" style="4" customWidth="1"/>
    <col min="9852" max="9852" width="8" style="4" customWidth="1"/>
    <col min="9853" max="9853" width="42.5703125" style="4" bestFit="1" customWidth="1"/>
    <col min="9854" max="9854" width="3.28515625" style="4" customWidth="1"/>
    <col min="9855" max="9855" width="8" style="4" customWidth="1"/>
    <col min="9856" max="9856" width="42.5703125" style="4" bestFit="1" customWidth="1"/>
    <col min="9857" max="9857" width="3.28515625" style="4" customWidth="1"/>
    <col min="9858" max="9858" width="8" style="4" customWidth="1"/>
    <col min="9859" max="9859" width="42.5703125" style="4" bestFit="1" customWidth="1"/>
    <col min="9860" max="9860" width="3.28515625" style="4" customWidth="1"/>
    <col min="9861" max="9861" width="8" style="4" customWidth="1"/>
    <col min="9862" max="9862" width="42.5703125" style="4" bestFit="1" customWidth="1"/>
    <col min="9863" max="9863" width="3.28515625" style="4" customWidth="1"/>
    <col min="9864" max="9864" width="8" style="4" customWidth="1"/>
    <col min="9865" max="9865" width="42.5703125" style="4" bestFit="1" customWidth="1"/>
    <col min="9866" max="9866" width="3.28515625" style="4" customWidth="1"/>
    <col min="9867" max="9867" width="8" style="4" customWidth="1"/>
    <col min="9868" max="9868" width="42.5703125" style="4" bestFit="1" customWidth="1"/>
    <col min="9869" max="9869" width="3.28515625" style="4" customWidth="1"/>
    <col min="9870" max="9870" width="8" style="4" customWidth="1"/>
    <col min="9871" max="9871" width="42.5703125" style="4" bestFit="1" customWidth="1"/>
    <col min="9872" max="9872" width="3.28515625" style="4" customWidth="1"/>
    <col min="9873" max="9873" width="8" style="4" customWidth="1"/>
    <col min="9874" max="9874" width="42.5703125" style="4" bestFit="1" customWidth="1"/>
    <col min="9875" max="9875" width="3.28515625" style="4" customWidth="1"/>
    <col min="9876" max="9876" width="8" style="4" customWidth="1"/>
    <col min="9877" max="9877" width="42.5703125" style="4" bestFit="1" customWidth="1"/>
    <col min="9878" max="9878" width="3.28515625" style="4" customWidth="1"/>
    <col min="9879" max="9879" width="8" style="4" customWidth="1"/>
    <col min="9880" max="9880" width="42.5703125" style="4" bestFit="1" customWidth="1"/>
    <col min="9881" max="9881" width="3.28515625" style="4" customWidth="1"/>
    <col min="9882" max="9882" width="8" style="4" customWidth="1"/>
    <col min="9883" max="9883" width="42.5703125" style="4" bestFit="1" customWidth="1"/>
    <col min="9884" max="9884" width="3.28515625" style="4" customWidth="1"/>
    <col min="9885" max="9885" width="8" style="4" customWidth="1"/>
    <col min="9886" max="9886" width="42.5703125" style="4" bestFit="1" customWidth="1"/>
    <col min="9887" max="9887" width="3.28515625" style="4" customWidth="1"/>
    <col min="9888" max="9888" width="8" style="4" customWidth="1"/>
    <col min="9889" max="9889" width="42.5703125" style="4" bestFit="1" customWidth="1"/>
    <col min="9890" max="9890" width="3.28515625" style="4" customWidth="1"/>
    <col min="9891" max="9891" width="8" style="4" customWidth="1"/>
    <col min="9892" max="9892" width="42.5703125" style="4" bestFit="1" customWidth="1"/>
    <col min="9893" max="9893" width="3.28515625" style="4" customWidth="1"/>
    <col min="9894" max="9894" width="8" style="4" customWidth="1"/>
    <col min="9895" max="9895" width="42.5703125" style="4" bestFit="1" customWidth="1"/>
    <col min="9896" max="9896" width="3.28515625" style="4" customWidth="1"/>
    <col min="9897" max="9897" width="8" style="4" customWidth="1"/>
    <col min="9898" max="9898" width="42.5703125" style="4" bestFit="1" customWidth="1"/>
    <col min="9899" max="9899" width="3.28515625" style="4" customWidth="1"/>
    <col min="9900" max="9900" width="8" style="4" customWidth="1"/>
    <col min="9901" max="9901" width="42.5703125" style="4" bestFit="1" customWidth="1"/>
    <col min="9902" max="9902" width="3.28515625" style="4" customWidth="1"/>
    <col min="9903" max="9903" width="8" style="4" customWidth="1"/>
    <col min="9904" max="9904" width="42.5703125" style="4" bestFit="1" customWidth="1"/>
    <col min="9905" max="9905" width="3.28515625" style="4" customWidth="1"/>
    <col min="9906" max="9906" width="8" style="4" customWidth="1"/>
    <col min="9907" max="9907" width="42.5703125" style="4" bestFit="1" customWidth="1"/>
    <col min="9908" max="9908" width="3.28515625" style="4" customWidth="1"/>
    <col min="9909" max="9909" width="8" style="4" customWidth="1"/>
    <col min="9910" max="9910" width="42.5703125" style="4" bestFit="1" customWidth="1"/>
    <col min="9911" max="9911" width="3.28515625" style="4" customWidth="1"/>
    <col min="9912" max="9912" width="8" style="4" customWidth="1"/>
    <col min="9913" max="9913" width="42.5703125" style="4" bestFit="1" customWidth="1"/>
    <col min="9914" max="9914" width="3.28515625" style="4" customWidth="1"/>
    <col min="9915" max="9915" width="8" style="4" customWidth="1"/>
    <col min="9916" max="9916" width="42.5703125" style="4" bestFit="1" customWidth="1"/>
    <col min="9917" max="9917" width="3.28515625" style="4" customWidth="1"/>
    <col min="9918" max="9918" width="8" style="4" customWidth="1"/>
    <col min="9919" max="9919" width="42.5703125" style="4" bestFit="1" customWidth="1"/>
    <col min="9920" max="9920" width="3.28515625" style="4" customWidth="1"/>
    <col min="9921" max="9921" width="8" style="4" customWidth="1"/>
    <col min="9922" max="9922" width="42.5703125" style="4" bestFit="1" customWidth="1"/>
    <col min="9923" max="9923" width="3.28515625" style="4" customWidth="1"/>
    <col min="9924" max="9924" width="8" style="4" customWidth="1"/>
    <col min="9925" max="9925" width="42.5703125" style="4" bestFit="1" customWidth="1"/>
    <col min="9926" max="9926" width="3.28515625" style="4" customWidth="1"/>
    <col min="9927" max="9927" width="8" style="4" customWidth="1"/>
    <col min="9928" max="9928" width="42.5703125" style="4" bestFit="1" customWidth="1"/>
    <col min="9929" max="9929" width="3.28515625" style="4" customWidth="1"/>
    <col min="9930" max="9930" width="8" style="4" customWidth="1"/>
    <col min="9931" max="9931" width="42.5703125" style="4" bestFit="1" customWidth="1"/>
    <col min="9932" max="9932" width="3.28515625" style="4" customWidth="1"/>
    <col min="9933" max="9933" width="8" style="4" customWidth="1"/>
    <col min="9934" max="9934" width="42.5703125" style="4" bestFit="1" customWidth="1"/>
    <col min="9935" max="9935" width="3.28515625" style="4" customWidth="1"/>
    <col min="9936" max="9936" width="8" style="4" customWidth="1"/>
    <col min="9937" max="9937" width="42.5703125" style="4" bestFit="1" customWidth="1"/>
    <col min="9938" max="9938" width="3.28515625" style="4" customWidth="1"/>
    <col min="9939" max="9939" width="8" style="4" customWidth="1"/>
    <col min="9940" max="9940" width="42.5703125" style="4" bestFit="1" customWidth="1"/>
    <col min="9941" max="9941" width="3.28515625" style="4" customWidth="1"/>
    <col min="9942" max="9942" width="8" style="4" customWidth="1"/>
    <col min="9943" max="9943" width="42.5703125" style="4" bestFit="1" customWidth="1"/>
    <col min="9944" max="9944" width="3.28515625" style="4" customWidth="1"/>
    <col min="9945" max="9945" width="8" style="4" customWidth="1"/>
    <col min="9946" max="9946" width="42.5703125" style="4" bestFit="1" customWidth="1"/>
    <col min="9947" max="9947" width="3.28515625" style="4" customWidth="1"/>
    <col min="9948" max="9948" width="8" style="4" customWidth="1"/>
    <col min="9949" max="9949" width="42.5703125" style="4" bestFit="1" customWidth="1"/>
    <col min="9950" max="9950" width="3.28515625" style="4" customWidth="1"/>
    <col min="9951" max="9951" width="8" style="4" customWidth="1"/>
    <col min="9952" max="9952" width="42.5703125" style="4" bestFit="1" customWidth="1"/>
    <col min="9953" max="9953" width="3.28515625" style="4" customWidth="1"/>
    <col min="9954" max="9954" width="8" style="4" customWidth="1"/>
    <col min="9955" max="9955" width="42.5703125" style="4" bestFit="1" customWidth="1"/>
    <col min="9956" max="9956" width="3.28515625" style="4" customWidth="1"/>
    <col min="9957" max="9957" width="8" style="4" customWidth="1"/>
    <col min="9958" max="9958" width="42.5703125" style="4" bestFit="1" customWidth="1"/>
    <col min="9959" max="9959" width="3.28515625" style="4" customWidth="1"/>
    <col min="9960" max="9960" width="8" style="4" customWidth="1"/>
    <col min="9961" max="9961" width="42.5703125" style="4" bestFit="1" customWidth="1"/>
    <col min="9962" max="9962" width="3.28515625" style="4" customWidth="1"/>
    <col min="9963" max="9963" width="8" style="4" customWidth="1"/>
    <col min="9964" max="9964" width="42.5703125" style="4" bestFit="1" customWidth="1"/>
    <col min="9965" max="9965" width="3.28515625" style="4" customWidth="1"/>
    <col min="9966" max="9966" width="8" style="4" customWidth="1"/>
    <col min="9967" max="9967" width="42.5703125" style="4" bestFit="1" customWidth="1"/>
    <col min="9968" max="9968" width="3.28515625" style="4" customWidth="1"/>
    <col min="9969" max="9969" width="8" style="4" customWidth="1"/>
    <col min="9970" max="9970" width="42.5703125" style="4" bestFit="1" customWidth="1"/>
    <col min="9971" max="9971" width="3.28515625" style="4" customWidth="1"/>
    <col min="9972" max="9972" width="8" style="4" customWidth="1"/>
    <col min="9973" max="9973" width="42.5703125" style="4" bestFit="1" customWidth="1"/>
    <col min="9974" max="9974" width="3.28515625" style="4" customWidth="1"/>
    <col min="9975" max="9975" width="8" style="4" customWidth="1"/>
    <col min="9976" max="9976" width="42.5703125" style="4" bestFit="1" customWidth="1"/>
    <col min="9977" max="9977" width="3.28515625" style="4" customWidth="1"/>
    <col min="9978" max="9978" width="8" style="4" customWidth="1"/>
    <col min="9979" max="9979" width="42.5703125" style="4" bestFit="1" customWidth="1"/>
    <col min="9980" max="9980" width="3.28515625" style="4" customWidth="1"/>
    <col min="9981" max="9981" width="8" style="4" customWidth="1"/>
    <col min="9982" max="9982" width="42.5703125" style="4" bestFit="1" customWidth="1"/>
    <col min="9983" max="9983" width="3.28515625" style="4" customWidth="1"/>
    <col min="9984" max="9984" width="8" style="4" customWidth="1"/>
    <col min="9985" max="9985" width="42.5703125" style="4" bestFit="1" customWidth="1"/>
    <col min="9986" max="9986" width="3.28515625" style="4" customWidth="1"/>
    <col min="9987" max="9987" width="8" style="4" customWidth="1"/>
    <col min="9988" max="9988" width="42.5703125" style="4" bestFit="1" customWidth="1"/>
    <col min="9989" max="9989" width="3.28515625" style="4" customWidth="1"/>
    <col min="9990" max="9990" width="8" style="4" customWidth="1"/>
    <col min="9991" max="9991" width="42.5703125" style="4" bestFit="1" customWidth="1"/>
    <col min="9992" max="9992" width="3.28515625" style="4" customWidth="1"/>
    <col min="9993" max="9993" width="8" style="4" customWidth="1"/>
    <col min="9994" max="9994" width="42.5703125" style="4" bestFit="1" customWidth="1"/>
    <col min="9995" max="9995" width="3.28515625" style="4" customWidth="1"/>
    <col min="9996" max="9996" width="8" style="4" customWidth="1"/>
    <col min="9997" max="9997" width="42.5703125" style="4" bestFit="1" customWidth="1"/>
    <col min="9998" max="9998" width="3.28515625" style="4" customWidth="1"/>
    <col min="9999" max="9999" width="8" style="4" customWidth="1"/>
    <col min="10000" max="10000" width="42.5703125" style="4" bestFit="1" customWidth="1"/>
    <col min="10001" max="10001" width="3.28515625" style="4" customWidth="1"/>
    <col min="10002" max="10002" width="8" style="4" customWidth="1"/>
    <col min="10003" max="10003" width="42.5703125" style="4" bestFit="1" customWidth="1"/>
    <col min="10004" max="10004" width="3.28515625" style="4" customWidth="1"/>
    <col min="10005" max="10005" width="8" style="4" customWidth="1"/>
    <col min="10006" max="10006" width="42.5703125" style="4" bestFit="1" customWidth="1"/>
    <col min="10007" max="10007" width="3.28515625" style="4" customWidth="1"/>
    <col min="10008" max="10008" width="8" style="4" customWidth="1"/>
    <col min="10009" max="10009" width="42.5703125" style="4" bestFit="1" customWidth="1"/>
    <col min="10010" max="10010" width="3.28515625" style="4" customWidth="1"/>
    <col min="10011" max="10011" width="8" style="4" customWidth="1"/>
    <col min="10012" max="10012" width="42.5703125" style="4" bestFit="1" customWidth="1"/>
    <col min="10013" max="10013" width="3.28515625" style="4" customWidth="1"/>
    <col min="10014" max="10014" width="8" style="4" customWidth="1"/>
    <col min="10015" max="10015" width="42.5703125" style="4" bestFit="1" customWidth="1"/>
    <col min="10016" max="10016" width="3.28515625" style="4" customWidth="1"/>
    <col min="10017" max="10017" width="8" style="4" customWidth="1"/>
    <col min="10018" max="10018" width="42.5703125" style="4" bestFit="1" customWidth="1"/>
    <col min="10019" max="10019" width="3.28515625" style="4" customWidth="1"/>
    <col min="10020" max="10020" width="8" style="4" customWidth="1"/>
    <col min="10021" max="10021" width="42.5703125" style="4" bestFit="1" customWidth="1"/>
    <col min="10022" max="10022" width="3.28515625" style="4" customWidth="1"/>
    <col min="10023" max="10023" width="8" style="4" customWidth="1"/>
    <col min="10024" max="10024" width="42.5703125" style="4" bestFit="1" customWidth="1"/>
    <col min="10025" max="10025" width="3.28515625" style="4" customWidth="1"/>
    <col min="10026" max="10026" width="8" style="4" customWidth="1"/>
    <col min="10027" max="10027" width="42.5703125" style="4" bestFit="1" customWidth="1"/>
    <col min="10028" max="10028" width="3.28515625" style="4" customWidth="1"/>
    <col min="10029" max="10029" width="8" style="4" customWidth="1"/>
    <col min="10030" max="10030" width="42.5703125" style="4" bestFit="1" customWidth="1"/>
    <col min="10031" max="10031" width="3.28515625" style="4" customWidth="1"/>
    <col min="10032" max="10032" width="8" style="4" customWidth="1"/>
    <col min="10033" max="10033" width="42.5703125" style="4" bestFit="1" customWidth="1"/>
    <col min="10034" max="10034" width="3.28515625" style="4" customWidth="1"/>
    <col min="10035" max="10035" width="8" style="4" customWidth="1"/>
    <col min="10036" max="10036" width="42.5703125" style="4" bestFit="1" customWidth="1"/>
    <col min="10037" max="10037" width="3.28515625" style="4" customWidth="1"/>
    <col min="10038" max="10038" width="8" style="4" customWidth="1"/>
    <col min="10039" max="10039" width="42.5703125" style="4" bestFit="1" customWidth="1"/>
    <col min="10040" max="10040" width="3.28515625" style="4" customWidth="1"/>
    <col min="10041" max="10041" width="8" style="4" customWidth="1"/>
    <col min="10042" max="10042" width="42.5703125" style="4" bestFit="1" customWidth="1"/>
    <col min="10043" max="10043" width="3.28515625" style="4" customWidth="1"/>
    <col min="10044" max="10044" width="8" style="4" customWidth="1"/>
    <col min="10045" max="10045" width="42.5703125" style="4" bestFit="1" customWidth="1"/>
    <col min="10046" max="10046" width="3.28515625" style="4" customWidth="1"/>
    <col min="10047" max="10047" width="8" style="4" customWidth="1"/>
    <col min="10048" max="10048" width="42.5703125" style="4" bestFit="1" customWidth="1"/>
    <col min="10049" max="10049" width="3.28515625" style="4" customWidth="1"/>
    <col min="10050" max="10050" width="8" style="4" customWidth="1"/>
    <col min="10051" max="10051" width="42.5703125" style="4" bestFit="1" customWidth="1"/>
    <col min="10052" max="10052" width="3.28515625" style="4" customWidth="1"/>
    <col min="10053" max="10053" width="8" style="4" customWidth="1"/>
    <col min="10054" max="10054" width="42.5703125" style="4" bestFit="1" customWidth="1"/>
    <col min="10055" max="10055" width="3.28515625" style="4" customWidth="1"/>
    <col min="10056" max="10056" width="8" style="4" customWidth="1"/>
    <col min="10057" max="10057" width="42.5703125" style="4" bestFit="1" customWidth="1"/>
    <col min="10058" max="10058" width="3.28515625" style="4" customWidth="1"/>
    <col min="10059" max="10059" width="8" style="4" customWidth="1"/>
    <col min="10060" max="10060" width="42.5703125" style="4" bestFit="1" customWidth="1"/>
    <col min="10061" max="10061" width="3.28515625" style="4" customWidth="1"/>
    <col min="10062" max="10062" width="8" style="4" customWidth="1"/>
    <col min="10063" max="10063" width="42.5703125" style="4" bestFit="1" customWidth="1"/>
    <col min="10064" max="10064" width="3.28515625" style="4" customWidth="1"/>
    <col min="10065" max="10065" width="8" style="4" customWidth="1"/>
    <col min="10066" max="10066" width="42.5703125" style="4" bestFit="1" customWidth="1"/>
    <col min="10067" max="10067" width="3.28515625" style="4" customWidth="1"/>
    <col min="10068" max="10068" width="8" style="4" customWidth="1"/>
    <col min="10069" max="10069" width="42.5703125" style="4" bestFit="1" customWidth="1"/>
    <col min="10070" max="10070" width="3.28515625" style="4" customWidth="1"/>
    <col min="10071" max="10071" width="8" style="4" customWidth="1"/>
    <col min="10072" max="10072" width="42.5703125" style="4" bestFit="1" customWidth="1"/>
    <col min="10073" max="10073" width="3.28515625" style="4" customWidth="1"/>
    <col min="10074" max="10074" width="8" style="4" customWidth="1"/>
    <col min="10075" max="10075" width="42.5703125" style="4" bestFit="1" customWidth="1"/>
    <col min="10076" max="10076" width="3.28515625" style="4" customWidth="1"/>
    <col min="10077" max="10077" width="8" style="4" customWidth="1"/>
    <col min="10078" max="10078" width="42.5703125" style="4" bestFit="1" customWidth="1"/>
    <col min="10079" max="10079" width="3.28515625" style="4" customWidth="1"/>
    <col min="10080" max="10080" width="8" style="4" customWidth="1"/>
    <col min="10081" max="10081" width="42.5703125" style="4" bestFit="1" customWidth="1"/>
    <col min="10082" max="10082" width="3.28515625" style="4" customWidth="1"/>
    <col min="10083" max="10083" width="8" style="4" customWidth="1"/>
    <col min="10084" max="10084" width="42.5703125" style="4" bestFit="1" customWidth="1"/>
    <col min="10085" max="10085" width="3.28515625" style="4" customWidth="1"/>
    <col min="10086" max="10086" width="8" style="4" customWidth="1"/>
    <col min="10087" max="10087" width="42.5703125" style="4" bestFit="1" customWidth="1"/>
    <col min="10088" max="10088" width="3.28515625" style="4" customWidth="1"/>
    <col min="10089" max="10089" width="8" style="4" customWidth="1"/>
    <col min="10090" max="10090" width="42.5703125" style="4" bestFit="1" customWidth="1"/>
    <col min="10091" max="10091" width="3.28515625" style="4" customWidth="1"/>
    <col min="10092" max="10092" width="8" style="4" customWidth="1"/>
    <col min="10093" max="10093" width="42.5703125" style="4" bestFit="1" customWidth="1"/>
    <col min="10094" max="10094" width="3.28515625" style="4" customWidth="1"/>
    <col min="10095" max="10095" width="8" style="4" customWidth="1"/>
    <col min="10096" max="10096" width="42.5703125" style="4" bestFit="1" customWidth="1"/>
    <col min="10097" max="10097" width="3.28515625" style="4" customWidth="1"/>
    <col min="10098" max="10098" width="8" style="4" customWidth="1"/>
    <col min="10099" max="10099" width="42.5703125" style="4" bestFit="1" customWidth="1"/>
    <col min="10100" max="10100" width="3.28515625" style="4" customWidth="1"/>
    <col min="10101" max="10101" width="8" style="4" customWidth="1"/>
    <col min="10102" max="10102" width="42.5703125" style="4" bestFit="1" customWidth="1"/>
    <col min="10103" max="10103" width="3.28515625" style="4" customWidth="1"/>
    <col min="10104" max="10104" width="8" style="4" customWidth="1"/>
    <col min="10105" max="10105" width="42.5703125" style="4" bestFit="1" customWidth="1"/>
    <col min="10106" max="10106" width="3.28515625" style="4" customWidth="1"/>
    <col min="10107" max="10107" width="8" style="4" customWidth="1"/>
    <col min="10108" max="10108" width="42.5703125" style="4" bestFit="1" customWidth="1"/>
    <col min="10109" max="10109" width="3.28515625" style="4" customWidth="1"/>
    <col min="10110" max="10110" width="8" style="4" customWidth="1"/>
    <col min="10111" max="10111" width="42.5703125" style="4" bestFit="1" customWidth="1"/>
    <col min="10112" max="10112" width="3.28515625" style="4" customWidth="1"/>
    <col min="10113" max="10113" width="8" style="4" customWidth="1"/>
    <col min="10114" max="10114" width="42.5703125" style="4" bestFit="1" customWidth="1"/>
    <col min="10115" max="10115" width="3.28515625" style="4" customWidth="1"/>
    <col min="10116" max="10116" width="8" style="4" customWidth="1"/>
    <col min="10117" max="10117" width="42.5703125" style="4" bestFit="1" customWidth="1"/>
    <col min="10118" max="10118" width="3.28515625" style="4" customWidth="1"/>
    <col min="10119" max="10119" width="8" style="4" customWidth="1"/>
    <col min="10120" max="10120" width="42.5703125" style="4" bestFit="1" customWidth="1"/>
    <col min="10121" max="10121" width="3.28515625" style="4" customWidth="1"/>
    <col min="10122" max="10122" width="8" style="4" customWidth="1"/>
    <col min="10123" max="10123" width="42.5703125" style="4" bestFit="1" customWidth="1"/>
    <col min="10124" max="10124" width="3.28515625" style="4" customWidth="1"/>
    <col min="10125" max="10125" width="8" style="4" customWidth="1"/>
    <col min="10126" max="10126" width="42.5703125" style="4" bestFit="1" customWidth="1"/>
    <col min="10127" max="10127" width="3.28515625" style="4" customWidth="1"/>
    <col min="10128" max="10128" width="8" style="4" customWidth="1"/>
    <col min="10129" max="10129" width="42.5703125" style="4" bestFit="1" customWidth="1"/>
    <col min="10130" max="10130" width="3.28515625" style="4" customWidth="1"/>
    <col min="10131" max="10131" width="8" style="4" customWidth="1"/>
    <col min="10132" max="10132" width="42.5703125" style="4" bestFit="1" customWidth="1"/>
    <col min="10133" max="10133" width="3.28515625" style="4" customWidth="1"/>
    <col min="10134" max="10134" width="8" style="4" customWidth="1"/>
    <col min="10135" max="10135" width="42.5703125" style="4" bestFit="1" customWidth="1"/>
    <col min="10136" max="10136" width="3.28515625" style="4" customWidth="1"/>
    <col min="10137" max="10137" width="8" style="4" customWidth="1"/>
    <col min="10138" max="10138" width="42.5703125" style="4" bestFit="1" customWidth="1"/>
    <col min="10139" max="10139" width="3.28515625" style="4" customWidth="1"/>
    <col min="10140" max="10140" width="8" style="4" customWidth="1"/>
    <col min="10141" max="10141" width="42.5703125" style="4" bestFit="1" customWidth="1"/>
    <col min="10142" max="10142" width="3.28515625" style="4" customWidth="1"/>
    <col min="10143" max="10143" width="8" style="4" customWidth="1"/>
    <col min="10144" max="10144" width="42.5703125" style="4" bestFit="1" customWidth="1"/>
    <col min="10145" max="10145" width="3.28515625" style="4" customWidth="1"/>
    <col min="10146" max="10146" width="8" style="4" customWidth="1"/>
    <col min="10147" max="10147" width="42.5703125" style="4" bestFit="1" customWidth="1"/>
    <col min="10148" max="10148" width="3.28515625" style="4" customWidth="1"/>
    <col min="10149" max="10149" width="8" style="4" customWidth="1"/>
    <col min="10150" max="10150" width="42.5703125" style="4" bestFit="1" customWidth="1"/>
    <col min="10151" max="10151" width="3.28515625" style="4" customWidth="1"/>
    <col min="10152" max="10152" width="8" style="4" customWidth="1"/>
    <col min="10153" max="10153" width="42.5703125" style="4" bestFit="1" customWidth="1"/>
    <col min="10154" max="10154" width="3.28515625" style="4" customWidth="1"/>
    <col min="10155" max="10155" width="8" style="4" customWidth="1"/>
    <col min="10156" max="10156" width="42.5703125" style="4" bestFit="1" customWidth="1"/>
    <col min="10157" max="10157" width="3.28515625" style="4" customWidth="1"/>
    <col min="10158" max="10158" width="8" style="4" customWidth="1"/>
    <col min="10159" max="10159" width="42.5703125" style="4" bestFit="1" customWidth="1"/>
    <col min="10160" max="10160" width="3.28515625" style="4" customWidth="1"/>
    <col min="10161" max="10161" width="8" style="4" customWidth="1"/>
    <col min="10162" max="10162" width="42.5703125" style="4" bestFit="1" customWidth="1"/>
    <col min="10163" max="10163" width="3.28515625" style="4" customWidth="1"/>
    <col min="10164" max="10164" width="8" style="4" customWidth="1"/>
    <col min="10165" max="10165" width="42.5703125" style="4" bestFit="1" customWidth="1"/>
    <col min="10166" max="10166" width="3.28515625" style="4" customWidth="1"/>
    <col min="10167" max="10167" width="8" style="4" customWidth="1"/>
    <col min="10168" max="10168" width="42.5703125" style="4" bestFit="1" customWidth="1"/>
    <col min="10169" max="10169" width="3.28515625" style="4" customWidth="1"/>
    <col min="10170" max="10170" width="8" style="4" customWidth="1"/>
    <col min="10171" max="10171" width="42.5703125" style="4" bestFit="1" customWidth="1"/>
    <col min="10172" max="10172" width="3.28515625" style="4" customWidth="1"/>
    <col min="10173" max="10173" width="8" style="4" customWidth="1"/>
    <col min="10174" max="10174" width="42.5703125" style="4" bestFit="1" customWidth="1"/>
    <col min="10175" max="10175" width="3.28515625" style="4" customWidth="1"/>
    <col min="10176" max="10176" width="8" style="4" customWidth="1"/>
    <col min="10177" max="10177" width="42.5703125" style="4" bestFit="1" customWidth="1"/>
    <col min="10178" max="10178" width="3.28515625" style="4" customWidth="1"/>
    <col min="10179" max="10179" width="8" style="4" customWidth="1"/>
    <col min="10180" max="10180" width="42.5703125" style="4" bestFit="1" customWidth="1"/>
    <col min="10181" max="10181" width="3.28515625" style="4" customWidth="1"/>
    <col min="10182" max="10182" width="8" style="4" customWidth="1"/>
    <col min="10183" max="10183" width="42.5703125" style="4" bestFit="1" customWidth="1"/>
    <col min="10184" max="10184" width="3.28515625" style="4" customWidth="1"/>
    <col min="10185" max="10185" width="8" style="4" customWidth="1"/>
    <col min="10186" max="10186" width="42.5703125" style="4" bestFit="1" customWidth="1"/>
    <col min="10187" max="10187" width="3.28515625" style="4" customWidth="1"/>
    <col min="10188" max="10188" width="8" style="4" customWidth="1"/>
    <col min="10189" max="10189" width="42.5703125" style="4" bestFit="1" customWidth="1"/>
    <col min="10190" max="10190" width="3.28515625" style="4" customWidth="1"/>
    <col min="10191" max="10191" width="8" style="4" customWidth="1"/>
    <col min="10192" max="10192" width="42.5703125" style="4" bestFit="1" customWidth="1"/>
    <col min="10193" max="10193" width="3.28515625" style="4" customWidth="1"/>
    <col min="10194" max="10194" width="8" style="4" customWidth="1"/>
    <col min="10195" max="10195" width="42.5703125" style="4" bestFit="1" customWidth="1"/>
    <col min="10196" max="10196" width="3.28515625" style="4" customWidth="1"/>
    <col min="10197" max="10197" width="8" style="4" customWidth="1"/>
    <col min="10198" max="10198" width="42.5703125" style="4" bestFit="1" customWidth="1"/>
    <col min="10199" max="10199" width="3.28515625" style="4" customWidth="1"/>
    <col min="10200" max="10200" width="8" style="4" customWidth="1"/>
    <col min="10201" max="10201" width="42.5703125" style="4" bestFit="1" customWidth="1"/>
    <col min="10202" max="10202" width="3.28515625" style="4" customWidth="1"/>
    <col min="10203" max="10203" width="8" style="4" customWidth="1"/>
    <col min="10204" max="10204" width="42.5703125" style="4" bestFit="1" customWidth="1"/>
    <col min="10205" max="10205" width="3.28515625" style="4" customWidth="1"/>
    <col min="10206" max="10206" width="8" style="4" customWidth="1"/>
    <col min="10207" max="10207" width="42.5703125" style="4" bestFit="1" customWidth="1"/>
    <col min="10208" max="10208" width="3.28515625" style="4" customWidth="1"/>
    <col min="10209" max="10209" width="8" style="4" customWidth="1"/>
    <col min="10210" max="10210" width="42.5703125" style="4" bestFit="1" customWidth="1"/>
    <col min="10211" max="10211" width="3.28515625" style="4" customWidth="1"/>
    <col min="10212" max="10212" width="8" style="4" customWidth="1"/>
    <col min="10213" max="10213" width="42.5703125" style="4" bestFit="1" customWidth="1"/>
    <col min="10214" max="10214" width="3.28515625" style="4" customWidth="1"/>
    <col min="10215" max="10215" width="8" style="4" customWidth="1"/>
    <col min="10216" max="10216" width="42.5703125" style="4" bestFit="1" customWidth="1"/>
    <col min="10217" max="10217" width="3.28515625" style="4" customWidth="1"/>
    <col min="10218" max="10218" width="8" style="4" customWidth="1"/>
    <col min="10219" max="10219" width="42.5703125" style="4" bestFit="1" customWidth="1"/>
    <col min="10220" max="10220" width="3.28515625" style="4" customWidth="1"/>
    <col min="10221" max="10221" width="8" style="4" customWidth="1"/>
    <col min="10222" max="10222" width="42.5703125" style="4" bestFit="1" customWidth="1"/>
    <col min="10223" max="10223" width="3.28515625" style="4" customWidth="1"/>
    <col min="10224" max="10224" width="8" style="4" customWidth="1"/>
    <col min="10225" max="10225" width="42.5703125" style="4" bestFit="1" customWidth="1"/>
    <col min="10226" max="10226" width="3.28515625" style="4" customWidth="1"/>
    <col min="10227" max="10227" width="8" style="4" customWidth="1"/>
    <col min="10228" max="10228" width="42.5703125" style="4" bestFit="1" customWidth="1"/>
    <col min="10229" max="10229" width="3.28515625" style="4" customWidth="1"/>
    <col min="10230" max="10230" width="8" style="4" customWidth="1"/>
    <col min="10231" max="10231" width="42.5703125" style="4" bestFit="1" customWidth="1"/>
    <col min="10232" max="10232" width="3.28515625" style="4" customWidth="1"/>
    <col min="10233" max="10233" width="8" style="4" customWidth="1"/>
    <col min="10234" max="10234" width="42.5703125" style="4" bestFit="1" customWidth="1"/>
    <col min="10235" max="10235" width="3.28515625" style="4" customWidth="1"/>
    <col min="10236" max="10236" width="8" style="4" customWidth="1"/>
    <col min="10237" max="10237" width="42.5703125" style="4" bestFit="1" customWidth="1"/>
    <col min="10238" max="10238" width="3.28515625" style="4" customWidth="1"/>
    <col min="10239" max="10239" width="8" style="4" customWidth="1"/>
    <col min="10240" max="10240" width="42.5703125" style="4" bestFit="1" customWidth="1"/>
    <col min="10241" max="10241" width="3.28515625" style="4" customWidth="1"/>
    <col min="10242" max="10242" width="8" style="4" customWidth="1"/>
    <col min="10243" max="10243" width="42.5703125" style="4" bestFit="1" customWidth="1"/>
    <col min="10244" max="10244" width="3.28515625" style="4" customWidth="1"/>
    <col min="10245" max="10245" width="8" style="4" customWidth="1"/>
    <col min="10246" max="10246" width="42.5703125" style="4" bestFit="1" customWidth="1"/>
    <col min="10247" max="10247" width="3.28515625" style="4" customWidth="1"/>
    <col min="10248" max="10248" width="8" style="4" customWidth="1"/>
    <col min="10249" max="10249" width="42.5703125" style="4" bestFit="1" customWidth="1"/>
    <col min="10250" max="10250" width="3.28515625" style="4" customWidth="1"/>
    <col min="10251" max="10251" width="8" style="4" customWidth="1"/>
    <col min="10252" max="10252" width="42.5703125" style="4" bestFit="1" customWidth="1"/>
    <col min="10253" max="10253" width="3.28515625" style="4" customWidth="1"/>
    <col min="10254" max="10254" width="8" style="4" customWidth="1"/>
    <col min="10255" max="10255" width="42.5703125" style="4" bestFit="1" customWidth="1"/>
    <col min="10256" max="10256" width="3.28515625" style="4" customWidth="1"/>
    <col min="10257" max="10257" width="8" style="4" customWidth="1"/>
    <col min="10258" max="10258" width="42.5703125" style="4" bestFit="1" customWidth="1"/>
    <col min="10259" max="10259" width="3.28515625" style="4" customWidth="1"/>
    <col min="10260" max="10260" width="8" style="4" customWidth="1"/>
    <col min="10261" max="10261" width="42.5703125" style="4" bestFit="1" customWidth="1"/>
    <col min="10262" max="10262" width="3.28515625" style="4" customWidth="1"/>
    <col min="10263" max="10263" width="8" style="4" customWidth="1"/>
    <col min="10264" max="10264" width="42.5703125" style="4" bestFit="1" customWidth="1"/>
    <col min="10265" max="10265" width="3.28515625" style="4" customWidth="1"/>
    <col min="10266" max="10266" width="8" style="4" customWidth="1"/>
    <col min="10267" max="10267" width="42.5703125" style="4" bestFit="1" customWidth="1"/>
    <col min="10268" max="10268" width="3.28515625" style="4" customWidth="1"/>
    <col min="10269" max="10269" width="8" style="4" customWidth="1"/>
    <col min="10270" max="10270" width="42.5703125" style="4" bestFit="1" customWidth="1"/>
    <col min="10271" max="10271" width="3.28515625" style="4" customWidth="1"/>
    <col min="10272" max="10272" width="8" style="4" customWidth="1"/>
    <col min="10273" max="10273" width="42.5703125" style="4" bestFit="1" customWidth="1"/>
    <col min="10274" max="10274" width="3.28515625" style="4" customWidth="1"/>
    <col min="10275" max="10275" width="8" style="4" customWidth="1"/>
    <col min="10276" max="10276" width="42.5703125" style="4" bestFit="1" customWidth="1"/>
    <col min="10277" max="10277" width="3.28515625" style="4" customWidth="1"/>
    <col min="10278" max="10278" width="8" style="4" customWidth="1"/>
    <col min="10279" max="10279" width="42.5703125" style="4" bestFit="1" customWidth="1"/>
    <col min="10280" max="10280" width="3.28515625" style="4" customWidth="1"/>
    <col min="10281" max="10281" width="8" style="4" customWidth="1"/>
    <col min="10282" max="10282" width="42.5703125" style="4" bestFit="1" customWidth="1"/>
    <col min="10283" max="10283" width="3.28515625" style="4" customWidth="1"/>
    <col min="10284" max="10284" width="8" style="4" customWidth="1"/>
    <col min="10285" max="10285" width="42.5703125" style="4" bestFit="1" customWidth="1"/>
    <col min="10286" max="10286" width="3.28515625" style="4" customWidth="1"/>
    <col min="10287" max="10287" width="8" style="4" customWidth="1"/>
    <col min="10288" max="10288" width="42.5703125" style="4" bestFit="1" customWidth="1"/>
    <col min="10289" max="10289" width="3.28515625" style="4" customWidth="1"/>
    <col min="10290" max="10290" width="8" style="4" customWidth="1"/>
    <col min="10291" max="10291" width="42.5703125" style="4" bestFit="1" customWidth="1"/>
    <col min="10292" max="10292" width="3.28515625" style="4" customWidth="1"/>
    <col min="10293" max="10293" width="8" style="4" customWidth="1"/>
    <col min="10294" max="10294" width="42.5703125" style="4" bestFit="1" customWidth="1"/>
    <col min="10295" max="10295" width="3.28515625" style="4" customWidth="1"/>
    <col min="10296" max="10296" width="8" style="4" customWidth="1"/>
    <col min="10297" max="10297" width="42.5703125" style="4" bestFit="1" customWidth="1"/>
    <col min="10298" max="10298" width="3.28515625" style="4" customWidth="1"/>
    <col min="10299" max="10299" width="8" style="4" customWidth="1"/>
    <col min="10300" max="10300" width="42.5703125" style="4" bestFit="1" customWidth="1"/>
    <col min="10301" max="10301" width="3.28515625" style="4" customWidth="1"/>
    <col min="10302" max="10302" width="8" style="4" customWidth="1"/>
    <col min="10303" max="10303" width="42.5703125" style="4" bestFit="1" customWidth="1"/>
    <col min="10304" max="10304" width="3.28515625" style="4" customWidth="1"/>
    <col min="10305" max="10305" width="8" style="4" customWidth="1"/>
    <col min="10306" max="10306" width="42.5703125" style="4" bestFit="1" customWidth="1"/>
    <col min="10307" max="10307" width="3.28515625" style="4" customWidth="1"/>
    <col min="10308" max="10308" width="8" style="4" customWidth="1"/>
    <col min="10309" max="10309" width="42.5703125" style="4" bestFit="1" customWidth="1"/>
    <col min="10310" max="10310" width="3.28515625" style="4" customWidth="1"/>
    <col min="10311" max="10311" width="8" style="4" customWidth="1"/>
    <col min="10312" max="10312" width="42.5703125" style="4" bestFit="1" customWidth="1"/>
    <col min="10313" max="10313" width="3.28515625" style="4" customWidth="1"/>
    <col min="10314" max="10314" width="8" style="4" customWidth="1"/>
    <col min="10315" max="10315" width="42.5703125" style="4" bestFit="1" customWidth="1"/>
    <col min="10316" max="10316" width="3.28515625" style="4" customWidth="1"/>
    <col min="10317" max="10317" width="8" style="4" customWidth="1"/>
    <col min="10318" max="10318" width="42.5703125" style="4" bestFit="1" customWidth="1"/>
    <col min="10319" max="10319" width="3.28515625" style="4" customWidth="1"/>
    <col min="10320" max="10320" width="8" style="4" customWidth="1"/>
    <col min="10321" max="10321" width="42.5703125" style="4" bestFit="1" customWidth="1"/>
    <col min="10322" max="10322" width="3.28515625" style="4" customWidth="1"/>
    <col min="10323" max="10323" width="8" style="4" customWidth="1"/>
    <col min="10324" max="10324" width="42.5703125" style="4" bestFit="1" customWidth="1"/>
    <col min="10325" max="10325" width="3.28515625" style="4" customWidth="1"/>
    <col min="10326" max="10326" width="8" style="4" customWidth="1"/>
    <col min="10327" max="10327" width="42.5703125" style="4" bestFit="1" customWidth="1"/>
    <col min="10328" max="10328" width="3.28515625" style="4" customWidth="1"/>
    <col min="10329" max="10329" width="8" style="4" customWidth="1"/>
    <col min="10330" max="10330" width="42.5703125" style="4" bestFit="1" customWidth="1"/>
    <col min="10331" max="10331" width="3.28515625" style="4" customWidth="1"/>
    <col min="10332" max="10332" width="8" style="4" customWidth="1"/>
    <col min="10333" max="10333" width="42.5703125" style="4" bestFit="1" customWidth="1"/>
    <col min="10334" max="10334" width="3.28515625" style="4" customWidth="1"/>
    <col min="10335" max="10335" width="8" style="4" customWidth="1"/>
    <col min="10336" max="10336" width="42.5703125" style="4" bestFit="1" customWidth="1"/>
    <col min="10337" max="10337" width="3.28515625" style="4" customWidth="1"/>
    <col min="10338" max="10338" width="8" style="4" customWidth="1"/>
    <col min="10339" max="10339" width="42.5703125" style="4" bestFit="1" customWidth="1"/>
    <col min="10340" max="10340" width="3.28515625" style="4" customWidth="1"/>
    <col min="10341" max="10341" width="8" style="4" customWidth="1"/>
    <col min="10342" max="10342" width="42.5703125" style="4" bestFit="1" customWidth="1"/>
    <col min="10343" max="10343" width="3.28515625" style="4" customWidth="1"/>
    <col min="10344" max="10344" width="8" style="4" customWidth="1"/>
    <col min="10345" max="10345" width="42.5703125" style="4" bestFit="1" customWidth="1"/>
    <col min="10346" max="10346" width="3.28515625" style="4" customWidth="1"/>
    <col min="10347" max="10347" width="8" style="4" customWidth="1"/>
    <col min="10348" max="10348" width="42.5703125" style="4" bestFit="1" customWidth="1"/>
    <col min="10349" max="10349" width="3.28515625" style="4" customWidth="1"/>
    <col min="10350" max="10350" width="8" style="4" customWidth="1"/>
    <col min="10351" max="10351" width="42.5703125" style="4" bestFit="1" customWidth="1"/>
    <col min="10352" max="10352" width="3.28515625" style="4" customWidth="1"/>
    <col min="10353" max="10353" width="8" style="4" customWidth="1"/>
    <col min="10354" max="10354" width="42.5703125" style="4" bestFit="1" customWidth="1"/>
    <col min="10355" max="10355" width="3.28515625" style="4" customWidth="1"/>
    <col min="10356" max="10356" width="8" style="4" customWidth="1"/>
    <col min="10357" max="10357" width="42.5703125" style="4" bestFit="1" customWidth="1"/>
    <col min="10358" max="10358" width="3.28515625" style="4" customWidth="1"/>
    <col min="10359" max="10359" width="8" style="4" customWidth="1"/>
    <col min="10360" max="10360" width="42.5703125" style="4" bestFit="1" customWidth="1"/>
    <col min="10361" max="10361" width="3.28515625" style="4" customWidth="1"/>
    <col min="10362" max="10362" width="8" style="4" customWidth="1"/>
    <col min="10363" max="10363" width="42.5703125" style="4" bestFit="1" customWidth="1"/>
    <col min="10364" max="10364" width="3.28515625" style="4" customWidth="1"/>
    <col min="10365" max="10365" width="8" style="4" customWidth="1"/>
    <col min="10366" max="10366" width="42.5703125" style="4" bestFit="1" customWidth="1"/>
    <col min="10367" max="10367" width="3.28515625" style="4" customWidth="1"/>
    <col min="10368" max="10368" width="8" style="4" customWidth="1"/>
    <col min="10369" max="10369" width="42.5703125" style="4" bestFit="1" customWidth="1"/>
    <col min="10370" max="10370" width="3.28515625" style="4" customWidth="1"/>
    <col min="10371" max="10371" width="8" style="4" customWidth="1"/>
    <col min="10372" max="10372" width="42.5703125" style="4" bestFit="1" customWidth="1"/>
    <col min="10373" max="10373" width="3.28515625" style="4" customWidth="1"/>
    <col min="10374" max="10374" width="8" style="4" customWidth="1"/>
    <col min="10375" max="10375" width="42.5703125" style="4" bestFit="1" customWidth="1"/>
    <col min="10376" max="10376" width="3.28515625" style="4" customWidth="1"/>
    <col min="10377" max="10377" width="8" style="4" customWidth="1"/>
    <col min="10378" max="10378" width="42.5703125" style="4" bestFit="1" customWidth="1"/>
    <col min="10379" max="10379" width="3.28515625" style="4" customWidth="1"/>
    <col min="10380" max="10380" width="8" style="4" customWidth="1"/>
    <col min="10381" max="10381" width="42.5703125" style="4" bestFit="1" customWidth="1"/>
    <col min="10382" max="10382" width="3.28515625" style="4" customWidth="1"/>
    <col min="10383" max="10383" width="8" style="4" customWidth="1"/>
    <col min="10384" max="10384" width="42.5703125" style="4" bestFit="1" customWidth="1"/>
    <col min="10385" max="10385" width="3.28515625" style="4" customWidth="1"/>
    <col min="10386" max="10386" width="8" style="4" customWidth="1"/>
    <col min="10387" max="10387" width="42.5703125" style="4" bestFit="1" customWidth="1"/>
    <col min="10388" max="10388" width="3.28515625" style="4" customWidth="1"/>
    <col min="10389" max="10389" width="8" style="4" customWidth="1"/>
    <col min="10390" max="10390" width="42.5703125" style="4" bestFit="1" customWidth="1"/>
    <col min="10391" max="10391" width="3.28515625" style="4" customWidth="1"/>
    <col min="10392" max="10392" width="8" style="4" customWidth="1"/>
    <col min="10393" max="10393" width="42.5703125" style="4" bestFit="1" customWidth="1"/>
    <col min="10394" max="10394" width="3.28515625" style="4" customWidth="1"/>
    <col min="10395" max="10395" width="8" style="4" customWidth="1"/>
    <col min="10396" max="10396" width="42.5703125" style="4" bestFit="1" customWidth="1"/>
    <col min="10397" max="10397" width="3.28515625" style="4" customWidth="1"/>
    <col min="10398" max="10398" width="8" style="4" customWidth="1"/>
    <col min="10399" max="10399" width="42.5703125" style="4" bestFit="1" customWidth="1"/>
    <col min="10400" max="10400" width="3.28515625" style="4" customWidth="1"/>
    <col min="10401" max="10401" width="8" style="4" customWidth="1"/>
    <col min="10402" max="10402" width="42.5703125" style="4" bestFit="1" customWidth="1"/>
    <col min="10403" max="10403" width="3.28515625" style="4" customWidth="1"/>
    <col min="10404" max="10404" width="8" style="4" customWidth="1"/>
    <col min="10405" max="10405" width="42.5703125" style="4" bestFit="1" customWidth="1"/>
    <col min="10406" max="10406" width="3.28515625" style="4" customWidth="1"/>
    <col min="10407" max="10407" width="8" style="4" customWidth="1"/>
    <col min="10408" max="10408" width="42.5703125" style="4" bestFit="1" customWidth="1"/>
    <col min="10409" max="10409" width="3.28515625" style="4" customWidth="1"/>
    <col min="10410" max="10410" width="8" style="4" customWidth="1"/>
    <col min="10411" max="10411" width="42.5703125" style="4" bestFit="1" customWidth="1"/>
    <col min="10412" max="10412" width="3.28515625" style="4" customWidth="1"/>
    <col min="10413" max="10413" width="8" style="4" customWidth="1"/>
    <col min="10414" max="10414" width="42.5703125" style="4" bestFit="1" customWidth="1"/>
    <col min="10415" max="10415" width="3.28515625" style="4" customWidth="1"/>
    <col min="10416" max="10416" width="8" style="4" customWidth="1"/>
    <col min="10417" max="10417" width="42.5703125" style="4" bestFit="1" customWidth="1"/>
    <col min="10418" max="10418" width="3.28515625" style="4" customWidth="1"/>
    <col min="10419" max="10419" width="8" style="4" customWidth="1"/>
    <col min="10420" max="10420" width="42.5703125" style="4" bestFit="1" customWidth="1"/>
    <col min="10421" max="10421" width="3.28515625" style="4" customWidth="1"/>
    <col min="10422" max="10422" width="8" style="4" customWidth="1"/>
    <col min="10423" max="10423" width="42.5703125" style="4" bestFit="1" customWidth="1"/>
    <col min="10424" max="10424" width="3.28515625" style="4" customWidth="1"/>
    <col min="10425" max="10425" width="8" style="4" customWidth="1"/>
    <col min="10426" max="10426" width="42.5703125" style="4" bestFit="1" customWidth="1"/>
    <col min="10427" max="10427" width="3.28515625" style="4" customWidth="1"/>
    <col min="10428" max="10428" width="8" style="4" customWidth="1"/>
    <col min="10429" max="10429" width="42.5703125" style="4" bestFit="1" customWidth="1"/>
    <col min="10430" max="10430" width="3.28515625" style="4" customWidth="1"/>
    <col min="10431" max="10431" width="8" style="4" customWidth="1"/>
    <col min="10432" max="10432" width="42.5703125" style="4" bestFit="1" customWidth="1"/>
    <col min="10433" max="10433" width="3.28515625" style="4" customWidth="1"/>
    <col min="10434" max="10434" width="8" style="4" customWidth="1"/>
    <col min="10435" max="10435" width="42.5703125" style="4" bestFit="1" customWidth="1"/>
    <col min="10436" max="10436" width="3.28515625" style="4" customWidth="1"/>
    <col min="10437" max="10437" width="8" style="4" customWidth="1"/>
    <col min="10438" max="10438" width="42.5703125" style="4" bestFit="1" customWidth="1"/>
    <col min="10439" max="10439" width="3.28515625" style="4" customWidth="1"/>
    <col min="10440" max="10440" width="8" style="4" customWidth="1"/>
    <col min="10441" max="10441" width="42.5703125" style="4" bestFit="1" customWidth="1"/>
    <col min="10442" max="10442" width="3.28515625" style="4" customWidth="1"/>
    <col min="10443" max="10443" width="8" style="4" customWidth="1"/>
    <col min="10444" max="10444" width="42.5703125" style="4" bestFit="1" customWidth="1"/>
    <col min="10445" max="10445" width="3.28515625" style="4" customWidth="1"/>
    <col min="10446" max="10446" width="8" style="4" customWidth="1"/>
    <col min="10447" max="10447" width="42.5703125" style="4" bestFit="1" customWidth="1"/>
    <col min="10448" max="10448" width="3.28515625" style="4" customWidth="1"/>
    <col min="10449" max="10449" width="8" style="4" customWidth="1"/>
    <col min="10450" max="10450" width="42.5703125" style="4" bestFit="1" customWidth="1"/>
    <col min="10451" max="10451" width="3.28515625" style="4" customWidth="1"/>
    <col min="10452" max="10452" width="8" style="4" customWidth="1"/>
    <col min="10453" max="10453" width="42.5703125" style="4" bestFit="1" customWidth="1"/>
    <col min="10454" max="10454" width="3.28515625" style="4" customWidth="1"/>
    <col min="10455" max="10455" width="8" style="4" customWidth="1"/>
    <col min="10456" max="10456" width="42.5703125" style="4" bestFit="1" customWidth="1"/>
    <col min="10457" max="10457" width="3.28515625" style="4" customWidth="1"/>
    <col min="10458" max="10458" width="8" style="4" customWidth="1"/>
    <col min="10459" max="10459" width="42.5703125" style="4" bestFit="1" customWidth="1"/>
    <col min="10460" max="10460" width="3.28515625" style="4" customWidth="1"/>
    <col min="10461" max="10461" width="8" style="4" customWidth="1"/>
    <col min="10462" max="10462" width="42.5703125" style="4" bestFit="1" customWidth="1"/>
    <col min="10463" max="10463" width="3.28515625" style="4" customWidth="1"/>
    <col min="10464" max="10464" width="8" style="4" customWidth="1"/>
    <col min="10465" max="10465" width="42.5703125" style="4" bestFit="1" customWidth="1"/>
    <col min="10466" max="10466" width="3.28515625" style="4" customWidth="1"/>
    <col min="10467" max="10467" width="8" style="4" customWidth="1"/>
    <col min="10468" max="10468" width="42.5703125" style="4" bestFit="1" customWidth="1"/>
    <col min="10469" max="10469" width="3.28515625" style="4" customWidth="1"/>
    <col min="10470" max="10470" width="8" style="4" customWidth="1"/>
    <col min="10471" max="10471" width="42.5703125" style="4" bestFit="1" customWidth="1"/>
    <col min="10472" max="10472" width="3.28515625" style="4" customWidth="1"/>
    <col min="10473" max="10473" width="8" style="4" customWidth="1"/>
    <col min="10474" max="10474" width="42.5703125" style="4" bestFit="1" customWidth="1"/>
    <col min="10475" max="10475" width="3.28515625" style="4" customWidth="1"/>
    <col min="10476" max="10476" width="8" style="4" customWidth="1"/>
    <col min="10477" max="10477" width="42.5703125" style="4" bestFit="1" customWidth="1"/>
    <col min="10478" max="10478" width="3.28515625" style="4" customWidth="1"/>
    <col min="10479" max="10479" width="8" style="4" customWidth="1"/>
    <col min="10480" max="10480" width="42.5703125" style="4" bestFit="1" customWidth="1"/>
    <col min="10481" max="10481" width="3.28515625" style="4" customWidth="1"/>
    <col min="10482" max="10482" width="8" style="4" customWidth="1"/>
    <col min="10483" max="10483" width="42.5703125" style="4" bestFit="1" customWidth="1"/>
    <col min="10484" max="10484" width="3.28515625" style="4" customWidth="1"/>
    <col min="10485" max="10485" width="8" style="4" customWidth="1"/>
    <col min="10486" max="10486" width="42.5703125" style="4" bestFit="1" customWidth="1"/>
    <col min="10487" max="10487" width="3.28515625" style="4" customWidth="1"/>
    <col min="10488" max="10488" width="8" style="4" customWidth="1"/>
    <col min="10489" max="10489" width="42.5703125" style="4" bestFit="1" customWidth="1"/>
    <col min="10490" max="10490" width="3.28515625" style="4" customWidth="1"/>
    <col min="10491" max="10491" width="8" style="4" customWidth="1"/>
    <col min="10492" max="10492" width="42.5703125" style="4" bestFit="1" customWidth="1"/>
    <col min="10493" max="10493" width="3.28515625" style="4" customWidth="1"/>
    <col min="10494" max="10494" width="8" style="4" customWidth="1"/>
    <col min="10495" max="10495" width="42.5703125" style="4" bestFit="1" customWidth="1"/>
    <col min="10496" max="10496" width="3.28515625" style="4" customWidth="1"/>
    <col min="10497" max="10497" width="8" style="4" customWidth="1"/>
    <col min="10498" max="10498" width="42.5703125" style="4" bestFit="1" customWidth="1"/>
    <col min="10499" max="10499" width="3.28515625" style="4" customWidth="1"/>
    <col min="10500" max="10500" width="8" style="4" customWidth="1"/>
    <col min="10501" max="10501" width="42.5703125" style="4" bestFit="1" customWidth="1"/>
    <col min="10502" max="10502" width="3.28515625" style="4" customWidth="1"/>
    <col min="10503" max="10503" width="8" style="4" customWidth="1"/>
    <col min="10504" max="10504" width="42.5703125" style="4" bestFit="1" customWidth="1"/>
    <col min="10505" max="10505" width="3.28515625" style="4" customWidth="1"/>
    <col min="10506" max="10506" width="8" style="4" customWidth="1"/>
    <col min="10507" max="10507" width="42.5703125" style="4" bestFit="1" customWidth="1"/>
    <col min="10508" max="10508" width="3.28515625" style="4" customWidth="1"/>
    <col min="10509" max="10509" width="8" style="4" customWidth="1"/>
    <col min="10510" max="10510" width="42.5703125" style="4" bestFit="1" customWidth="1"/>
    <col min="10511" max="10511" width="3.28515625" style="4" customWidth="1"/>
    <col min="10512" max="10512" width="8" style="4" customWidth="1"/>
    <col min="10513" max="10513" width="42.5703125" style="4" bestFit="1" customWidth="1"/>
    <col min="10514" max="10514" width="3.28515625" style="4" customWidth="1"/>
    <col min="10515" max="10515" width="8" style="4" customWidth="1"/>
    <col min="10516" max="10516" width="42.5703125" style="4" bestFit="1" customWidth="1"/>
    <col min="10517" max="10517" width="3.28515625" style="4" customWidth="1"/>
    <col min="10518" max="10518" width="8" style="4" customWidth="1"/>
    <col min="10519" max="10519" width="42.5703125" style="4" bestFit="1" customWidth="1"/>
    <col min="10520" max="10520" width="3.28515625" style="4" customWidth="1"/>
    <col min="10521" max="10521" width="8" style="4" customWidth="1"/>
    <col min="10522" max="10522" width="42.5703125" style="4" bestFit="1" customWidth="1"/>
    <col min="10523" max="10523" width="3.28515625" style="4" customWidth="1"/>
    <col min="10524" max="10524" width="8" style="4" customWidth="1"/>
    <col min="10525" max="10525" width="42.5703125" style="4" bestFit="1" customWidth="1"/>
    <col min="10526" max="10526" width="3.28515625" style="4" customWidth="1"/>
    <col min="10527" max="10527" width="8" style="4" customWidth="1"/>
    <col min="10528" max="10528" width="42.5703125" style="4" bestFit="1" customWidth="1"/>
    <col min="10529" max="10529" width="3.28515625" style="4" customWidth="1"/>
    <col min="10530" max="10530" width="8" style="4" customWidth="1"/>
    <col min="10531" max="10531" width="42.5703125" style="4" bestFit="1" customWidth="1"/>
    <col min="10532" max="10532" width="3.28515625" style="4" customWidth="1"/>
    <col min="10533" max="10533" width="8" style="4" customWidth="1"/>
    <col min="10534" max="10534" width="42.5703125" style="4" bestFit="1" customWidth="1"/>
    <col min="10535" max="10535" width="3.28515625" style="4" customWidth="1"/>
    <col min="10536" max="10536" width="8" style="4" customWidth="1"/>
    <col min="10537" max="10537" width="42.5703125" style="4" bestFit="1" customWidth="1"/>
    <col min="10538" max="10538" width="3.28515625" style="4" customWidth="1"/>
    <col min="10539" max="10539" width="8" style="4" customWidth="1"/>
    <col min="10540" max="10540" width="42.5703125" style="4" bestFit="1" customWidth="1"/>
    <col min="10541" max="10541" width="3.28515625" style="4" customWidth="1"/>
    <col min="10542" max="10542" width="8" style="4" customWidth="1"/>
    <col min="10543" max="10543" width="42.5703125" style="4" bestFit="1" customWidth="1"/>
    <col min="10544" max="10544" width="3.28515625" style="4" customWidth="1"/>
    <col min="10545" max="10545" width="8" style="4" customWidth="1"/>
    <col min="10546" max="10546" width="42.5703125" style="4" bestFit="1" customWidth="1"/>
    <col min="10547" max="10547" width="3.28515625" style="4" customWidth="1"/>
    <col min="10548" max="10548" width="8" style="4" customWidth="1"/>
    <col min="10549" max="10549" width="42.5703125" style="4" bestFit="1" customWidth="1"/>
    <col min="10550" max="10550" width="3.28515625" style="4" customWidth="1"/>
    <col min="10551" max="10551" width="8" style="4" customWidth="1"/>
    <col min="10552" max="10552" width="42.5703125" style="4" bestFit="1" customWidth="1"/>
    <col min="10553" max="10553" width="3.28515625" style="4" customWidth="1"/>
    <col min="10554" max="10554" width="8" style="4" customWidth="1"/>
    <col min="10555" max="10555" width="42.5703125" style="4" bestFit="1" customWidth="1"/>
    <col min="10556" max="10556" width="3.28515625" style="4" customWidth="1"/>
    <col min="10557" max="10557" width="8" style="4" customWidth="1"/>
    <col min="10558" max="10558" width="42.5703125" style="4" bestFit="1" customWidth="1"/>
    <col min="10559" max="10559" width="3.28515625" style="4" customWidth="1"/>
    <col min="10560" max="10560" width="8" style="4" customWidth="1"/>
    <col min="10561" max="10561" width="42.5703125" style="4" bestFit="1" customWidth="1"/>
    <col min="10562" max="10562" width="3.28515625" style="4" customWidth="1"/>
    <col min="10563" max="10563" width="8" style="4" customWidth="1"/>
    <col min="10564" max="10564" width="42.5703125" style="4" bestFit="1" customWidth="1"/>
    <col min="10565" max="10565" width="3.28515625" style="4" customWidth="1"/>
    <col min="10566" max="10566" width="8" style="4" customWidth="1"/>
    <col min="10567" max="10567" width="42.5703125" style="4" bestFit="1" customWidth="1"/>
    <col min="10568" max="10568" width="3.28515625" style="4" customWidth="1"/>
    <col min="10569" max="10569" width="8" style="4" customWidth="1"/>
    <col min="10570" max="10570" width="42.5703125" style="4" bestFit="1" customWidth="1"/>
    <col min="10571" max="10571" width="3.28515625" style="4" customWidth="1"/>
    <col min="10572" max="10572" width="8" style="4" customWidth="1"/>
    <col min="10573" max="10573" width="42.5703125" style="4" bestFit="1" customWidth="1"/>
    <col min="10574" max="10574" width="3.28515625" style="4" customWidth="1"/>
    <col min="10575" max="10575" width="8" style="4" customWidth="1"/>
    <col min="10576" max="10576" width="42.5703125" style="4" bestFit="1" customWidth="1"/>
    <col min="10577" max="10577" width="3.28515625" style="4" customWidth="1"/>
    <col min="10578" max="10578" width="8" style="4" customWidth="1"/>
    <col min="10579" max="10579" width="42.5703125" style="4" bestFit="1" customWidth="1"/>
    <col min="10580" max="10580" width="3.28515625" style="4" customWidth="1"/>
    <col min="10581" max="10581" width="8" style="4" customWidth="1"/>
    <col min="10582" max="10582" width="42.5703125" style="4" bestFit="1" customWidth="1"/>
    <col min="10583" max="10583" width="3.28515625" style="4" customWidth="1"/>
    <col min="10584" max="10584" width="8" style="4" customWidth="1"/>
    <col min="10585" max="10585" width="42.5703125" style="4" bestFit="1" customWidth="1"/>
    <col min="10586" max="10586" width="3.28515625" style="4" customWidth="1"/>
    <col min="10587" max="10587" width="8" style="4" customWidth="1"/>
    <col min="10588" max="10588" width="42.5703125" style="4" bestFit="1" customWidth="1"/>
    <col min="10589" max="10589" width="3.28515625" style="4" customWidth="1"/>
    <col min="10590" max="10590" width="8" style="4" customWidth="1"/>
    <col min="10591" max="10591" width="42.5703125" style="4" bestFit="1" customWidth="1"/>
    <col min="10592" max="10592" width="3.28515625" style="4" customWidth="1"/>
    <col min="10593" max="10593" width="8" style="4" customWidth="1"/>
    <col min="10594" max="10594" width="42.5703125" style="4" bestFit="1" customWidth="1"/>
    <col min="10595" max="10595" width="3.28515625" style="4" customWidth="1"/>
    <col min="10596" max="10596" width="8" style="4" customWidth="1"/>
    <col min="10597" max="10597" width="42.5703125" style="4" bestFit="1" customWidth="1"/>
    <col min="10598" max="10598" width="3.28515625" style="4" customWidth="1"/>
    <col min="10599" max="10599" width="8" style="4" customWidth="1"/>
    <col min="10600" max="10600" width="42.5703125" style="4" bestFit="1" customWidth="1"/>
    <col min="10601" max="10601" width="3.28515625" style="4" customWidth="1"/>
    <col min="10602" max="10602" width="8" style="4" customWidth="1"/>
    <col min="10603" max="10603" width="42.5703125" style="4" bestFit="1" customWidth="1"/>
    <col min="10604" max="10604" width="3.28515625" style="4" customWidth="1"/>
    <col min="10605" max="10605" width="8" style="4" customWidth="1"/>
    <col min="10606" max="10606" width="42.5703125" style="4" bestFit="1" customWidth="1"/>
    <col min="10607" max="10607" width="3.28515625" style="4" customWidth="1"/>
    <col min="10608" max="10608" width="8" style="4" customWidth="1"/>
    <col min="10609" max="10609" width="42.5703125" style="4" bestFit="1" customWidth="1"/>
    <col min="10610" max="10610" width="3.28515625" style="4" customWidth="1"/>
    <col min="10611" max="10611" width="8" style="4" customWidth="1"/>
    <col min="10612" max="10612" width="42.5703125" style="4" bestFit="1" customWidth="1"/>
    <col min="10613" max="10613" width="3.28515625" style="4" customWidth="1"/>
    <col min="10614" max="10614" width="8" style="4" customWidth="1"/>
    <col min="10615" max="10615" width="42.5703125" style="4" bestFit="1" customWidth="1"/>
    <col min="10616" max="10616" width="3.28515625" style="4" customWidth="1"/>
    <col min="10617" max="10617" width="8" style="4" customWidth="1"/>
    <col min="10618" max="10618" width="42.5703125" style="4" bestFit="1" customWidth="1"/>
    <col min="10619" max="10619" width="3.28515625" style="4" customWidth="1"/>
    <col min="10620" max="10620" width="8" style="4" customWidth="1"/>
    <col min="10621" max="10621" width="42.5703125" style="4" bestFit="1" customWidth="1"/>
    <col min="10622" max="10622" width="3.28515625" style="4" customWidth="1"/>
    <col min="10623" max="10623" width="8" style="4" customWidth="1"/>
    <col min="10624" max="10624" width="42.5703125" style="4" bestFit="1" customWidth="1"/>
    <col min="10625" max="10625" width="3.28515625" style="4" customWidth="1"/>
    <col min="10626" max="10626" width="8" style="4" customWidth="1"/>
    <col min="10627" max="10627" width="42.5703125" style="4" bestFit="1" customWidth="1"/>
    <col min="10628" max="10628" width="3.28515625" style="4" customWidth="1"/>
    <col min="10629" max="10629" width="8" style="4" customWidth="1"/>
    <col min="10630" max="10630" width="42.5703125" style="4" bestFit="1" customWidth="1"/>
    <col min="10631" max="10631" width="3.28515625" style="4" customWidth="1"/>
    <col min="10632" max="10632" width="8" style="4" customWidth="1"/>
    <col min="10633" max="10633" width="42.5703125" style="4" bestFit="1" customWidth="1"/>
    <col min="10634" max="10634" width="3.28515625" style="4" customWidth="1"/>
    <col min="10635" max="10635" width="8" style="4" customWidth="1"/>
    <col min="10636" max="10636" width="42.5703125" style="4" bestFit="1" customWidth="1"/>
    <col min="10637" max="10637" width="3.28515625" style="4" customWidth="1"/>
    <col min="10638" max="10638" width="8" style="4" customWidth="1"/>
    <col min="10639" max="10639" width="42.5703125" style="4" bestFit="1" customWidth="1"/>
    <col min="10640" max="10640" width="3.28515625" style="4" customWidth="1"/>
    <col min="10641" max="10641" width="8" style="4" customWidth="1"/>
    <col min="10642" max="10642" width="42.5703125" style="4" bestFit="1" customWidth="1"/>
    <col min="10643" max="10643" width="3.28515625" style="4" customWidth="1"/>
    <col min="10644" max="10644" width="8" style="4" customWidth="1"/>
    <col min="10645" max="10645" width="42.5703125" style="4" bestFit="1" customWidth="1"/>
    <col min="10646" max="10646" width="3.28515625" style="4" customWidth="1"/>
    <col min="10647" max="10647" width="8" style="4" customWidth="1"/>
    <col min="10648" max="10648" width="42.5703125" style="4" bestFit="1" customWidth="1"/>
    <col min="10649" max="10649" width="3.28515625" style="4" customWidth="1"/>
    <col min="10650" max="10650" width="8" style="4" customWidth="1"/>
    <col min="10651" max="10651" width="42.5703125" style="4" bestFit="1" customWidth="1"/>
    <col min="10652" max="10652" width="3.28515625" style="4" customWidth="1"/>
    <col min="10653" max="10653" width="8" style="4" customWidth="1"/>
    <col min="10654" max="10654" width="42.5703125" style="4" bestFit="1" customWidth="1"/>
    <col min="10655" max="10655" width="3.28515625" style="4" customWidth="1"/>
    <col min="10656" max="10656" width="8" style="4" customWidth="1"/>
    <col min="10657" max="10657" width="42.5703125" style="4" bestFit="1" customWidth="1"/>
    <col min="10658" max="10658" width="3.28515625" style="4" customWidth="1"/>
    <col min="10659" max="10659" width="8" style="4" customWidth="1"/>
    <col min="10660" max="10660" width="42.5703125" style="4" bestFit="1" customWidth="1"/>
    <col min="10661" max="10661" width="3.28515625" style="4" customWidth="1"/>
    <col min="10662" max="10662" width="8" style="4" customWidth="1"/>
    <col min="10663" max="10663" width="42.5703125" style="4" bestFit="1" customWidth="1"/>
    <col min="10664" max="10664" width="3.28515625" style="4" customWidth="1"/>
    <col min="10665" max="10665" width="8" style="4" customWidth="1"/>
    <col min="10666" max="10666" width="42.5703125" style="4" bestFit="1" customWidth="1"/>
    <col min="10667" max="10667" width="3.28515625" style="4" customWidth="1"/>
    <col min="10668" max="10668" width="8" style="4" customWidth="1"/>
    <col min="10669" max="10669" width="42.5703125" style="4" bestFit="1" customWidth="1"/>
    <col min="10670" max="10670" width="3.28515625" style="4" customWidth="1"/>
    <col min="10671" max="10671" width="8" style="4" customWidth="1"/>
    <col min="10672" max="10672" width="42.5703125" style="4" bestFit="1" customWidth="1"/>
    <col min="10673" max="10673" width="3.28515625" style="4" customWidth="1"/>
    <col min="10674" max="10674" width="8" style="4" customWidth="1"/>
    <col min="10675" max="10675" width="42.5703125" style="4" bestFit="1" customWidth="1"/>
    <col min="10676" max="10676" width="3.28515625" style="4" customWidth="1"/>
    <col min="10677" max="10677" width="8" style="4" customWidth="1"/>
    <col min="10678" max="10678" width="42.5703125" style="4" bestFit="1" customWidth="1"/>
    <col min="10679" max="10679" width="3.28515625" style="4" customWidth="1"/>
    <col min="10680" max="10680" width="8" style="4" customWidth="1"/>
    <col min="10681" max="10681" width="42.5703125" style="4" bestFit="1" customWidth="1"/>
    <col min="10682" max="10682" width="3.28515625" style="4" customWidth="1"/>
    <col min="10683" max="10683" width="8" style="4" customWidth="1"/>
    <col min="10684" max="10684" width="42.5703125" style="4" bestFit="1" customWidth="1"/>
    <col min="10685" max="10685" width="3.28515625" style="4" customWidth="1"/>
    <col min="10686" max="10686" width="8" style="4" customWidth="1"/>
    <col min="10687" max="10687" width="42.5703125" style="4" bestFit="1" customWidth="1"/>
    <col min="10688" max="10688" width="3.28515625" style="4" customWidth="1"/>
    <col min="10689" max="10689" width="8" style="4" customWidth="1"/>
    <col min="10690" max="10690" width="42.5703125" style="4" bestFit="1" customWidth="1"/>
    <col min="10691" max="10691" width="3.28515625" style="4" customWidth="1"/>
    <col min="10692" max="10692" width="8" style="4" customWidth="1"/>
    <col min="10693" max="10693" width="42.5703125" style="4" bestFit="1" customWidth="1"/>
    <col min="10694" max="10694" width="3.28515625" style="4" customWidth="1"/>
    <col min="10695" max="10695" width="8" style="4" customWidth="1"/>
    <col min="10696" max="10696" width="42.5703125" style="4" bestFit="1" customWidth="1"/>
    <col min="10697" max="10697" width="3.28515625" style="4" customWidth="1"/>
    <col min="10698" max="10698" width="8" style="4" customWidth="1"/>
    <col min="10699" max="10699" width="42.5703125" style="4" bestFit="1" customWidth="1"/>
    <col min="10700" max="10700" width="3.28515625" style="4" customWidth="1"/>
    <col min="10701" max="10701" width="8" style="4" customWidth="1"/>
    <col min="10702" max="10702" width="42.5703125" style="4" bestFit="1" customWidth="1"/>
    <col min="10703" max="10703" width="3.28515625" style="4" customWidth="1"/>
    <col min="10704" max="10704" width="8" style="4" customWidth="1"/>
    <col min="10705" max="10705" width="42.5703125" style="4" bestFit="1" customWidth="1"/>
    <col min="10706" max="10706" width="3.28515625" style="4" customWidth="1"/>
    <col min="10707" max="10707" width="8" style="4" customWidth="1"/>
    <col min="10708" max="10708" width="42.5703125" style="4" bestFit="1" customWidth="1"/>
    <col min="10709" max="10709" width="3.28515625" style="4" customWidth="1"/>
    <col min="10710" max="10710" width="8" style="4" customWidth="1"/>
    <col min="10711" max="10711" width="42.5703125" style="4" bestFit="1" customWidth="1"/>
    <col min="10712" max="10712" width="3.28515625" style="4" customWidth="1"/>
    <col min="10713" max="10713" width="8" style="4" customWidth="1"/>
    <col min="10714" max="10714" width="42.5703125" style="4" bestFit="1" customWidth="1"/>
    <col min="10715" max="10715" width="3.28515625" style="4" customWidth="1"/>
    <col min="10716" max="10716" width="8" style="4" customWidth="1"/>
    <col min="10717" max="10717" width="42.5703125" style="4" bestFit="1" customWidth="1"/>
    <col min="10718" max="10718" width="3.28515625" style="4" customWidth="1"/>
    <col min="10719" max="10719" width="8" style="4" customWidth="1"/>
    <col min="10720" max="10720" width="42.5703125" style="4" bestFit="1" customWidth="1"/>
    <col min="10721" max="10721" width="3.28515625" style="4" customWidth="1"/>
    <col min="10722" max="10722" width="8" style="4" customWidth="1"/>
    <col min="10723" max="10723" width="42.5703125" style="4" bestFit="1" customWidth="1"/>
    <col min="10724" max="10724" width="3.28515625" style="4" customWidth="1"/>
    <col min="10725" max="10725" width="8" style="4" customWidth="1"/>
    <col min="10726" max="10726" width="42.5703125" style="4" bestFit="1" customWidth="1"/>
    <col min="10727" max="10727" width="3.28515625" style="4" customWidth="1"/>
    <col min="10728" max="10728" width="8" style="4" customWidth="1"/>
    <col min="10729" max="10729" width="42.5703125" style="4" bestFit="1" customWidth="1"/>
    <col min="10730" max="10730" width="3.28515625" style="4" customWidth="1"/>
    <col min="10731" max="10731" width="8" style="4" customWidth="1"/>
    <col min="10732" max="10732" width="42.5703125" style="4" bestFit="1" customWidth="1"/>
    <col min="10733" max="10733" width="3.28515625" style="4" customWidth="1"/>
    <col min="10734" max="10734" width="8" style="4" customWidth="1"/>
    <col min="10735" max="10735" width="42.5703125" style="4" bestFit="1" customWidth="1"/>
    <col min="10736" max="10736" width="3.28515625" style="4" customWidth="1"/>
    <col min="10737" max="10737" width="8" style="4" customWidth="1"/>
    <col min="10738" max="10738" width="42.5703125" style="4" bestFit="1" customWidth="1"/>
    <col min="10739" max="10739" width="3.28515625" style="4" customWidth="1"/>
    <col min="10740" max="10740" width="8" style="4" customWidth="1"/>
    <col min="10741" max="10741" width="42.5703125" style="4" bestFit="1" customWidth="1"/>
    <col min="10742" max="10742" width="3.28515625" style="4" customWidth="1"/>
    <col min="10743" max="10743" width="8" style="4" customWidth="1"/>
    <col min="10744" max="10744" width="42.5703125" style="4" bestFit="1" customWidth="1"/>
    <col min="10745" max="10745" width="3.28515625" style="4" customWidth="1"/>
    <col min="10746" max="10746" width="8" style="4" customWidth="1"/>
    <col min="10747" max="10747" width="42.5703125" style="4" bestFit="1" customWidth="1"/>
    <col min="10748" max="10748" width="3.28515625" style="4" customWidth="1"/>
    <col min="10749" max="10749" width="8" style="4" customWidth="1"/>
    <col min="10750" max="10750" width="42.5703125" style="4" bestFit="1" customWidth="1"/>
    <col min="10751" max="10751" width="3.28515625" style="4" customWidth="1"/>
    <col min="10752" max="10752" width="8" style="4" customWidth="1"/>
    <col min="10753" max="10753" width="42.5703125" style="4" bestFit="1" customWidth="1"/>
    <col min="10754" max="10754" width="3.28515625" style="4" customWidth="1"/>
    <col min="10755" max="10755" width="8" style="4" customWidth="1"/>
    <col min="10756" max="10756" width="42.5703125" style="4" bestFit="1" customWidth="1"/>
    <col min="10757" max="10757" width="3.28515625" style="4" customWidth="1"/>
    <col min="10758" max="10758" width="8" style="4" customWidth="1"/>
    <col min="10759" max="10759" width="42.5703125" style="4" bestFit="1" customWidth="1"/>
    <col min="10760" max="10760" width="3.28515625" style="4" customWidth="1"/>
    <col min="10761" max="10761" width="8" style="4" customWidth="1"/>
    <col min="10762" max="10762" width="42.5703125" style="4" bestFit="1" customWidth="1"/>
    <col min="10763" max="10763" width="3.28515625" style="4" customWidth="1"/>
    <col min="10764" max="10764" width="8" style="4" customWidth="1"/>
    <col min="10765" max="10765" width="42.5703125" style="4" bestFit="1" customWidth="1"/>
    <col min="10766" max="10766" width="3.28515625" style="4" customWidth="1"/>
    <col min="10767" max="10767" width="8" style="4" customWidth="1"/>
    <col min="10768" max="10768" width="42.5703125" style="4" bestFit="1" customWidth="1"/>
    <col min="10769" max="10769" width="3.28515625" style="4" customWidth="1"/>
    <col min="10770" max="10770" width="8" style="4" customWidth="1"/>
    <col min="10771" max="10771" width="42.5703125" style="4" bestFit="1" customWidth="1"/>
    <col min="10772" max="10772" width="3.28515625" style="4" customWidth="1"/>
    <col min="10773" max="10773" width="8" style="4" customWidth="1"/>
    <col min="10774" max="10774" width="42.5703125" style="4" bestFit="1" customWidth="1"/>
    <col min="10775" max="10775" width="3.28515625" style="4" customWidth="1"/>
    <col min="10776" max="10776" width="8" style="4" customWidth="1"/>
    <col min="10777" max="10777" width="42.5703125" style="4" bestFit="1" customWidth="1"/>
    <col min="10778" max="10778" width="3.28515625" style="4" customWidth="1"/>
    <col min="10779" max="10779" width="8" style="4" customWidth="1"/>
    <col min="10780" max="10780" width="42.5703125" style="4" bestFit="1" customWidth="1"/>
    <col min="10781" max="10781" width="3.28515625" style="4" customWidth="1"/>
    <col min="10782" max="10782" width="8" style="4" customWidth="1"/>
    <col min="10783" max="10783" width="42.5703125" style="4" bestFit="1" customWidth="1"/>
    <col min="10784" max="10784" width="3.28515625" style="4" customWidth="1"/>
    <col min="10785" max="10785" width="8" style="4" customWidth="1"/>
    <col min="10786" max="10786" width="42.5703125" style="4" bestFit="1" customWidth="1"/>
    <col min="10787" max="10787" width="3.28515625" style="4" customWidth="1"/>
    <col min="10788" max="10788" width="8" style="4" customWidth="1"/>
    <col min="10789" max="10789" width="42.5703125" style="4" bestFit="1" customWidth="1"/>
    <col min="10790" max="10790" width="3.28515625" style="4" customWidth="1"/>
    <col min="10791" max="10791" width="8" style="4" customWidth="1"/>
    <col min="10792" max="10792" width="42.5703125" style="4" bestFit="1" customWidth="1"/>
    <col min="10793" max="10793" width="3.28515625" style="4" customWidth="1"/>
    <col min="10794" max="10794" width="8" style="4" customWidth="1"/>
    <col min="10795" max="10795" width="42.5703125" style="4" bestFit="1" customWidth="1"/>
    <col min="10796" max="10796" width="3.28515625" style="4" customWidth="1"/>
    <col min="10797" max="10797" width="8" style="4" customWidth="1"/>
    <col min="10798" max="10798" width="42.5703125" style="4" bestFit="1" customWidth="1"/>
    <col min="10799" max="10799" width="3.28515625" style="4" customWidth="1"/>
    <col min="10800" max="10800" width="8" style="4" customWidth="1"/>
    <col min="10801" max="10801" width="42.5703125" style="4" bestFit="1" customWidth="1"/>
    <col min="10802" max="10802" width="3.28515625" style="4" customWidth="1"/>
    <col min="10803" max="10803" width="8" style="4" customWidth="1"/>
    <col min="10804" max="10804" width="42.5703125" style="4" bestFit="1" customWidth="1"/>
    <col min="10805" max="10805" width="3.28515625" style="4" customWidth="1"/>
    <col min="10806" max="10806" width="8" style="4" customWidth="1"/>
    <col min="10807" max="10807" width="42.5703125" style="4" bestFit="1" customWidth="1"/>
    <col min="10808" max="10808" width="3.28515625" style="4" customWidth="1"/>
    <col min="10809" max="10809" width="8" style="4" customWidth="1"/>
    <col min="10810" max="10810" width="42.5703125" style="4" bestFit="1" customWidth="1"/>
    <col min="10811" max="10811" width="3.28515625" style="4" customWidth="1"/>
    <col min="10812" max="10812" width="8" style="4" customWidth="1"/>
    <col min="10813" max="10813" width="42.5703125" style="4" bestFit="1" customWidth="1"/>
    <col min="10814" max="10814" width="3.28515625" style="4" customWidth="1"/>
    <col min="10815" max="10815" width="8" style="4" customWidth="1"/>
    <col min="10816" max="10816" width="42.5703125" style="4" bestFit="1" customWidth="1"/>
    <col min="10817" max="10817" width="3.28515625" style="4" customWidth="1"/>
    <col min="10818" max="10818" width="8" style="4" customWidth="1"/>
    <col min="10819" max="10819" width="42.5703125" style="4" bestFit="1" customWidth="1"/>
    <col min="10820" max="10820" width="3.28515625" style="4" customWidth="1"/>
    <col min="10821" max="10821" width="8" style="4" customWidth="1"/>
    <col min="10822" max="10822" width="42.5703125" style="4" bestFit="1" customWidth="1"/>
    <col min="10823" max="10823" width="3.28515625" style="4" customWidth="1"/>
    <col min="10824" max="10824" width="8" style="4" customWidth="1"/>
    <col min="10825" max="10825" width="42.5703125" style="4" bestFit="1" customWidth="1"/>
    <col min="10826" max="10826" width="3.28515625" style="4" customWidth="1"/>
    <col min="10827" max="10827" width="8" style="4" customWidth="1"/>
    <col min="10828" max="10828" width="42.5703125" style="4" bestFit="1" customWidth="1"/>
    <col min="10829" max="10829" width="3.28515625" style="4" customWidth="1"/>
    <col min="10830" max="10830" width="8" style="4" customWidth="1"/>
    <col min="10831" max="10831" width="42.5703125" style="4" bestFit="1" customWidth="1"/>
    <col min="10832" max="10832" width="3.28515625" style="4" customWidth="1"/>
    <col min="10833" max="10833" width="8" style="4" customWidth="1"/>
    <col min="10834" max="10834" width="42.5703125" style="4" bestFit="1" customWidth="1"/>
    <col min="10835" max="10835" width="3.28515625" style="4" customWidth="1"/>
    <col min="10836" max="10836" width="8" style="4" customWidth="1"/>
    <col min="10837" max="10837" width="42.5703125" style="4" bestFit="1" customWidth="1"/>
    <col min="10838" max="10838" width="3.28515625" style="4" customWidth="1"/>
    <col min="10839" max="10839" width="8" style="4" customWidth="1"/>
    <col min="10840" max="10840" width="42.5703125" style="4" bestFit="1" customWidth="1"/>
    <col min="10841" max="10841" width="3.28515625" style="4" customWidth="1"/>
    <col min="10842" max="10842" width="8" style="4" customWidth="1"/>
    <col min="10843" max="10843" width="42.5703125" style="4" bestFit="1" customWidth="1"/>
    <col min="10844" max="10844" width="3.28515625" style="4" customWidth="1"/>
    <col min="10845" max="10845" width="8" style="4" customWidth="1"/>
    <col min="10846" max="10846" width="42.5703125" style="4" bestFit="1" customWidth="1"/>
    <col min="10847" max="10847" width="3.28515625" style="4" customWidth="1"/>
    <col min="10848" max="10848" width="8" style="4" customWidth="1"/>
    <col min="10849" max="10849" width="42.5703125" style="4" bestFit="1" customWidth="1"/>
    <col min="10850" max="10850" width="3.28515625" style="4" customWidth="1"/>
    <col min="10851" max="10851" width="8" style="4" customWidth="1"/>
    <col min="10852" max="10852" width="42.5703125" style="4" bestFit="1" customWidth="1"/>
    <col min="10853" max="10853" width="3.28515625" style="4" customWidth="1"/>
    <col min="10854" max="10854" width="8" style="4" customWidth="1"/>
    <col min="10855" max="10855" width="42.5703125" style="4" bestFit="1" customWidth="1"/>
    <col min="10856" max="10856" width="3.28515625" style="4" customWidth="1"/>
    <col min="10857" max="10857" width="8" style="4" customWidth="1"/>
    <col min="10858" max="10858" width="42.5703125" style="4" bestFit="1" customWidth="1"/>
    <col min="10859" max="10859" width="3.28515625" style="4" customWidth="1"/>
    <col min="10860" max="10860" width="8" style="4" customWidth="1"/>
    <col min="10861" max="10861" width="42.5703125" style="4" bestFit="1" customWidth="1"/>
    <col min="10862" max="10862" width="3.28515625" style="4" customWidth="1"/>
    <col min="10863" max="10863" width="8" style="4" customWidth="1"/>
    <col min="10864" max="10864" width="42.5703125" style="4" bestFit="1" customWidth="1"/>
    <col min="10865" max="10865" width="3.28515625" style="4" customWidth="1"/>
    <col min="10866" max="10866" width="8" style="4" customWidth="1"/>
    <col min="10867" max="10867" width="42.5703125" style="4" bestFit="1" customWidth="1"/>
    <col min="10868" max="10868" width="3.28515625" style="4" customWidth="1"/>
    <col min="10869" max="10869" width="8" style="4" customWidth="1"/>
    <col min="10870" max="10870" width="42.5703125" style="4" bestFit="1" customWidth="1"/>
    <col min="10871" max="10871" width="3.28515625" style="4" customWidth="1"/>
    <col min="10872" max="10872" width="8" style="4" customWidth="1"/>
    <col min="10873" max="10873" width="42.5703125" style="4" bestFit="1" customWidth="1"/>
    <col min="10874" max="10874" width="3.28515625" style="4" customWidth="1"/>
    <col min="10875" max="10875" width="8" style="4" customWidth="1"/>
    <col min="10876" max="10876" width="42.5703125" style="4" bestFit="1" customWidth="1"/>
    <col min="10877" max="10877" width="3.28515625" style="4" customWidth="1"/>
    <col min="10878" max="10878" width="8" style="4" customWidth="1"/>
    <col min="10879" max="10879" width="42.5703125" style="4" bestFit="1" customWidth="1"/>
    <col min="10880" max="10880" width="3.28515625" style="4" customWidth="1"/>
    <col min="10881" max="10881" width="8" style="4" customWidth="1"/>
    <col min="10882" max="10882" width="42.5703125" style="4" bestFit="1" customWidth="1"/>
    <col min="10883" max="10883" width="3.28515625" style="4" customWidth="1"/>
    <col min="10884" max="10884" width="8" style="4" customWidth="1"/>
    <col min="10885" max="10885" width="42.5703125" style="4" bestFit="1" customWidth="1"/>
    <col min="10886" max="10886" width="3.28515625" style="4" customWidth="1"/>
    <col min="10887" max="10887" width="8" style="4" customWidth="1"/>
    <col min="10888" max="10888" width="42.5703125" style="4" bestFit="1" customWidth="1"/>
    <col min="10889" max="10889" width="3.28515625" style="4" customWidth="1"/>
    <col min="10890" max="10890" width="8" style="4" customWidth="1"/>
    <col min="10891" max="10891" width="42.5703125" style="4" bestFit="1" customWidth="1"/>
    <col min="10892" max="10892" width="3.28515625" style="4" customWidth="1"/>
    <col min="10893" max="10893" width="8" style="4" customWidth="1"/>
    <col min="10894" max="10894" width="42.5703125" style="4" bestFit="1" customWidth="1"/>
    <col min="10895" max="10895" width="3.28515625" style="4" customWidth="1"/>
    <col min="10896" max="10896" width="8" style="4" customWidth="1"/>
    <col min="10897" max="10897" width="42.5703125" style="4" bestFit="1" customWidth="1"/>
    <col min="10898" max="10898" width="3.28515625" style="4" customWidth="1"/>
    <col min="10899" max="10899" width="8" style="4" customWidth="1"/>
    <col min="10900" max="10900" width="42.5703125" style="4" bestFit="1" customWidth="1"/>
    <col min="10901" max="10901" width="3.28515625" style="4" customWidth="1"/>
    <col min="10902" max="10902" width="8" style="4" customWidth="1"/>
    <col min="10903" max="10903" width="42.5703125" style="4" bestFit="1" customWidth="1"/>
    <col min="10904" max="10904" width="3.28515625" style="4" customWidth="1"/>
    <col min="10905" max="10905" width="8" style="4" customWidth="1"/>
    <col min="10906" max="10906" width="42.5703125" style="4" bestFit="1" customWidth="1"/>
    <col min="10907" max="10907" width="3.28515625" style="4" customWidth="1"/>
    <col min="10908" max="10908" width="8" style="4" customWidth="1"/>
    <col min="10909" max="10909" width="42.5703125" style="4" bestFit="1" customWidth="1"/>
    <col min="10910" max="10910" width="3.28515625" style="4" customWidth="1"/>
    <col min="10911" max="10911" width="8" style="4" customWidth="1"/>
    <col min="10912" max="10912" width="42.5703125" style="4" bestFit="1" customWidth="1"/>
    <col min="10913" max="10913" width="3.28515625" style="4" customWidth="1"/>
    <col min="10914" max="10914" width="8" style="4" customWidth="1"/>
    <col min="10915" max="10915" width="42.5703125" style="4" bestFit="1" customWidth="1"/>
    <col min="10916" max="10916" width="3.28515625" style="4" customWidth="1"/>
    <col min="10917" max="10917" width="8" style="4" customWidth="1"/>
    <col min="10918" max="10918" width="42.5703125" style="4" bestFit="1" customWidth="1"/>
    <col min="10919" max="10919" width="3.28515625" style="4" customWidth="1"/>
    <col min="10920" max="10920" width="8" style="4" customWidth="1"/>
    <col min="10921" max="10921" width="42.5703125" style="4" bestFit="1" customWidth="1"/>
    <col min="10922" max="10922" width="3.28515625" style="4" customWidth="1"/>
    <col min="10923" max="10923" width="8" style="4" customWidth="1"/>
    <col min="10924" max="10924" width="42.5703125" style="4" bestFit="1" customWidth="1"/>
    <col min="10925" max="10925" width="3.28515625" style="4" customWidth="1"/>
    <col min="10926" max="10926" width="8" style="4" customWidth="1"/>
    <col min="10927" max="10927" width="42.5703125" style="4" bestFit="1" customWidth="1"/>
    <col min="10928" max="10928" width="3.28515625" style="4" customWidth="1"/>
    <col min="10929" max="10929" width="8" style="4" customWidth="1"/>
    <col min="10930" max="10930" width="42.5703125" style="4" bestFit="1" customWidth="1"/>
    <col min="10931" max="10931" width="3.28515625" style="4" customWidth="1"/>
    <col min="10932" max="10932" width="8" style="4" customWidth="1"/>
    <col min="10933" max="10933" width="42.5703125" style="4" bestFit="1" customWidth="1"/>
    <col min="10934" max="10934" width="3.28515625" style="4" customWidth="1"/>
    <col min="10935" max="10935" width="8" style="4" customWidth="1"/>
    <col min="10936" max="10936" width="42.5703125" style="4" bestFit="1" customWidth="1"/>
    <col min="10937" max="10937" width="3.28515625" style="4" customWidth="1"/>
    <col min="10938" max="10938" width="8" style="4" customWidth="1"/>
    <col min="10939" max="10939" width="42.5703125" style="4" bestFit="1" customWidth="1"/>
    <col min="10940" max="10940" width="3.28515625" style="4" customWidth="1"/>
    <col min="10941" max="10941" width="8" style="4" customWidth="1"/>
    <col min="10942" max="10942" width="42.5703125" style="4" bestFit="1" customWidth="1"/>
    <col min="10943" max="10943" width="3.28515625" style="4" customWidth="1"/>
    <col min="10944" max="10944" width="8" style="4" customWidth="1"/>
    <col min="10945" max="10945" width="42.5703125" style="4" bestFit="1" customWidth="1"/>
    <col min="10946" max="10946" width="3.28515625" style="4" customWidth="1"/>
    <col min="10947" max="10947" width="8" style="4" customWidth="1"/>
    <col min="10948" max="10948" width="42.5703125" style="4" bestFit="1" customWidth="1"/>
    <col min="10949" max="10949" width="3.28515625" style="4" customWidth="1"/>
    <col min="10950" max="10950" width="8" style="4" customWidth="1"/>
    <col min="10951" max="10951" width="42.5703125" style="4" bestFit="1" customWidth="1"/>
    <col min="10952" max="10952" width="3.28515625" style="4" customWidth="1"/>
    <col min="10953" max="10953" width="8" style="4" customWidth="1"/>
    <col min="10954" max="10954" width="42.5703125" style="4" bestFit="1" customWidth="1"/>
    <col min="10955" max="10955" width="3.28515625" style="4" customWidth="1"/>
    <col min="10956" max="10956" width="8" style="4" customWidth="1"/>
    <col min="10957" max="10957" width="42.5703125" style="4" bestFit="1" customWidth="1"/>
    <col min="10958" max="10958" width="3.28515625" style="4" customWidth="1"/>
    <col min="10959" max="10959" width="8" style="4" customWidth="1"/>
    <col min="10960" max="10960" width="42.5703125" style="4" bestFit="1" customWidth="1"/>
    <col min="10961" max="10961" width="3.28515625" style="4" customWidth="1"/>
    <col min="10962" max="10962" width="8" style="4" customWidth="1"/>
    <col min="10963" max="10963" width="42.5703125" style="4" bestFit="1" customWidth="1"/>
    <col min="10964" max="10964" width="3.28515625" style="4" customWidth="1"/>
    <col min="10965" max="10965" width="8" style="4" customWidth="1"/>
    <col min="10966" max="10966" width="42.5703125" style="4" bestFit="1" customWidth="1"/>
    <col min="10967" max="10967" width="3.28515625" style="4" customWidth="1"/>
    <col min="10968" max="10968" width="8" style="4" customWidth="1"/>
    <col min="10969" max="10969" width="42.5703125" style="4" bestFit="1" customWidth="1"/>
    <col min="10970" max="10970" width="3.28515625" style="4" customWidth="1"/>
    <col min="10971" max="10971" width="8" style="4" customWidth="1"/>
    <col min="10972" max="10972" width="42.5703125" style="4" bestFit="1" customWidth="1"/>
    <col min="10973" max="10973" width="3.28515625" style="4" customWidth="1"/>
    <col min="10974" max="10974" width="8" style="4" customWidth="1"/>
    <col min="10975" max="10975" width="42.5703125" style="4" bestFit="1" customWidth="1"/>
    <col min="10976" max="10976" width="3.28515625" style="4" customWidth="1"/>
    <col min="10977" max="10977" width="8" style="4" customWidth="1"/>
    <col min="10978" max="10978" width="42.5703125" style="4" bestFit="1" customWidth="1"/>
    <col min="10979" max="10979" width="3.28515625" style="4" customWidth="1"/>
    <col min="10980" max="10980" width="8" style="4" customWidth="1"/>
    <col min="10981" max="10981" width="42.5703125" style="4" bestFit="1" customWidth="1"/>
    <col min="10982" max="10982" width="3.28515625" style="4" customWidth="1"/>
    <col min="10983" max="10983" width="8" style="4" customWidth="1"/>
    <col min="10984" max="10984" width="42.5703125" style="4" bestFit="1" customWidth="1"/>
    <col min="10985" max="10985" width="3.28515625" style="4" customWidth="1"/>
    <col min="10986" max="10986" width="8" style="4" customWidth="1"/>
    <col min="10987" max="10987" width="42.5703125" style="4" bestFit="1" customWidth="1"/>
    <col min="10988" max="10988" width="3.28515625" style="4" customWidth="1"/>
    <col min="10989" max="10989" width="8" style="4" customWidth="1"/>
    <col min="10990" max="10990" width="42.5703125" style="4" bestFit="1" customWidth="1"/>
    <col min="10991" max="10991" width="3.28515625" style="4" customWidth="1"/>
    <col min="10992" max="10992" width="8" style="4" customWidth="1"/>
    <col min="10993" max="10993" width="42.5703125" style="4" bestFit="1" customWidth="1"/>
    <col min="10994" max="10994" width="3.28515625" style="4" customWidth="1"/>
    <col min="10995" max="10995" width="8" style="4" customWidth="1"/>
    <col min="10996" max="10996" width="42.5703125" style="4" bestFit="1" customWidth="1"/>
    <col min="10997" max="10997" width="3.28515625" style="4" customWidth="1"/>
    <col min="10998" max="10998" width="8" style="4" customWidth="1"/>
    <col min="10999" max="10999" width="42.5703125" style="4" bestFit="1" customWidth="1"/>
    <col min="11000" max="11000" width="3.28515625" style="4" customWidth="1"/>
    <col min="11001" max="11001" width="8" style="4" customWidth="1"/>
    <col min="11002" max="11002" width="42.5703125" style="4" bestFit="1" customWidth="1"/>
    <col min="11003" max="11003" width="3.28515625" style="4" customWidth="1"/>
    <col min="11004" max="11004" width="8" style="4" customWidth="1"/>
    <col min="11005" max="11005" width="42.5703125" style="4" bestFit="1" customWidth="1"/>
    <col min="11006" max="11006" width="3.28515625" style="4" customWidth="1"/>
    <col min="11007" max="11007" width="8" style="4" customWidth="1"/>
    <col min="11008" max="11008" width="42.5703125" style="4" bestFit="1" customWidth="1"/>
    <col min="11009" max="11009" width="3.28515625" style="4" customWidth="1"/>
    <col min="11010" max="11010" width="8" style="4" customWidth="1"/>
    <col min="11011" max="11011" width="42.5703125" style="4" bestFit="1" customWidth="1"/>
    <col min="11012" max="11012" width="3.28515625" style="4" customWidth="1"/>
    <col min="11013" max="11013" width="8" style="4" customWidth="1"/>
    <col min="11014" max="11014" width="42.5703125" style="4" bestFit="1" customWidth="1"/>
    <col min="11015" max="11015" width="3.28515625" style="4" customWidth="1"/>
    <col min="11016" max="11016" width="8" style="4" customWidth="1"/>
    <col min="11017" max="11017" width="42.5703125" style="4" bestFit="1" customWidth="1"/>
    <col min="11018" max="11018" width="3.28515625" style="4" customWidth="1"/>
    <col min="11019" max="11019" width="8" style="4" customWidth="1"/>
    <col min="11020" max="11020" width="42.5703125" style="4" bestFit="1" customWidth="1"/>
    <col min="11021" max="11021" width="3.28515625" style="4" customWidth="1"/>
    <col min="11022" max="11022" width="8" style="4" customWidth="1"/>
    <col min="11023" max="11023" width="42.5703125" style="4" bestFit="1" customWidth="1"/>
    <col min="11024" max="11024" width="3.28515625" style="4" customWidth="1"/>
    <col min="11025" max="11025" width="8" style="4" customWidth="1"/>
    <col min="11026" max="11026" width="42.5703125" style="4" bestFit="1" customWidth="1"/>
    <col min="11027" max="11027" width="3.28515625" style="4" customWidth="1"/>
    <col min="11028" max="11028" width="8" style="4" customWidth="1"/>
    <col min="11029" max="11029" width="42.5703125" style="4" bestFit="1" customWidth="1"/>
    <col min="11030" max="11030" width="3.28515625" style="4" customWidth="1"/>
    <col min="11031" max="11031" width="8" style="4" customWidth="1"/>
    <col min="11032" max="11032" width="42.5703125" style="4" bestFit="1" customWidth="1"/>
    <col min="11033" max="11033" width="3.28515625" style="4" customWidth="1"/>
    <col min="11034" max="11034" width="8" style="4" customWidth="1"/>
    <col min="11035" max="11035" width="42.5703125" style="4" bestFit="1" customWidth="1"/>
    <col min="11036" max="11036" width="3.28515625" style="4" customWidth="1"/>
    <col min="11037" max="11037" width="8" style="4" customWidth="1"/>
    <col min="11038" max="11038" width="42.5703125" style="4" bestFit="1" customWidth="1"/>
    <col min="11039" max="11039" width="3.28515625" style="4" customWidth="1"/>
    <col min="11040" max="11040" width="8" style="4" customWidth="1"/>
    <col min="11041" max="11041" width="42.5703125" style="4" bestFit="1" customWidth="1"/>
    <col min="11042" max="11042" width="3.28515625" style="4" customWidth="1"/>
    <col min="11043" max="11043" width="8" style="4" customWidth="1"/>
    <col min="11044" max="11044" width="42.5703125" style="4" bestFit="1" customWidth="1"/>
    <col min="11045" max="11045" width="3.28515625" style="4" customWidth="1"/>
    <col min="11046" max="11046" width="8" style="4" customWidth="1"/>
    <col min="11047" max="11047" width="42.5703125" style="4" bestFit="1" customWidth="1"/>
    <col min="11048" max="11048" width="3.28515625" style="4" customWidth="1"/>
    <col min="11049" max="11049" width="8" style="4" customWidth="1"/>
    <col min="11050" max="11050" width="42.5703125" style="4" bestFit="1" customWidth="1"/>
    <col min="11051" max="11051" width="3.28515625" style="4" customWidth="1"/>
    <col min="11052" max="11052" width="8" style="4" customWidth="1"/>
    <col min="11053" max="11053" width="42.5703125" style="4" bestFit="1" customWidth="1"/>
    <col min="11054" max="11054" width="3.28515625" style="4" customWidth="1"/>
    <col min="11055" max="11055" width="8" style="4" customWidth="1"/>
    <col min="11056" max="11056" width="42.5703125" style="4" bestFit="1" customWidth="1"/>
    <col min="11057" max="11057" width="3.28515625" style="4" customWidth="1"/>
    <col min="11058" max="11058" width="8" style="4" customWidth="1"/>
    <col min="11059" max="11059" width="42.5703125" style="4" bestFit="1" customWidth="1"/>
    <col min="11060" max="11060" width="3.28515625" style="4" customWidth="1"/>
    <col min="11061" max="11061" width="8" style="4" customWidth="1"/>
    <col min="11062" max="11062" width="42.5703125" style="4" bestFit="1" customWidth="1"/>
    <col min="11063" max="11063" width="3.28515625" style="4" customWidth="1"/>
    <col min="11064" max="11064" width="8" style="4" customWidth="1"/>
    <col min="11065" max="11065" width="42.5703125" style="4" bestFit="1" customWidth="1"/>
    <col min="11066" max="11066" width="3.28515625" style="4" customWidth="1"/>
    <col min="11067" max="11067" width="8" style="4" customWidth="1"/>
    <col min="11068" max="11068" width="42.5703125" style="4" bestFit="1" customWidth="1"/>
    <col min="11069" max="11069" width="3.28515625" style="4" customWidth="1"/>
    <col min="11070" max="11070" width="8" style="4" customWidth="1"/>
    <col min="11071" max="11071" width="42.5703125" style="4" bestFit="1" customWidth="1"/>
    <col min="11072" max="11072" width="3.28515625" style="4" customWidth="1"/>
    <col min="11073" max="11073" width="8" style="4" customWidth="1"/>
    <col min="11074" max="11074" width="42.5703125" style="4" bestFit="1" customWidth="1"/>
    <col min="11075" max="11075" width="3.28515625" style="4" customWidth="1"/>
    <col min="11076" max="11076" width="8" style="4" customWidth="1"/>
    <col min="11077" max="11077" width="42.5703125" style="4" bestFit="1" customWidth="1"/>
    <col min="11078" max="11078" width="3.28515625" style="4" customWidth="1"/>
    <col min="11079" max="11079" width="8" style="4" customWidth="1"/>
    <col min="11080" max="11080" width="42.5703125" style="4" bestFit="1" customWidth="1"/>
    <col min="11081" max="11081" width="3.28515625" style="4" customWidth="1"/>
    <col min="11082" max="11082" width="8" style="4" customWidth="1"/>
    <col min="11083" max="11083" width="42.5703125" style="4" bestFit="1" customWidth="1"/>
    <col min="11084" max="11084" width="3.28515625" style="4" customWidth="1"/>
    <col min="11085" max="11085" width="8" style="4" customWidth="1"/>
    <col min="11086" max="11086" width="42.5703125" style="4" bestFit="1" customWidth="1"/>
    <col min="11087" max="11087" width="3.28515625" style="4" customWidth="1"/>
    <col min="11088" max="11088" width="8" style="4" customWidth="1"/>
    <col min="11089" max="11089" width="42.5703125" style="4" bestFit="1" customWidth="1"/>
    <col min="11090" max="11090" width="3.28515625" style="4" customWidth="1"/>
    <col min="11091" max="11091" width="8" style="4" customWidth="1"/>
    <col min="11092" max="11092" width="42.5703125" style="4" bestFit="1" customWidth="1"/>
    <col min="11093" max="11093" width="3.28515625" style="4" customWidth="1"/>
    <col min="11094" max="11094" width="8" style="4" customWidth="1"/>
    <col min="11095" max="11095" width="42.5703125" style="4" bestFit="1" customWidth="1"/>
    <col min="11096" max="11096" width="3.28515625" style="4" customWidth="1"/>
    <col min="11097" max="11097" width="8" style="4" customWidth="1"/>
    <col min="11098" max="11098" width="42.5703125" style="4" bestFit="1" customWidth="1"/>
    <col min="11099" max="11099" width="3.28515625" style="4" customWidth="1"/>
    <col min="11100" max="11100" width="8" style="4" customWidth="1"/>
    <col min="11101" max="11101" width="42.5703125" style="4" bestFit="1" customWidth="1"/>
    <col min="11102" max="11102" width="3.28515625" style="4" customWidth="1"/>
    <col min="11103" max="11103" width="8" style="4" customWidth="1"/>
    <col min="11104" max="11104" width="42.5703125" style="4" bestFit="1" customWidth="1"/>
    <col min="11105" max="11105" width="3.28515625" style="4" customWidth="1"/>
    <col min="11106" max="11106" width="8" style="4" customWidth="1"/>
    <col min="11107" max="11107" width="42.5703125" style="4" bestFit="1" customWidth="1"/>
    <col min="11108" max="11108" width="3.28515625" style="4" customWidth="1"/>
    <col min="11109" max="11109" width="8" style="4" customWidth="1"/>
    <col min="11110" max="11110" width="42.5703125" style="4" bestFit="1" customWidth="1"/>
    <col min="11111" max="11111" width="3.28515625" style="4" customWidth="1"/>
    <col min="11112" max="11112" width="8" style="4" customWidth="1"/>
    <col min="11113" max="11113" width="42.5703125" style="4" bestFit="1" customWidth="1"/>
    <col min="11114" max="11114" width="3.28515625" style="4" customWidth="1"/>
    <col min="11115" max="11115" width="8" style="4" customWidth="1"/>
    <col min="11116" max="11116" width="42.5703125" style="4" bestFit="1" customWidth="1"/>
    <col min="11117" max="11117" width="3.28515625" style="4" customWidth="1"/>
    <col min="11118" max="11118" width="8" style="4" customWidth="1"/>
    <col min="11119" max="11119" width="42.5703125" style="4" bestFit="1" customWidth="1"/>
    <col min="11120" max="11120" width="3.28515625" style="4" customWidth="1"/>
    <col min="11121" max="11121" width="8" style="4" customWidth="1"/>
    <col min="11122" max="11122" width="42.5703125" style="4" bestFit="1" customWidth="1"/>
    <col min="11123" max="11123" width="3.28515625" style="4" customWidth="1"/>
    <col min="11124" max="11124" width="8" style="4" customWidth="1"/>
    <col min="11125" max="11125" width="42.5703125" style="4" bestFit="1" customWidth="1"/>
    <col min="11126" max="11126" width="3.28515625" style="4" customWidth="1"/>
    <col min="11127" max="11127" width="8" style="4" customWidth="1"/>
    <col min="11128" max="11128" width="42.5703125" style="4" bestFit="1" customWidth="1"/>
    <col min="11129" max="11129" width="3.28515625" style="4" customWidth="1"/>
    <col min="11130" max="11130" width="8" style="4" customWidth="1"/>
    <col min="11131" max="11131" width="42.5703125" style="4" bestFit="1" customWidth="1"/>
    <col min="11132" max="11132" width="3.28515625" style="4" customWidth="1"/>
    <col min="11133" max="11133" width="8" style="4" customWidth="1"/>
    <col min="11134" max="11134" width="42.5703125" style="4" bestFit="1" customWidth="1"/>
    <col min="11135" max="11135" width="3.28515625" style="4" customWidth="1"/>
    <col min="11136" max="11136" width="8" style="4" customWidth="1"/>
    <col min="11137" max="11137" width="42.5703125" style="4" bestFit="1" customWidth="1"/>
    <col min="11138" max="11138" width="3.28515625" style="4" customWidth="1"/>
    <col min="11139" max="11139" width="8" style="4" customWidth="1"/>
    <col min="11140" max="11140" width="42.5703125" style="4" bestFit="1" customWidth="1"/>
    <col min="11141" max="11141" width="3.28515625" style="4" customWidth="1"/>
    <col min="11142" max="11142" width="8" style="4" customWidth="1"/>
    <col min="11143" max="11143" width="42.5703125" style="4" bestFit="1" customWidth="1"/>
    <col min="11144" max="11144" width="3.28515625" style="4" customWidth="1"/>
    <col min="11145" max="11145" width="8" style="4" customWidth="1"/>
    <col min="11146" max="11146" width="42.5703125" style="4" bestFit="1" customWidth="1"/>
    <col min="11147" max="11147" width="3.28515625" style="4" customWidth="1"/>
    <col min="11148" max="11148" width="8" style="4" customWidth="1"/>
    <col min="11149" max="11149" width="42.5703125" style="4" bestFit="1" customWidth="1"/>
    <col min="11150" max="11150" width="3.28515625" style="4" customWidth="1"/>
    <col min="11151" max="11151" width="8" style="4" customWidth="1"/>
    <col min="11152" max="11152" width="42.5703125" style="4" bestFit="1" customWidth="1"/>
    <col min="11153" max="11153" width="3.28515625" style="4" customWidth="1"/>
    <col min="11154" max="11154" width="8" style="4" customWidth="1"/>
    <col min="11155" max="11155" width="42.5703125" style="4" bestFit="1" customWidth="1"/>
    <col min="11156" max="11156" width="3.28515625" style="4" customWidth="1"/>
    <col min="11157" max="11157" width="8" style="4" customWidth="1"/>
    <col min="11158" max="11158" width="42.5703125" style="4" bestFit="1" customWidth="1"/>
    <col min="11159" max="11159" width="3.28515625" style="4" customWidth="1"/>
    <col min="11160" max="11160" width="8" style="4" customWidth="1"/>
    <col min="11161" max="11161" width="42.5703125" style="4" bestFit="1" customWidth="1"/>
    <col min="11162" max="11162" width="3.28515625" style="4" customWidth="1"/>
    <col min="11163" max="11163" width="8" style="4" customWidth="1"/>
    <col min="11164" max="11164" width="42.5703125" style="4" bestFit="1" customWidth="1"/>
    <col min="11165" max="11165" width="3.28515625" style="4" customWidth="1"/>
    <col min="11166" max="11166" width="8" style="4" customWidth="1"/>
    <col min="11167" max="11167" width="42.5703125" style="4" bestFit="1" customWidth="1"/>
    <col min="11168" max="11168" width="3.28515625" style="4" customWidth="1"/>
    <col min="11169" max="11169" width="8" style="4" customWidth="1"/>
    <col min="11170" max="11170" width="42.5703125" style="4" bestFit="1" customWidth="1"/>
    <col min="11171" max="11171" width="3.28515625" style="4" customWidth="1"/>
    <col min="11172" max="11172" width="8" style="4" customWidth="1"/>
    <col min="11173" max="11173" width="42.5703125" style="4" bestFit="1" customWidth="1"/>
    <col min="11174" max="11174" width="3.28515625" style="4" customWidth="1"/>
    <col min="11175" max="11175" width="8" style="4" customWidth="1"/>
    <col min="11176" max="11176" width="42.5703125" style="4" bestFit="1" customWidth="1"/>
    <col min="11177" max="11177" width="3.28515625" style="4" customWidth="1"/>
    <col min="11178" max="11178" width="8" style="4" customWidth="1"/>
    <col min="11179" max="11179" width="42.5703125" style="4" bestFit="1" customWidth="1"/>
    <col min="11180" max="11180" width="3.28515625" style="4" customWidth="1"/>
    <col min="11181" max="11181" width="8" style="4" customWidth="1"/>
    <col min="11182" max="11182" width="42.5703125" style="4" bestFit="1" customWidth="1"/>
    <col min="11183" max="11183" width="3.28515625" style="4" customWidth="1"/>
    <col min="11184" max="11184" width="8" style="4" customWidth="1"/>
    <col min="11185" max="11185" width="42.5703125" style="4" bestFit="1" customWidth="1"/>
    <col min="11186" max="11186" width="3.28515625" style="4" customWidth="1"/>
    <col min="11187" max="11187" width="8" style="4" customWidth="1"/>
    <col min="11188" max="11188" width="42.5703125" style="4" bestFit="1" customWidth="1"/>
    <col min="11189" max="11189" width="3.28515625" style="4" customWidth="1"/>
    <col min="11190" max="11190" width="8" style="4" customWidth="1"/>
    <col min="11191" max="11191" width="42.5703125" style="4" bestFit="1" customWidth="1"/>
    <col min="11192" max="11192" width="3.28515625" style="4" customWidth="1"/>
    <col min="11193" max="11193" width="8" style="4" customWidth="1"/>
    <col min="11194" max="11194" width="42.5703125" style="4" bestFit="1" customWidth="1"/>
    <col min="11195" max="11195" width="3.28515625" style="4" customWidth="1"/>
    <col min="11196" max="11196" width="8" style="4" customWidth="1"/>
    <col min="11197" max="11197" width="42.5703125" style="4" bestFit="1" customWidth="1"/>
    <col min="11198" max="11198" width="3.28515625" style="4" customWidth="1"/>
    <col min="11199" max="11199" width="8" style="4" customWidth="1"/>
    <col min="11200" max="11200" width="42.5703125" style="4" bestFit="1" customWidth="1"/>
    <col min="11201" max="11201" width="3.28515625" style="4" customWidth="1"/>
    <col min="11202" max="11202" width="8" style="4" customWidth="1"/>
    <col min="11203" max="11203" width="42.5703125" style="4" bestFit="1" customWidth="1"/>
    <col min="11204" max="11204" width="3.28515625" style="4" customWidth="1"/>
    <col min="11205" max="11205" width="8" style="4" customWidth="1"/>
    <col min="11206" max="11206" width="42.5703125" style="4" bestFit="1" customWidth="1"/>
    <col min="11207" max="11207" width="3.28515625" style="4" customWidth="1"/>
    <col min="11208" max="11208" width="8" style="4" customWidth="1"/>
    <col min="11209" max="11209" width="42.5703125" style="4" bestFit="1" customWidth="1"/>
    <col min="11210" max="11210" width="3.28515625" style="4" customWidth="1"/>
    <col min="11211" max="11211" width="8" style="4" customWidth="1"/>
    <col min="11212" max="11212" width="42.5703125" style="4" bestFit="1" customWidth="1"/>
    <col min="11213" max="11213" width="3.28515625" style="4" customWidth="1"/>
    <col min="11214" max="11214" width="8" style="4" customWidth="1"/>
    <col min="11215" max="11215" width="42.5703125" style="4" bestFit="1" customWidth="1"/>
    <col min="11216" max="11216" width="3.28515625" style="4" customWidth="1"/>
    <col min="11217" max="11217" width="8" style="4" customWidth="1"/>
    <col min="11218" max="11218" width="42.5703125" style="4" bestFit="1" customWidth="1"/>
    <col min="11219" max="11219" width="3.28515625" style="4" customWidth="1"/>
    <col min="11220" max="11220" width="8" style="4" customWidth="1"/>
    <col min="11221" max="11221" width="42.5703125" style="4" bestFit="1" customWidth="1"/>
    <col min="11222" max="11222" width="3.28515625" style="4" customWidth="1"/>
    <col min="11223" max="11223" width="8" style="4" customWidth="1"/>
    <col min="11224" max="11224" width="42.5703125" style="4" bestFit="1" customWidth="1"/>
    <col min="11225" max="11225" width="3.28515625" style="4" customWidth="1"/>
    <col min="11226" max="11226" width="8" style="4" customWidth="1"/>
    <col min="11227" max="11227" width="42.5703125" style="4" bestFit="1" customWidth="1"/>
    <col min="11228" max="11228" width="3.28515625" style="4" customWidth="1"/>
    <col min="11229" max="11229" width="8" style="4" customWidth="1"/>
    <col min="11230" max="11230" width="42.5703125" style="4" bestFit="1" customWidth="1"/>
    <col min="11231" max="11231" width="3.28515625" style="4" customWidth="1"/>
    <col min="11232" max="11232" width="8" style="4" customWidth="1"/>
    <col min="11233" max="11233" width="42.5703125" style="4" bestFit="1" customWidth="1"/>
    <col min="11234" max="11234" width="3.28515625" style="4" customWidth="1"/>
    <col min="11235" max="11235" width="8" style="4" customWidth="1"/>
    <col min="11236" max="11236" width="42.5703125" style="4" bestFit="1" customWidth="1"/>
    <col min="11237" max="11237" width="3.28515625" style="4" customWidth="1"/>
    <col min="11238" max="11238" width="8" style="4" customWidth="1"/>
    <col min="11239" max="11239" width="42.5703125" style="4" bestFit="1" customWidth="1"/>
    <col min="11240" max="11240" width="3.28515625" style="4" customWidth="1"/>
    <col min="11241" max="11241" width="8" style="4" customWidth="1"/>
    <col min="11242" max="11242" width="42.5703125" style="4" bestFit="1" customWidth="1"/>
    <col min="11243" max="11243" width="3.28515625" style="4" customWidth="1"/>
    <col min="11244" max="11244" width="8" style="4" customWidth="1"/>
    <col min="11245" max="11245" width="42.5703125" style="4" bestFit="1" customWidth="1"/>
    <col min="11246" max="11246" width="3.28515625" style="4" customWidth="1"/>
    <col min="11247" max="11247" width="8" style="4" customWidth="1"/>
    <col min="11248" max="11248" width="42.5703125" style="4" bestFit="1" customWidth="1"/>
    <col min="11249" max="11249" width="3.28515625" style="4" customWidth="1"/>
    <col min="11250" max="11250" width="8" style="4" customWidth="1"/>
    <col min="11251" max="11251" width="42.5703125" style="4" bestFit="1" customWidth="1"/>
    <col min="11252" max="11252" width="3.28515625" style="4" customWidth="1"/>
    <col min="11253" max="11253" width="8" style="4" customWidth="1"/>
    <col min="11254" max="11254" width="42.5703125" style="4" bestFit="1" customWidth="1"/>
    <col min="11255" max="11255" width="3.28515625" style="4" customWidth="1"/>
    <col min="11256" max="11256" width="8" style="4" customWidth="1"/>
    <col min="11257" max="11257" width="42.5703125" style="4" bestFit="1" customWidth="1"/>
    <col min="11258" max="11258" width="3.28515625" style="4" customWidth="1"/>
    <col min="11259" max="11259" width="8" style="4" customWidth="1"/>
    <col min="11260" max="11260" width="42.5703125" style="4" bestFit="1" customWidth="1"/>
    <col min="11261" max="11261" width="3.28515625" style="4" customWidth="1"/>
    <col min="11262" max="11262" width="8" style="4" customWidth="1"/>
    <col min="11263" max="11263" width="42.5703125" style="4" bestFit="1" customWidth="1"/>
    <col min="11264" max="11264" width="3.28515625" style="4" customWidth="1"/>
    <col min="11265" max="11265" width="8" style="4" customWidth="1"/>
    <col min="11266" max="11266" width="42.5703125" style="4" bestFit="1" customWidth="1"/>
    <col min="11267" max="11267" width="3.28515625" style="4" customWidth="1"/>
    <col min="11268" max="11268" width="8" style="4" customWidth="1"/>
    <col min="11269" max="11269" width="42.5703125" style="4" bestFit="1" customWidth="1"/>
    <col min="11270" max="11270" width="3.28515625" style="4" customWidth="1"/>
    <col min="11271" max="11271" width="8" style="4" customWidth="1"/>
    <col min="11272" max="11272" width="42.5703125" style="4" bestFit="1" customWidth="1"/>
    <col min="11273" max="11273" width="3.28515625" style="4" customWidth="1"/>
    <col min="11274" max="11274" width="8" style="4" customWidth="1"/>
    <col min="11275" max="11275" width="42.5703125" style="4" bestFit="1" customWidth="1"/>
    <col min="11276" max="11276" width="3.28515625" style="4" customWidth="1"/>
    <col min="11277" max="11277" width="8" style="4" customWidth="1"/>
    <col min="11278" max="11278" width="42.5703125" style="4" bestFit="1" customWidth="1"/>
    <col min="11279" max="11279" width="3.28515625" style="4" customWidth="1"/>
    <col min="11280" max="11280" width="8" style="4" customWidth="1"/>
    <col min="11281" max="11281" width="42.5703125" style="4" bestFit="1" customWidth="1"/>
    <col min="11282" max="11282" width="3.28515625" style="4" customWidth="1"/>
    <col min="11283" max="11283" width="8" style="4" customWidth="1"/>
    <col min="11284" max="11284" width="42.5703125" style="4" bestFit="1" customWidth="1"/>
    <col min="11285" max="11285" width="3.28515625" style="4" customWidth="1"/>
    <col min="11286" max="11286" width="8" style="4" customWidth="1"/>
    <col min="11287" max="11287" width="42.5703125" style="4" bestFit="1" customWidth="1"/>
    <col min="11288" max="11288" width="3.28515625" style="4" customWidth="1"/>
    <col min="11289" max="11289" width="8" style="4" customWidth="1"/>
    <col min="11290" max="11290" width="42.5703125" style="4" bestFit="1" customWidth="1"/>
    <col min="11291" max="11291" width="3.28515625" style="4" customWidth="1"/>
    <col min="11292" max="11292" width="8" style="4" customWidth="1"/>
    <col min="11293" max="11293" width="42.5703125" style="4" bestFit="1" customWidth="1"/>
    <col min="11294" max="11294" width="3.28515625" style="4" customWidth="1"/>
    <col min="11295" max="11295" width="8" style="4" customWidth="1"/>
    <col min="11296" max="11296" width="42.5703125" style="4" bestFit="1" customWidth="1"/>
    <col min="11297" max="11297" width="3.28515625" style="4" customWidth="1"/>
    <col min="11298" max="11298" width="8" style="4" customWidth="1"/>
    <col min="11299" max="11299" width="42.5703125" style="4" bestFit="1" customWidth="1"/>
    <col min="11300" max="11300" width="3.28515625" style="4" customWidth="1"/>
    <col min="11301" max="11301" width="8" style="4" customWidth="1"/>
    <col min="11302" max="11302" width="42.5703125" style="4" bestFit="1" customWidth="1"/>
    <col min="11303" max="11303" width="3.28515625" style="4" customWidth="1"/>
    <col min="11304" max="11304" width="8" style="4" customWidth="1"/>
    <col min="11305" max="11305" width="42.5703125" style="4" bestFit="1" customWidth="1"/>
    <col min="11306" max="11306" width="3.28515625" style="4" customWidth="1"/>
    <col min="11307" max="11307" width="8" style="4" customWidth="1"/>
    <col min="11308" max="11308" width="42.5703125" style="4" bestFit="1" customWidth="1"/>
    <col min="11309" max="11309" width="3.28515625" style="4" customWidth="1"/>
    <col min="11310" max="11310" width="8" style="4" customWidth="1"/>
    <col min="11311" max="11311" width="42.5703125" style="4" bestFit="1" customWidth="1"/>
    <col min="11312" max="11312" width="3.28515625" style="4" customWidth="1"/>
    <col min="11313" max="11313" width="8" style="4" customWidth="1"/>
    <col min="11314" max="11314" width="42.5703125" style="4" bestFit="1" customWidth="1"/>
    <col min="11315" max="11315" width="3.28515625" style="4" customWidth="1"/>
    <col min="11316" max="11316" width="8" style="4" customWidth="1"/>
    <col min="11317" max="11317" width="42.5703125" style="4" bestFit="1" customWidth="1"/>
    <col min="11318" max="11318" width="3.28515625" style="4" customWidth="1"/>
    <col min="11319" max="11319" width="8" style="4" customWidth="1"/>
    <col min="11320" max="11320" width="42.5703125" style="4" bestFit="1" customWidth="1"/>
    <col min="11321" max="11321" width="3.28515625" style="4" customWidth="1"/>
    <col min="11322" max="11322" width="8" style="4" customWidth="1"/>
    <col min="11323" max="11323" width="42.5703125" style="4" bestFit="1" customWidth="1"/>
    <col min="11324" max="11324" width="3.28515625" style="4" customWidth="1"/>
    <col min="11325" max="11325" width="8" style="4" customWidth="1"/>
    <col min="11326" max="11326" width="42.5703125" style="4" bestFit="1" customWidth="1"/>
    <col min="11327" max="11327" width="3.28515625" style="4" customWidth="1"/>
    <col min="11328" max="11328" width="8" style="4" customWidth="1"/>
    <col min="11329" max="11329" width="42.5703125" style="4" bestFit="1" customWidth="1"/>
    <col min="11330" max="11330" width="3.28515625" style="4" customWidth="1"/>
    <col min="11331" max="11331" width="8" style="4" customWidth="1"/>
    <col min="11332" max="11332" width="42.5703125" style="4" bestFit="1" customWidth="1"/>
    <col min="11333" max="11333" width="3.28515625" style="4" customWidth="1"/>
    <col min="11334" max="11334" width="8" style="4" customWidth="1"/>
    <col min="11335" max="11335" width="42.5703125" style="4" bestFit="1" customWidth="1"/>
    <col min="11336" max="11336" width="3.28515625" style="4" customWidth="1"/>
    <col min="11337" max="11337" width="8" style="4" customWidth="1"/>
    <col min="11338" max="11338" width="42.5703125" style="4" bestFit="1" customWidth="1"/>
    <col min="11339" max="11339" width="3.28515625" style="4" customWidth="1"/>
    <col min="11340" max="11340" width="8" style="4" customWidth="1"/>
    <col min="11341" max="11341" width="42.5703125" style="4" bestFit="1" customWidth="1"/>
    <col min="11342" max="11342" width="3.28515625" style="4" customWidth="1"/>
    <col min="11343" max="11343" width="8" style="4" customWidth="1"/>
    <col min="11344" max="11344" width="42.5703125" style="4" bestFit="1" customWidth="1"/>
    <col min="11345" max="11345" width="3.28515625" style="4" customWidth="1"/>
    <col min="11346" max="11346" width="8" style="4" customWidth="1"/>
    <col min="11347" max="11347" width="42.5703125" style="4" bestFit="1" customWidth="1"/>
    <col min="11348" max="11348" width="3.28515625" style="4" customWidth="1"/>
    <col min="11349" max="11349" width="8" style="4" customWidth="1"/>
    <col min="11350" max="11350" width="42.5703125" style="4" bestFit="1" customWidth="1"/>
    <col min="11351" max="11351" width="3.28515625" style="4" customWidth="1"/>
    <col min="11352" max="11352" width="8" style="4" customWidth="1"/>
    <col min="11353" max="11353" width="42.5703125" style="4" bestFit="1" customWidth="1"/>
    <col min="11354" max="11354" width="3.28515625" style="4" customWidth="1"/>
    <col min="11355" max="11355" width="8" style="4" customWidth="1"/>
    <col min="11356" max="11356" width="42.5703125" style="4" bestFit="1" customWidth="1"/>
    <col min="11357" max="11357" width="3.28515625" style="4" customWidth="1"/>
    <col min="11358" max="11358" width="8" style="4" customWidth="1"/>
    <col min="11359" max="11359" width="42.5703125" style="4" bestFit="1" customWidth="1"/>
    <col min="11360" max="11360" width="3.28515625" style="4" customWidth="1"/>
    <col min="11361" max="11361" width="8" style="4" customWidth="1"/>
    <col min="11362" max="11362" width="42.5703125" style="4" bestFit="1" customWidth="1"/>
    <col min="11363" max="11363" width="3.28515625" style="4" customWidth="1"/>
    <col min="11364" max="11364" width="8" style="4" customWidth="1"/>
    <col min="11365" max="11365" width="42.5703125" style="4" bestFit="1" customWidth="1"/>
    <col min="11366" max="11366" width="3.28515625" style="4" customWidth="1"/>
    <col min="11367" max="11367" width="8" style="4" customWidth="1"/>
    <col min="11368" max="11368" width="42.5703125" style="4" bestFit="1" customWidth="1"/>
    <col min="11369" max="11369" width="3.28515625" style="4" customWidth="1"/>
    <col min="11370" max="11370" width="8" style="4" customWidth="1"/>
    <col min="11371" max="11371" width="42.5703125" style="4" bestFit="1" customWidth="1"/>
    <col min="11372" max="11372" width="3.28515625" style="4" customWidth="1"/>
    <col min="11373" max="11373" width="8" style="4" customWidth="1"/>
    <col min="11374" max="11374" width="42.5703125" style="4" bestFit="1" customWidth="1"/>
    <col min="11375" max="11375" width="3.28515625" style="4" customWidth="1"/>
    <col min="11376" max="11376" width="8" style="4" customWidth="1"/>
    <col min="11377" max="11377" width="42.5703125" style="4" bestFit="1" customWidth="1"/>
    <col min="11378" max="11378" width="3.28515625" style="4" customWidth="1"/>
    <col min="11379" max="11379" width="8" style="4" customWidth="1"/>
    <col min="11380" max="11380" width="42.5703125" style="4" bestFit="1" customWidth="1"/>
    <col min="11381" max="11381" width="3.28515625" style="4" customWidth="1"/>
    <col min="11382" max="11382" width="8" style="4" customWidth="1"/>
    <col min="11383" max="11383" width="42.5703125" style="4" bestFit="1" customWidth="1"/>
    <col min="11384" max="11384" width="3.28515625" style="4" customWidth="1"/>
    <col min="11385" max="11385" width="8" style="4" customWidth="1"/>
    <col min="11386" max="11386" width="42.5703125" style="4" bestFit="1" customWidth="1"/>
    <col min="11387" max="11387" width="3.28515625" style="4" customWidth="1"/>
    <col min="11388" max="11388" width="8" style="4" customWidth="1"/>
    <col min="11389" max="11389" width="42.5703125" style="4" bestFit="1" customWidth="1"/>
    <col min="11390" max="11390" width="3.28515625" style="4" customWidth="1"/>
    <col min="11391" max="11391" width="8" style="4" customWidth="1"/>
    <col min="11392" max="11392" width="42.5703125" style="4" bestFit="1" customWidth="1"/>
    <col min="11393" max="11393" width="3.28515625" style="4" customWidth="1"/>
    <col min="11394" max="11394" width="8" style="4" customWidth="1"/>
    <col min="11395" max="11395" width="42.5703125" style="4" bestFit="1" customWidth="1"/>
    <col min="11396" max="11396" width="3.28515625" style="4" customWidth="1"/>
    <col min="11397" max="11397" width="8" style="4" customWidth="1"/>
    <col min="11398" max="11398" width="42.5703125" style="4" bestFit="1" customWidth="1"/>
    <col min="11399" max="11399" width="3.28515625" style="4" customWidth="1"/>
    <col min="11400" max="11400" width="8" style="4" customWidth="1"/>
    <col min="11401" max="11401" width="42.5703125" style="4" bestFit="1" customWidth="1"/>
    <col min="11402" max="11402" width="3.28515625" style="4" customWidth="1"/>
    <col min="11403" max="11403" width="8" style="4" customWidth="1"/>
    <col min="11404" max="11404" width="42.5703125" style="4" bestFit="1" customWidth="1"/>
    <col min="11405" max="11405" width="3.28515625" style="4" customWidth="1"/>
    <col min="11406" max="11406" width="8" style="4" customWidth="1"/>
    <col min="11407" max="11407" width="42.5703125" style="4" bestFit="1" customWidth="1"/>
    <col min="11408" max="11408" width="3.28515625" style="4" customWidth="1"/>
    <col min="11409" max="11409" width="8" style="4" customWidth="1"/>
    <col min="11410" max="11410" width="42.5703125" style="4" bestFit="1" customWidth="1"/>
    <col min="11411" max="11411" width="3.28515625" style="4" customWidth="1"/>
    <col min="11412" max="11412" width="8" style="4" customWidth="1"/>
    <col min="11413" max="11413" width="42.5703125" style="4" bestFit="1" customWidth="1"/>
    <col min="11414" max="11414" width="3.28515625" style="4" customWidth="1"/>
    <col min="11415" max="11415" width="8" style="4" customWidth="1"/>
    <col min="11416" max="11416" width="42.5703125" style="4" bestFit="1" customWidth="1"/>
    <col min="11417" max="11417" width="3.28515625" style="4" customWidth="1"/>
    <col min="11418" max="11418" width="8" style="4" customWidth="1"/>
    <col min="11419" max="11419" width="42.5703125" style="4" bestFit="1" customWidth="1"/>
    <col min="11420" max="11420" width="3.28515625" style="4" customWidth="1"/>
    <col min="11421" max="11421" width="8" style="4" customWidth="1"/>
    <col min="11422" max="11422" width="42.5703125" style="4" bestFit="1" customWidth="1"/>
    <col min="11423" max="11423" width="3.28515625" style="4" customWidth="1"/>
    <col min="11424" max="11424" width="8" style="4" customWidth="1"/>
    <col min="11425" max="11425" width="42.5703125" style="4" bestFit="1" customWidth="1"/>
    <col min="11426" max="11426" width="3.28515625" style="4" customWidth="1"/>
    <col min="11427" max="11427" width="8" style="4" customWidth="1"/>
    <col min="11428" max="11428" width="42.5703125" style="4" bestFit="1" customWidth="1"/>
    <col min="11429" max="11429" width="3.28515625" style="4" customWidth="1"/>
    <col min="11430" max="11430" width="8" style="4" customWidth="1"/>
    <col min="11431" max="11431" width="42.5703125" style="4" bestFit="1" customWidth="1"/>
    <col min="11432" max="11432" width="3.28515625" style="4" customWidth="1"/>
    <col min="11433" max="11433" width="8" style="4" customWidth="1"/>
    <col min="11434" max="11434" width="42.5703125" style="4" bestFit="1" customWidth="1"/>
    <col min="11435" max="11435" width="3.28515625" style="4" customWidth="1"/>
    <col min="11436" max="11436" width="8" style="4" customWidth="1"/>
    <col min="11437" max="11437" width="42.5703125" style="4" bestFit="1" customWidth="1"/>
    <col min="11438" max="11438" width="3.28515625" style="4" customWidth="1"/>
    <col min="11439" max="11439" width="8" style="4" customWidth="1"/>
    <col min="11440" max="11440" width="42.5703125" style="4" bestFit="1" customWidth="1"/>
    <col min="11441" max="11441" width="3.28515625" style="4" customWidth="1"/>
    <col min="11442" max="11442" width="8" style="4" customWidth="1"/>
    <col min="11443" max="11443" width="42.5703125" style="4" bestFit="1" customWidth="1"/>
    <col min="11444" max="11444" width="3.28515625" style="4" customWidth="1"/>
    <col min="11445" max="11445" width="8" style="4" customWidth="1"/>
    <col min="11446" max="11446" width="42.5703125" style="4" bestFit="1" customWidth="1"/>
    <col min="11447" max="11447" width="3.28515625" style="4" customWidth="1"/>
    <col min="11448" max="11448" width="8" style="4" customWidth="1"/>
    <col min="11449" max="11449" width="42.5703125" style="4" bestFit="1" customWidth="1"/>
    <col min="11450" max="11450" width="3.28515625" style="4" customWidth="1"/>
    <col min="11451" max="11451" width="8" style="4" customWidth="1"/>
    <col min="11452" max="11452" width="42.5703125" style="4" bestFit="1" customWidth="1"/>
    <col min="11453" max="11453" width="3.28515625" style="4" customWidth="1"/>
    <col min="11454" max="11454" width="8" style="4" customWidth="1"/>
    <col min="11455" max="11455" width="42.5703125" style="4" bestFit="1" customWidth="1"/>
    <col min="11456" max="11456" width="3.28515625" style="4" customWidth="1"/>
    <col min="11457" max="11457" width="8" style="4" customWidth="1"/>
    <col min="11458" max="11458" width="42.5703125" style="4" bestFit="1" customWidth="1"/>
    <col min="11459" max="11459" width="3.28515625" style="4" customWidth="1"/>
    <col min="11460" max="11460" width="8" style="4" customWidth="1"/>
    <col min="11461" max="11461" width="42.5703125" style="4" bestFit="1" customWidth="1"/>
    <col min="11462" max="11462" width="3.28515625" style="4" customWidth="1"/>
    <col min="11463" max="11463" width="8" style="4" customWidth="1"/>
    <col min="11464" max="11464" width="42.5703125" style="4" bestFit="1" customWidth="1"/>
    <col min="11465" max="11465" width="3.28515625" style="4" customWidth="1"/>
    <col min="11466" max="11466" width="8" style="4" customWidth="1"/>
    <col min="11467" max="11467" width="42.5703125" style="4" bestFit="1" customWidth="1"/>
    <col min="11468" max="11468" width="3.28515625" style="4" customWidth="1"/>
    <col min="11469" max="11469" width="8" style="4" customWidth="1"/>
    <col min="11470" max="11470" width="42.5703125" style="4" bestFit="1" customWidth="1"/>
    <col min="11471" max="11471" width="3.28515625" style="4" customWidth="1"/>
    <col min="11472" max="11472" width="8" style="4" customWidth="1"/>
    <col min="11473" max="11473" width="42.5703125" style="4" bestFit="1" customWidth="1"/>
    <col min="11474" max="11474" width="3.28515625" style="4" customWidth="1"/>
    <col min="11475" max="11475" width="8" style="4" customWidth="1"/>
    <col min="11476" max="11476" width="42.5703125" style="4" bestFit="1" customWidth="1"/>
    <col min="11477" max="11477" width="3.28515625" style="4" customWidth="1"/>
    <col min="11478" max="11478" width="8" style="4" customWidth="1"/>
    <col min="11479" max="11479" width="42.5703125" style="4" bestFit="1" customWidth="1"/>
    <col min="11480" max="11480" width="3.28515625" style="4" customWidth="1"/>
    <col min="11481" max="11481" width="8" style="4" customWidth="1"/>
    <col min="11482" max="11482" width="42.5703125" style="4" bestFit="1" customWidth="1"/>
    <col min="11483" max="11483" width="3.28515625" style="4" customWidth="1"/>
    <col min="11484" max="11484" width="8" style="4" customWidth="1"/>
    <col min="11485" max="11485" width="42.5703125" style="4" bestFit="1" customWidth="1"/>
    <col min="11486" max="11486" width="3.28515625" style="4" customWidth="1"/>
    <col min="11487" max="11487" width="8" style="4" customWidth="1"/>
    <col min="11488" max="11488" width="42.5703125" style="4" bestFit="1" customWidth="1"/>
    <col min="11489" max="11489" width="3.28515625" style="4" customWidth="1"/>
    <col min="11490" max="11490" width="8" style="4" customWidth="1"/>
    <col min="11491" max="11491" width="42.5703125" style="4" bestFit="1" customWidth="1"/>
    <col min="11492" max="11492" width="3.28515625" style="4" customWidth="1"/>
    <col min="11493" max="11493" width="8" style="4" customWidth="1"/>
    <col min="11494" max="11494" width="42.5703125" style="4" bestFit="1" customWidth="1"/>
    <col min="11495" max="11495" width="3.28515625" style="4" customWidth="1"/>
    <col min="11496" max="11496" width="8" style="4" customWidth="1"/>
    <col min="11497" max="11497" width="42.5703125" style="4" bestFit="1" customWidth="1"/>
    <col min="11498" max="11498" width="3.28515625" style="4" customWidth="1"/>
    <col min="11499" max="11499" width="8" style="4" customWidth="1"/>
    <col min="11500" max="11500" width="42.5703125" style="4" bestFit="1" customWidth="1"/>
    <col min="11501" max="11501" width="3.28515625" style="4" customWidth="1"/>
    <col min="11502" max="11502" width="8" style="4" customWidth="1"/>
    <col min="11503" max="11503" width="42.5703125" style="4" bestFit="1" customWidth="1"/>
    <col min="11504" max="11504" width="3.28515625" style="4" customWidth="1"/>
    <col min="11505" max="11505" width="8" style="4" customWidth="1"/>
    <col min="11506" max="11506" width="42.5703125" style="4" bestFit="1" customWidth="1"/>
    <col min="11507" max="11507" width="3.28515625" style="4" customWidth="1"/>
    <col min="11508" max="11508" width="8" style="4" customWidth="1"/>
    <col min="11509" max="11509" width="42.5703125" style="4" bestFit="1" customWidth="1"/>
    <col min="11510" max="11510" width="3.28515625" style="4" customWidth="1"/>
    <col min="11511" max="11511" width="8" style="4" customWidth="1"/>
    <col min="11512" max="11512" width="42.5703125" style="4" bestFit="1" customWidth="1"/>
    <col min="11513" max="11513" width="3.28515625" style="4" customWidth="1"/>
    <col min="11514" max="11514" width="8" style="4" customWidth="1"/>
    <col min="11515" max="11515" width="42.5703125" style="4" bestFit="1" customWidth="1"/>
    <col min="11516" max="11516" width="3.28515625" style="4" customWidth="1"/>
    <col min="11517" max="11517" width="8" style="4" customWidth="1"/>
    <col min="11518" max="11518" width="42.5703125" style="4" bestFit="1" customWidth="1"/>
    <col min="11519" max="11519" width="3.28515625" style="4" customWidth="1"/>
    <col min="11520" max="11520" width="8" style="4" customWidth="1"/>
    <col min="11521" max="11521" width="42.5703125" style="4" bestFit="1" customWidth="1"/>
    <col min="11522" max="11522" width="3.28515625" style="4" customWidth="1"/>
    <col min="11523" max="11523" width="8" style="4" customWidth="1"/>
    <col min="11524" max="11524" width="42.5703125" style="4" bestFit="1" customWidth="1"/>
    <col min="11525" max="11525" width="3.28515625" style="4" customWidth="1"/>
    <col min="11526" max="11526" width="8" style="4" customWidth="1"/>
    <col min="11527" max="11527" width="42.5703125" style="4" bestFit="1" customWidth="1"/>
    <col min="11528" max="11528" width="3.28515625" style="4" customWidth="1"/>
    <col min="11529" max="11529" width="8" style="4" customWidth="1"/>
    <col min="11530" max="11530" width="42.5703125" style="4" bestFit="1" customWidth="1"/>
    <col min="11531" max="11531" width="3.28515625" style="4" customWidth="1"/>
    <col min="11532" max="11532" width="8" style="4" customWidth="1"/>
    <col min="11533" max="11533" width="42.5703125" style="4" bestFit="1" customWidth="1"/>
    <col min="11534" max="11534" width="3.28515625" style="4" customWidth="1"/>
    <col min="11535" max="11535" width="8" style="4" customWidth="1"/>
    <col min="11536" max="11536" width="42.5703125" style="4" bestFit="1" customWidth="1"/>
    <col min="11537" max="11537" width="3.28515625" style="4" customWidth="1"/>
    <col min="11538" max="11538" width="8" style="4" customWidth="1"/>
    <col min="11539" max="11539" width="42.5703125" style="4" bestFit="1" customWidth="1"/>
    <col min="11540" max="11540" width="3.28515625" style="4" customWidth="1"/>
    <col min="11541" max="11541" width="8" style="4" customWidth="1"/>
    <col min="11542" max="11542" width="42.5703125" style="4" bestFit="1" customWidth="1"/>
    <col min="11543" max="11543" width="3.28515625" style="4" customWidth="1"/>
    <col min="11544" max="11544" width="8" style="4" customWidth="1"/>
    <col min="11545" max="11545" width="42.5703125" style="4" bestFit="1" customWidth="1"/>
    <col min="11546" max="11546" width="3.28515625" style="4" customWidth="1"/>
    <col min="11547" max="11547" width="8" style="4" customWidth="1"/>
    <col min="11548" max="11548" width="42.5703125" style="4" bestFit="1" customWidth="1"/>
    <col min="11549" max="11549" width="3.28515625" style="4" customWidth="1"/>
    <col min="11550" max="11550" width="8" style="4" customWidth="1"/>
    <col min="11551" max="11551" width="42.5703125" style="4" bestFit="1" customWidth="1"/>
    <col min="11552" max="11552" width="3.28515625" style="4" customWidth="1"/>
    <col min="11553" max="11553" width="8" style="4" customWidth="1"/>
    <col min="11554" max="11554" width="42.5703125" style="4" bestFit="1" customWidth="1"/>
    <col min="11555" max="11555" width="3.28515625" style="4" customWidth="1"/>
    <col min="11556" max="11556" width="8" style="4" customWidth="1"/>
    <col min="11557" max="11557" width="42.5703125" style="4" bestFit="1" customWidth="1"/>
    <col min="11558" max="11558" width="3.28515625" style="4" customWidth="1"/>
    <col min="11559" max="11559" width="8" style="4" customWidth="1"/>
    <col min="11560" max="11560" width="42.5703125" style="4" bestFit="1" customWidth="1"/>
    <col min="11561" max="11561" width="3.28515625" style="4" customWidth="1"/>
    <col min="11562" max="11562" width="8" style="4" customWidth="1"/>
    <col min="11563" max="11563" width="42.5703125" style="4" bestFit="1" customWidth="1"/>
    <col min="11564" max="11564" width="3.28515625" style="4" customWidth="1"/>
    <col min="11565" max="11565" width="8" style="4" customWidth="1"/>
    <col min="11566" max="11566" width="42.5703125" style="4" bestFit="1" customWidth="1"/>
    <col min="11567" max="11567" width="3.28515625" style="4" customWidth="1"/>
    <col min="11568" max="11568" width="8" style="4" customWidth="1"/>
    <col min="11569" max="11569" width="42.5703125" style="4" bestFit="1" customWidth="1"/>
    <col min="11570" max="11570" width="3.28515625" style="4" customWidth="1"/>
    <col min="11571" max="11571" width="8" style="4" customWidth="1"/>
    <col min="11572" max="11572" width="42.5703125" style="4" bestFit="1" customWidth="1"/>
    <col min="11573" max="11573" width="3.28515625" style="4" customWidth="1"/>
    <col min="11574" max="11574" width="8" style="4" customWidth="1"/>
    <col min="11575" max="11575" width="42.5703125" style="4" bestFit="1" customWidth="1"/>
    <col min="11576" max="11576" width="3.28515625" style="4" customWidth="1"/>
    <col min="11577" max="11577" width="8" style="4" customWidth="1"/>
    <col min="11578" max="11578" width="42.5703125" style="4" bestFit="1" customWidth="1"/>
    <col min="11579" max="11579" width="3.28515625" style="4" customWidth="1"/>
    <col min="11580" max="11580" width="8" style="4" customWidth="1"/>
    <col min="11581" max="11581" width="42.5703125" style="4" bestFit="1" customWidth="1"/>
    <col min="11582" max="11582" width="3.28515625" style="4" customWidth="1"/>
    <col min="11583" max="11583" width="8" style="4" customWidth="1"/>
    <col min="11584" max="11584" width="42.5703125" style="4" bestFit="1" customWidth="1"/>
    <col min="11585" max="11585" width="3.28515625" style="4" customWidth="1"/>
    <col min="11586" max="11586" width="8" style="4" customWidth="1"/>
    <col min="11587" max="11587" width="42.5703125" style="4" bestFit="1" customWidth="1"/>
    <col min="11588" max="11588" width="3.28515625" style="4" customWidth="1"/>
    <col min="11589" max="11589" width="8" style="4" customWidth="1"/>
    <col min="11590" max="11590" width="42.5703125" style="4" bestFit="1" customWidth="1"/>
    <col min="11591" max="11591" width="3.28515625" style="4" customWidth="1"/>
    <col min="11592" max="11592" width="8" style="4" customWidth="1"/>
    <col min="11593" max="11593" width="42.5703125" style="4" bestFit="1" customWidth="1"/>
    <col min="11594" max="11594" width="3.28515625" style="4" customWidth="1"/>
    <col min="11595" max="11595" width="8" style="4" customWidth="1"/>
    <col min="11596" max="11596" width="42.5703125" style="4" bestFit="1" customWidth="1"/>
    <col min="11597" max="11597" width="3.28515625" style="4" customWidth="1"/>
    <col min="11598" max="11598" width="8" style="4" customWidth="1"/>
    <col min="11599" max="11599" width="42.5703125" style="4" bestFit="1" customWidth="1"/>
    <col min="11600" max="11600" width="3.28515625" style="4" customWidth="1"/>
    <col min="11601" max="11601" width="8" style="4" customWidth="1"/>
    <col min="11602" max="11602" width="42.5703125" style="4" bestFit="1" customWidth="1"/>
    <col min="11603" max="11603" width="3.28515625" style="4" customWidth="1"/>
    <col min="11604" max="11604" width="8" style="4" customWidth="1"/>
    <col min="11605" max="11605" width="42.5703125" style="4" bestFit="1" customWidth="1"/>
    <col min="11606" max="11606" width="3.28515625" style="4" customWidth="1"/>
    <col min="11607" max="11607" width="8" style="4" customWidth="1"/>
    <col min="11608" max="11608" width="42.5703125" style="4" bestFit="1" customWidth="1"/>
    <col min="11609" max="11609" width="3.28515625" style="4" customWidth="1"/>
    <col min="11610" max="11610" width="8" style="4" customWidth="1"/>
    <col min="11611" max="11611" width="42.5703125" style="4" bestFit="1" customWidth="1"/>
    <col min="11612" max="11612" width="3.28515625" style="4" customWidth="1"/>
    <col min="11613" max="11613" width="8" style="4" customWidth="1"/>
    <col min="11614" max="11614" width="42.5703125" style="4" bestFit="1" customWidth="1"/>
    <col min="11615" max="11615" width="3.28515625" style="4" customWidth="1"/>
    <col min="11616" max="11616" width="8" style="4" customWidth="1"/>
    <col min="11617" max="11617" width="42.5703125" style="4" bestFit="1" customWidth="1"/>
    <col min="11618" max="11618" width="3.28515625" style="4" customWidth="1"/>
    <col min="11619" max="11619" width="8" style="4" customWidth="1"/>
    <col min="11620" max="11620" width="42.5703125" style="4" bestFit="1" customWidth="1"/>
    <col min="11621" max="11621" width="3.28515625" style="4" customWidth="1"/>
    <col min="11622" max="11622" width="8" style="4" customWidth="1"/>
    <col min="11623" max="11623" width="42.5703125" style="4" bestFit="1" customWidth="1"/>
    <col min="11624" max="11624" width="3.28515625" style="4" customWidth="1"/>
    <col min="11625" max="11625" width="8" style="4" customWidth="1"/>
    <col min="11626" max="11626" width="42.5703125" style="4" bestFit="1" customWidth="1"/>
    <col min="11627" max="11627" width="3.28515625" style="4" customWidth="1"/>
    <col min="11628" max="11628" width="8" style="4" customWidth="1"/>
    <col min="11629" max="11629" width="42.5703125" style="4" bestFit="1" customWidth="1"/>
    <col min="11630" max="11630" width="3.28515625" style="4" customWidth="1"/>
    <col min="11631" max="11631" width="8" style="4" customWidth="1"/>
    <col min="11632" max="11632" width="42.5703125" style="4" bestFit="1" customWidth="1"/>
    <col min="11633" max="11633" width="3.28515625" style="4" customWidth="1"/>
    <col min="11634" max="11634" width="8" style="4" customWidth="1"/>
    <col min="11635" max="11635" width="42.5703125" style="4" bestFit="1" customWidth="1"/>
    <col min="11636" max="11636" width="3.28515625" style="4" customWidth="1"/>
    <col min="11637" max="11637" width="8" style="4" customWidth="1"/>
    <col min="11638" max="11638" width="42.5703125" style="4" bestFit="1" customWidth="1"/>
    <col min="11639" max="11639" width="3.28515625" style="4" customWidth="1"/>
    <col min="11640" max="11640" width="8" style="4" customWidth="1"/>
    <col min="11641" max="11641" width="42.5703125" style="4" bestFit="1" customWidth="1"/>
    <col min="11642" max="11642" width="3.28515625" style="4" customWidth="1"/>
    <col min="11643" max="11643" width="8" style="4" customWidth="1"/>
    <col min="11644" max="11644" width="42.5703125" style="4" bestFit="1" customWidth="1"/>
    <col min="11645" max="11645" width="3.28515625" style="4" customWidth="1"/>
    <col min="11646" max="11646" width="8" style="4" customWidth="1"/>
    <col min="11647" max="11647" width="42.5703125" style="4" bestFit="1" customWidth="1"/>
    <col min="11648" max="11648" width="3.28515625" style="4" customWidth="1"/>
    <col min="11649" max="11649" width="8" style="4" customWidth="1"/>
    <col min="11650" max="11650" width="42.5703125" style="4" bestFit="1" customWidth="1"/>
    <col min="11651" max="11651" width="3.28515625" style="4" customWidth="1"/>
    <col min="11652" max="11652" width="8" style="4" customWidth="1"/>
    <col min="11653" max="11653" width="42.5703125" style="4" bestFit="1" customWidth="1"/>
    <col min="11654" max="11654" width="3.28515625" style="4" customWidth="1"/>
    <col min="11655" max="11655" width="8" style="4" customWidth="1"/>
    <col min="11656" max="11656" width="42.5703125" style="4" bestFit="1" customWidth="1"/>
    <col min="11657" max="11657" width="3.28515625" style="4" customWidth="1"/>
    <col min="11658" max="11658" width="8" style="4" customWidth="1"/>
    <col min="11659" max="11659" width="42.5703125" style="4" bestFit="1" customWidth="1"/>
    <col min="11660" max="11660" width="3.28515625" style="4" customWidth="1"/>
    <col min="11661" max="11661" width="8" style="4" customWidth="1"/>
    <col min="11662" max="11662" width="42.5703125" style="4" bestFit="1" customWidth="1"/>
    <col min="11663" max="11663" width="3.28515625" style="4" customWidth="1"/>
    <col min="11664" max="11664" width="8" style="4" customWidth="1"/>
    <col min="11665" max="11665" width="42.5703125" style="4" bestFit="1" customWidth="1"/>
    <col min="11666" max="11666" width="3.28515625" style="4" customWidth="1"/>
    <col min="11667" max="11667" width="8" style="4" customWidth="1"/>
    <col min="11668" max="11668" width="42.5703125" style="4" bestFit="1" customWidth="1"/>
    <col min="11669" max="11669" width="3.28515625" style="4" customWidth="1"/>
    <col min="11670" max="11670" width="8" style="4" customWidth="1"/>
    <col min="11671" max="11671" width="42.5703125" style="4" bestFit="1" customWidth="1"/>
    <col min="11672" max="11672" width="3.28515625" style="4" customWidth="1"/>
    <col min="11673" max="11673" width="8" style="4" customWidth="1"/>
    <col min="11674" max="11674" width="42.5703125" style="4" bestFit="1" customWidth="1"/>
    <col min="11675" max="11675" width="3.28515625" style="4" customWidth="1"/>
    <col min="11676" max="11676" width="8" style="4" customWidth="1"/>
    <col min="11677" max="11677" width="42.5703125" style="4" bestFit="1" customWidth="1"/>
    <col min="11678" max="11678" width="3.28515625" style="4" customWidth="1"/>
    <col min="11679" max="11679" width="8" style="4" customWidth="1"/>
    <col min="11680" max="11680" width="42.5703125" style="4" bestFit="1" customWidth="1"/>
    <col min="11681" max="11681" width="3.28515625" style="4" customWidth="1"/>
    <col min="11682" max="11682" width="8" style="4" customWidth="1"/>
    <col min="11683" max="11683" width="42.5703125" style="4" bestFit="1" customWidth="1"/>
    <col min="11684" max="11684" width="3.28515625" style="4" customWidth="1"/>
    <col min="11685" max="11685" width="8" style="4" customWidth="1"/>
    <col min="11686" max="11686" width="42.5703125" style="4" bestFit="1" customWidth="1"/>
    <col min="11687" max="11687" width="3.28515625" style="4" customWidth="1"/>
    <col min="11688" max="11688" width="8" style="4" customWidth="1"/>
    <col min="11689" max="11689" width="42.5703125" style="4" bestFit="1" customWidth="1"/>
    <col min="11690" max="11690" width="3.28515625" style="4" customWidth="1"/>
    <col min="11691" max="11691" width="8" style="4" customWidth="1"/>
    <col min="11692" max="11692" width="42.5703125" style="4" bestFit="1" customWidth="1"/>
    <col min="11693" max="11693" width="3.28515625" style="4" customWidth="1"/>
    <col min="11694" max="11694" width="8" style="4" customWidth="1"/>
    <col min="11695" max="11695" width="42.5703125" style="4" bestFit="1" customWidth="1"/>
    <col min="11696" max="11696" width="3.28515625" style="4" customWidth="1"/>
    <col min="11697" max="11697" width="8" style="4" customWidth="1"/>
    <col min="11698" max="11698" width="42.5703125" style="4" bestFit="1" customWidth="1"/>
    <col min="11699" max="11699" width="3.28515625" style="4" customWidth="1"/>
    <col min="11700" max="11700" width="8" style="4" customWidth="1"/>
    <col min="11701" max="11701" width="42.5703125" style="4" bestFit="1" customWidth="1"/>
    <col min="11702" max="11702" width="3.28515625" style="4" customWidth="1"/>
    <col min="11703" max="11703" width="8" style="4" customWidth="1"/>
    <col min="11704" max="11704" width="42.5703125" style="4" bestFit="1" customWidth="1"/>
    <col min="11705" max="11705" width="3.28515625" style="4" customWidth="1"/>
    <col min="11706" max="11706" width="8" style="4" customWidth="1"/>
    <col min="11707" max="11707" width="42.5703125" style="4" bestFit="1" customWidth="1"/>
    <col min="11708" max="11708" width="3.28515625" style="4" customWidth="1"/>
    <col min="11709" max="11709" width="8" style="4" customWidth="1"/>
    <col min="11710" max="11710" width="42.5703125" style="4" bestFit="1" customWidth="1"/>
    <col min="11711" max="11711" width="3.28515625" style="4" customWidth="1"/>
    <col min="11712" max="11712" width="8" style="4" customWidth="1"/>
    <col min="11713" max="11713" width="42.5703125" style="4" bestFit="1" customWidth="1"/>
    <col min="11714" max="11714" width="3.28515625" style="4" customWidth="1"/>
    <col min="11715" max="11715" width="8" style="4" customWidth="1"/>
    <col min="11716" max="11716" width="42.5703125" style="4" bestFit="1" customWidth="1"/>
    <col min="11717" max="11717" width="3.28515625" style="4" customWidth="1"/>
    <col min="11718" max="11718" width="8" style="4" customWidth="1"/>
    <col min="11719" max="11719" width="42.5703125" style="4" bestFit="1" customWidth="1"/>
    <col min="11720" max="11720" width="3.28515625" style="4" customWidth="1"/>
    <col min="11721" max="11721" width="8" style="4" customWidth="1"/>
    <col min="11722" max="11722" width="42.5703125" style="4" bestFit="1" customWidth="1"/>
    <col min="11723" max="11723" width="3.28515625" style="4" customWidth="1"/>
    <col min="11724" max="11724" width="8" style="4" customWidth="1"/>
    <col min="11725" max="11725" width="42.5703125" style="4" bestFit="1" customWidth="1"/>
    <col min="11726" max="11726" width="3.28515625" style="4" customWidth="1"/>
    <col min="11727" max="11727" width="8" style="4" customWidth="1"/>
    <col min="11728" max="11728" width="42.5703125" style="4" bestFit="1" customWidth="1"/>
    <col min="11729" max="11729" width="3.28515625" style="4" customWidth="1"/>
    <col min="11730" max="11730" width="8" style="4" customWidth="1"/>
    <col min="11731" max="11731" width="42.5703125" style="4" bestFit="1" customWidth="1"/>
    <col min="11732" max="11732" width="3.28515625" style="4" customWidth="1"/>
    <col min="11733" max="11733" width="8" style="4" customWidth="1"/>
    <col min="11734" max="11734" width="42.5703125" style="4" bestFit="1" customWidth="1"/>
    <col min="11735" max="11735" width="3.28515625" style="4" customWidth="1"/>
    <col min="11736" max="11736" width="8" style="4" customWidth="1"/>
    <col min="11737" max="11737" width="42.5703125" style="4" bestFit="1" customWidth="1"/>
    <col min="11738" max="11738" width="3.28515625" style="4" customWidth="1"/>
    <col min="11739" max="11739" width="8" style="4" customWidth="1"/>
    <col min="11740" max="11740" width="42.5703125" style="4" bestFit="1" customWidth="1"/>
    <col min="11741" max="11741" width="3.28515625" style="4" customWidth="1"/>
    <col min="11742" max="11742" width="8" style="4" customWidth="1"/>
    <col min="11743" max="11743" width="42.5703125" style="4" bestFit="1" customWidth="1"/>
    <col min="11744" max="11744" width="3.28515625" style="4" customWidth="1"/>
    <col min="11745" max="11745" width="8" style="4" customWidth="1"/>
    <col min="11746" max="11746" width="42.5703125" style="4" bestFit="1" customWidth="1"/>
    <col min="11747" max="11747" width="3.28515625" style="4" customWidth="1"/>
    <col min="11748" max="11748" width="8" style="4" customWidth="1"/>
    <col min="11749" max="11749" width="42.5703125" style="4" bestFit="1" customWidth="1"/>
    <col min="11750" max="11750" width="3.28515625" style="4" customWidth="1"/>
    <col min="11751" max="11751" width="8" style="4" customWidth="1"/>
    <col min="11752" max="11752" width="42.5703125" style="4" bestFit="1" customWidth="1"/>
    <col min="11753" max="11753" width="3.28515625" style="4" customWidth="1"/>
    <col min="11754" max="11754" width="8" style="4" customWidth="1"/>
    <col min="11755" max="11755" width="42.5703125" style="4" bestFit="1" customWidth="1"/>
    <col min="11756" max="11756" width="3.28515625" style="4" customWidth="1"/>
    <col min="11757" max="11757" width="8" style="4" customWidth="1"/>
    <col min="11758" max="11758" width="42.5703125" style="4" bestFit="1" customWidth="1"/>
    <col min="11759" max="11759" width="3.28515625" style="4" customWidth="1"/>
    <col min="11760" max="11760" width="8" style="4" customWidth="1"/>
    <col min="11761" max="11761" width="42.5703125" style="4" bestFit="1" customWidth="1"/>
    <col min="11762" max="11762" width="3.28515625" style="4" customWidth="1"/>
    <col min="11763" max="11763" width="8" style="4" customWidth="1"/>
    <col min="11764" max="11764" width="42.5703125" style="4" bestFit="1" customWidth="1"/>
    <col min="11765" max="11765" width="3.28515625" style="4" customWidth="1"/>
    <col min="11766" max="11766" width="8" style="4" customWidth="1"/>
    <col min="11767" max="11767" width="42.5703125" style="4" bestFit="1" customWidth="1"/>
    <col min="11768" max="11768" width="3.28515625" style="4" customWidth="1"/>
    <col min="11769" max="11769" width="8" style="4" customWidth="1"/>
    <col min="11770" max="11770" width="42.5703125" style="4" bestFit="1" customWidth="1"/>
    <col min="11771" max="11771" width="3.28515625" style="4" customWidth="1"/>
    <col min="11772" max="11772" width="8" style="4" customWidth="1"/>
    <col min="11773" max="11773" width="42.5703125" style="4" bestFit="1" customWidth="1"/>
    <col min="11774" max="11774" width="3.28515625" style="4" customWidth="1"/>
    <col min="11775" max="11775" width="8" style="4" customWidth="1"/>
    <col min="11776" max="11776" width="42.5703125" style="4" bestFit="1" customWidth="1"/>
    <col min="11777" max="11777" width="3.28515625" style="4" customWidth="1"/>
    <col min="11778" max="11778" width="8" style="4" customWidth="1"/>
    <col min="11779" max="11779" width="42.5703125" style="4" bestFit="1" customWidth="1"/>
    <col min="11780" max="11780" width="3.28515625" style="4" customWidth="1"/>
    <col min="11781" max="11781" width="8" style="4" customWidth="1"/>
    <col min="11782" max="11782" width="42.5703125" style="4" bestFit="1" customWidth="1"/>
    <col min="11783" max="11783" width="3.28515625" style="4" customWidth="1"/>
    <col min="11784" max="11784" width="8" style="4" customWidth="1"/>
    <col min="11785" max="11785" width="42.5703125" style="4" bestFit="1" customWidth="1"/>
    <col min="11786" max="11786" width="3.28515625" style="4" customWidth="1"/>
    <col min="11787" max="11787" width="8" style="4" customWidth="1"/>
    <col min="11788" max="11788" width="42.5703125" style="4" bestFit="1" customWidth="1"/>
    <col min="11789" max="11789" width="3.28515625" style="4" customWidth="1"/>
    <col min="11790" max="11790" width="8" style="4" customWidth="1"/>
    <col min="11791" max="11791" width="42.5703125" style="4" bestFit="1" customWidth="1"/>
    <col min="11792" max="11792" width="3.28515625" style="4" customWidth="1"/>
    <col min="11793" max="11793" width="8" style="4" customWidth="1"/>
    <col min="11794" max="11794" width="42.5703125" style="4" bestFit="1" customWidth="1"/>
    <col min="11795" max="11795" width="3.28515625" style="4" customWidth="1"/>
    <col min="11796" max="11796" width="8" style="4" customWidth="1"/>
    <col min="11797" max="11797" width="42.5703125" style="4" bestFit="1" customWidth="1"/>
    <col min="11798" max="11798" width="3.28515625" style="4" customWidth="1"/>
    <col min="11799" max="11799" width="8" style="4" customWidth="1"/>
    <col min="11800" max="11800" width="42.5703125" style="4" bestFit="1" customWidth="1"/>
    <col min="11801" max="11801" width="3.28515625" style="4" customWidth="1"/>
    <col min="11802" max="11802" width="8" style="4" customWidth="1"/>
    <col min="11803" max="11803" width="42.5703125" style="4" bestFit="1" customWidth="1"/>
    <col min="11804" max="11804" width="3.28515625" style="4" customWidth="1"/>
    <col min="11805" max="11805" width="8" style="4" customWidth="1"/>
    <col min="11806" max="11806" width="42.5703125" style="4" bestFit="1" customWidth="1"/>
    <col min="11807" max="11807" width="3.28515625" style="4" customWidth="1"/>
    <col min="11808" max="11808" width="8" style="4" customWidth="1"/>
    <col min="11809" max="11809" width="42.5703125" style="4" bestFit="1" customWidth="1"/>
    <col min="11810" max="11810" width="3.28515625" style="4" customWidth="1"/>
    <col min="11811" max="11811" width="8" style="4" customWidth="1"/>
    <col min="11812" max="11812" width="42.5703125" style="4" bestFit="1" customWidth="1"/>
    <col min="11813" max="11813" width="3.28515625" style="4" customWidth="1"/>
    <col min="11814" max="11814" width="8" style="4" customWidth="1"/>
    <col min="11815" max="11815" width="42.5703125" style="4" bestFit="1" customWidth="1"/>
    <col min="11816" max="11816" width="3.28515625" style="4" customWidth="1"/>
    <col min="11817" max="11817" width="8" style="4" customWidth="1"/>
    <col min="11818" max="11818" width="42.5703125" style="4" bestFit="1" customWidth="1"/>
    <col min="11819" max="11819" width="3.28515625" style="4" customWidth="1"/>
    <col min="11820" max="11820" width="8" style="4" customWidth="1"/>
    <col min="11821" max="11821" width="42.5703125" style="4" bestFit="1" customWidth="1"/>
    <col min="11822" max="11822" width="3.28515625" style="4" customWidth="1"/>
    <col min="11823" max="11823" width="8" style="4" customWidth="1"/>
    <col min="11824" max="11824" width="42.5703125" style="4" bestFit="1" customWidth="1"/>
    <col min="11825" max="11825" width="3.28515625" style="4" customWidth="1"/>
    <col min="11826" max="11826" width="8" style="4" customWidth="1"/>
    <col min="11827" max="11827" width="42.5703125" style="4" bestFit="1" customWidth="1"/>
    <col min="11828" max="11828" width="3.28515625" style="4" customWidth="1"/>
    <col min="11829" max="11829" width="8" style="4" customWidth="1"/>
    <col min="11830" max="11830" width="42.5703125" style="4" bestFit="1" customWidth="1"/>
    <col min="11831" max="11831" width="3.28515625" style="4" customWidth="1"/>
    <col min="11832" max="11832" width="8" style="4" customWidth="1"/>
    <col min="11833" max="11833" width="42.5703125" style="4" bestFit="1" customWidth="1"/>
    <col min="11834" max="11834" width="3.28515625" style="4" customWidth="1"/>
    <col min="11835" max="11835" width="8" style="4" customWidth="1"/>
    <col min="11836" max="11836" width="42.5703125" style="4" bestFit="1" customWidth="1"/>
    <col min="11837" max="11837" width="3.28515625" style="4" customWidth="1"/>
    <col min="11838" max="11838" width="8" style="4" customWidth="1"/>
    <col min="11839" max="11839" width="42.5703125" style="4" bestFit="1" customWidth="1"/>
    <col min="11840" max="11840" width="3.28515625" style="4" customWidth="1"/>
    <col min="11841" max="11841" width="8" style="4" customWidth="1"/>
    <col min="11842" max="11842" width="42.5703125" style="4" bestFit="1" customWidth="1"/>
    <col min="11843" max="11843" width="3.28515625" style="4" customWidth="1"/>
    <col min="11844" max="11844" width="8" style="4" customWidth="1"/>
    <col min="11845" max="11845" width="42.5703125" style="4" bestFit="1" customWidth="1"/>
    <col min="11846" max="11846" width="3.28515625" style="4" customWidth="1"/>
    <col min="11847" max="11847" width="8" style="4" customWidth="1"/>
    <col min="11848" max="11848" width="42.5703125" style="4" bestFit="1" customWidth="1"/>
    <col min="11849" max="11849" width="3.28515625" style="4" customWidth="1"/>
    <col min="11850" max="11850" width="8" style="4" customWidth="1"/>
    <col min="11851" max="11851" width="42.5703125" style="4" bestFit="1" customWidth="1"/>
    <col min="11852" max="11852" width="3.28515625" style="4" customWidth="1"/>
    <col min="11853" max="11853" width="8" style="4" customWidth="1"/>
    <col min="11854" max="11854" width="42.5703125" style="4" bestFit="1" customWidth="1"/>
    <col min="11855" max="11855" width="3.28515625" style="4" customWidth="1"/>
    <col min="11856" max="11856" width="8" style="4" customWidth="1"/>
    <col min="11857" max="11857" width="42.5703125" style="4" bestFit="1" customWidth="1"/>
    <col min="11858" max="11858" width="3.28515625" style="4" customWidth="1"/>
    <col min="11859" max="11859" width="8" style="4" customWidth="1"/>
    <col min="11860" max="11860" width="42.5703125" style="4" bestFit="1" customWidth="1"/>
    <col min="11861" max="11861" width="3.28515625" style="4" customWidth="1"/>
    <col min="11862" max="11862" width="8" style="4" customWidth="1"/>
    <col min="11863" max="11863" width="42.5703125" style="4" bestFit="1" customWidth="1"/>
    <col min="11864" max="11864" width="3.28515625" style="4" customWidth="1"/>
    <col min="11865" max="11865" width="8" style="4" customWidth="1"/>
    <col min="11866" max="11866" width="42.5703125" style="4" bestFit="1" customWidth="1"/>
    <col min="11867" max="11867" width="3.28515625" style="4" customWidth="1"/>
    <col min="11868" max="11868" width="8" style="4" customWidth="1"/>
    <col min="11869" max="11869" width="42.5703125" style="4" bestFit="1" customWidth="1"/>
    <col min="11870" max="11870" width="3.28515625" style="4" customWidth="1"/>
    <col min="11871" max="11871" width="8" style="4" customWidth="1"/>
    <col min="11872" max="11872" width="42.5703125" style="4" bestFit="1" customWidth="1"/>
    <col min="11873" max="11873" width="3.28515625" style="4" customWidth="1"/>
    <col min="11874" max="11874" width="8" style="4" customWidth="1"/>
    <col min="11875" max="11875" width="42.5703125" style="4" bestFit="1" customWidth="1"/>
    <col min="11876" max="11876" width="3.28515625" style="4" customWidth="1"/>
    <col min="11877" max="11877" width="8" style="4" customWidth="1"/>
    <col min="11878" max="11878" width="42.5703125" style="4" bestFit="1" customWidth="1"/>
    <col min="11879" max="11879" width="3.28515625" style="4" customWidth="1"/>
    <col min="11880" max="11880" width="8" style="4" customWidth="1"/>
    <col min="11881" max="11881" width="42.5703125" style="4" bestFit="1" customWidth="1"/>
    <col min="11882" max="11882" width="3.28515625" style="4" customWidth="1"/>
    <col min="11883" max="11883" width="8" style="4" customWidth="1"/>
    <col min="11884" max="11884" width="42.5703125" style="4" bestFit="1" customWidth="1"/>
    <col min="11885" max="11885" width="3.28515625" style="4" customWidth="1"/>
    <col min="11886" max="11886" width="8" style="4" customWidth="1"/>
    <col min="11887" max="11887" width="42.5703125" style="4" bestFit="1" customWidth="1"/>
    <col min="11888" max="11888" width="3.28515625" style="4" customWidth="1"/>
    <col min="11889" max="11889" width="8" style="4" customWidth="1"/>
    <col min="11890" max="11890" width="42.5703125" style="4" bestFit="1" customWidth="1"/>
    <col min="11891" max="11891" width="3.28515625" style="4" customWidth="1"/>
    <col min="11892" max="11892" width="8" style="4" customWidth="1"/>
    <col min="11893" max="11893" width="42.5703125" style="4" bestFit="1" customWidth="1"/>
    <col min="11894" max="11894" width="3.28515625" style="4" customWidth="1"/>
    <col min="11895" max="11895" width="8" style="4" customWidth="1"/>
    <col min="11896" max="11896" width="42.5703125" style="4" bestFit="1" customWidth="1"/>
    <col min="11897" max="11897" width="3.28515625" style="4" customWidth="1"/>
    <col min="11898" max="11898" width="8" style="4" customWidth="1"/>
    <col min="11899" max="11899" width="42.5703125" style="4" bestFit="1" customWidth="1"/>
    <col min="11900" max="11900" width="3.28515625" style="4" customWidth="1"/>
    <col min="11901" max="11901" width="8" style="4" customWidth="1"/>
    <col min="11902" max="11902" width="42.5703125" style="4" bestFit="1" customWidth="1"/>
    <col min="11903" max="11903" width="3.28515625" style="4" customWidth="1"/>
    <col min="11904" max="11904" width="8" style="4" customWidth="1"/>
    <col min="11905" max="11905" width="42.5703125" style="4" bestFit="1" customWidth="1"/>
    <col min="11906" max="11906" width="3.28515625" style="4" customWidth="1"/>
    <col min="11907" max="11907" width="8" style="4" customWidth="1"/>
    <col min="11908" max="11908" width="42.5703125" style="4" bestFit="1" customWidth="1"/>
    <col min="11909" max="11909" width="3.28515625" style="4" customWidth="1"/>
    <col min="11910" max="11910" width="8" style="4" customWidth="1"/>
    <col min="11911" max="11911" width="42.5703125" style="4" bestFit="1" customWidth="1"/>
    <col min="11912" max="11912" width="3.28515625" style="4" customWidth="1"/>
    <col min="11913" max="11913" width="8" style="4" customWidth="1"/>
    <col min="11914" max="11914" width="42.5703125" style="4" bestFit="1" customWidth="1"/>
    <col min="11915" max="11915" width="3.28515625" style="4" customWidth="1"/>
    <col min="11916" max="11916" width="8" style="4" customWidth="1"/>
    <col min="11917" max="11917" width="42.5703125" style="4" bestFit="1" customWidth="1"/>
    <col min="11918" max="11918" width="3.28515625" style="4" customWidth="1"/>
    <col min="11919" max="11919" width="8" style="4" customWidth="1"/>
    <col min="11920" max="11920" width="42.5703125" style="4" bestFit="1" customWidth="1"/>
    <col min="11921" max="11921" width="3.28515625" style="4" customWidth="1"/>
    <col min="11922" max="11922" width="8" style="4" customWidth="1"/>
    <col min="11923" max="11923" width="42.5703125" style="4" bestFit="1" customWidth="1"/>
    <col min="11924" max="11924" width="3.28515625" style="4" customWidth="1"/>
    <col min="11925" max="11925" width="8" style="4" customWidth="1"/>
    <col min="11926" max="11926" width="42.5703125" style="4" bestFit="1" customWidth="1"/>
    <col min="11927" max="11927" width="3.28515625" style="4" customWidth="1"/>
    <col min="11928" max="11928" width="8" style="4" customWidth="1"/>
    <col min="11929" max="11929" width="42.5703125" style="4" bestFit="1" customWidth="1"/>
    <col min="11930" max="11930" width="3.28515625" style="4" customWidth="1"/>
    <col min="11931" max="11931" width="8" style="4" customWidth="1"/>
    <col min="11932" max="11932" width="42.5703125" style="4" bestFit="1" customWidth="1"/>
    <col min="11933" max="11933" width="3.28515625" style="4" customWidth="1"/>
    <col min="11934" max="11934" width="8" style="4" customWidth="1"/>
    <col min="11935" max="11935" width="42.5703125" style="4" bestFit="1" customWidth="1"/>
    <col min="11936" max="11936" width="3.28515625" style="4" customWidth="1"/>
    <col min="11937" max="11937" width="8" style="4" customWidth="1"/>
    <col min="11938" max="11938" width="42.5703125" style="4" bestFit="1" customWidth="1"/>
    <col min="11939" max="11939" width="3.28515625" style="4" customWidth="1"/>
    <col min="11940" max="11940" width="8" style="4" customWidth="1"/>
    <col min="11941" max="11941" width="42.5703125" style="4" bestFit="1" customWidth="1"/>
    <col min="11942" max="11942" width="3.28515625" style="4" customWidth="1"/>
    <col min="11943" max="11943" width="8" style="4" customWidth="1"/>
    <col min="11944" max="11944" width="42.5703125" style="4" bestFit="1" customWidth="1"/>
    <col min="11945" max="11945" width="3.28515625" style="4" customWidth="1"/>
    <col min="11946" max="11946" width="8" style="4" customWidth="1"/>
    <col min="11947" max="11947" width="42.5703125" style="4" bestFit="1" customWidth="1"/>
    <col min="11948" max="11948" width="3.28515625" style="4" customWidth="1"/>
    <col min="11949" max="11949" width="8" style="4" customWidth="1"/>
    <col min="11950" max="11950" width="42.5703125" style="4" bestFit="1" customWidth="1"/>
    <col min="11951" max="11951" width="3.28515625" style="4" customWidth="1"/>
    <col min="11952" max="11952" width="8" style="4" customWidth="1"/>
    <col min="11953" max="11953" width="42.5703125" style="4" bestFit="1" customWidth="1"/>
    <col min="11954" max="11954" width="3.28515625" style="4" customWidth="1"/>
    <col min="11955" max="11955" width="8" style="4" customWidth="1"/>
    <col min="11956" max="11956" width="42.5703125" style="4" bestFit="1" customWidth="1"/>
    <col min="11957" max="11957" width="3.28515625" style="4" customWidth="1"/>
    <col min="11958" max="11958" width="8" style="4" customWidth="1"/>
    <col min="11959" max="11959" width="42.5703125" style="4" bestFit="1" customWidth="1"/>
    <col min="11960" max="11960" width="3.28515625" style="4" customWidth="1"/>
    <col min="11961" max="11961" width="8" style="4" customWidth="1"/>
    <col min="11962" max="11962" width="42.5703125" style="4" bestFit="1" customWidth="1"/>
    <col min="11963" max="11963" width="3.28515625" style="4" customWidth="1"/>
    <col min="11964" max="11964" width="8" style="4" customWidth="1"/>
    <col min="11965" max="11965" width="42.5703125" style="4" bestFit="1" customWidth="1"/>
    <col min="11966" max="11966" width="3.28515625" style="4" customWidth="1"/>
    <col min="11967" max="11967" width="8" style="4" customWidth="1"/>
    <col min="11968" max="11968" width="42.5703125" style="4" bestFit="1" customWidth="1"/>
    <col min="11969" max="11969" width="3.28515625" style="4" customWidth="1"/>
    <col min="11970" max="11970" width="8" style="4" customWidth="1"/>
    <col min="11971" max="11971" width="42.5703125" style="4" bestFit="1" customWidth="1"/>
    <col min="11972" max="11972" width="3.28515625" style="4" customWidth="1"/>
    <col min="11973" max="11973" width="8" style="4" customWidth="1"/>
    <col min="11974" max="11974" width="42.5703125" style="4" bestFit="1" customWidth="1"/>
    <col min="11975" max="11975" width="3.28515625" style="4" customWidth="1"/>
    <col min="11976" max="11976" width="8" style="4" customWidth="1"/>
    <col min="11977" max="11977" width="42.5703125" style="4" bestFit="1" customWidth="1"/>
    <col min="11978" max="11978" width="3.28515625" style="4" customWidth="1"/>
    <col min="11979" max="11979" width="8" style="4" customWidth="1"/>
    <col min="11980" max="11980" width="42.5703125" style="4" bestFit="1" customWidth="1"/>
    <col min="11981" max="11981" width="3.28515625" style="4" customWidth="1"/>
    <col min="11982" max="11982" width="8" style="4" customWidth="1"/>
    <col min="11983" max="11983" width="42.5703125" style="4" bestFit="1" customWidth="1"/>
    <col min="11984" max="11984" width="3.28515625" style="4" customWidth="1"/>
    <col min="11985" max="11985" width="8" style="4" customWidth="1"/>
    <col min="11986" max="11986" width="42.5703125" style="4" bestFit="1" customWidth="1"/>
    <col min="11987" max="11987" width="3.28515625" style="4" customWidth="1"/>
    <col min="11988" max="11988" width="8" style="4" customWidth="1"/>
    <col min="11989" max="11989" width="42.5703125" style="4" bestFit="1" customWidth="1"/>
    <col min="11990" max="11990" width="3.28515625" style="4" customWidth="1"/>
    <col min="11991" max="11991" width="8" style="4" customWidth="1"/>
    <col min="11992" max="11992" width="42.5703125" style="4" bestFit="1" customWidth="1"/>
    <col min="11993" max="11993" width="3.28515625" style="4" customWidth="1"/>
    <col min="11994" max="11994" width="8" style="4" customWidth="1"/>
    <col min="11995" max="11995" width="42.5703125" style="4" bestFit="1" customWidth="1"/>
    <col min="11996" max="11996" width="3.28515625" style="4" customWidth="1"/>
    <col min="11997" max="11997" width="8" style="4" customWidth="1"/>
    <col min="11998" max="11998" width="42.5703125" style="4" bestFit="1" customWidth="1"/>
    <col min="11999" max="11999" width="3.28515625" style="4" customWidth="1"/>
    <col min="12000" max="12000" width="8" style="4" customWidth="1"/>
    <col min="12001" max="12001" width="42.5703125" style="4" bestFit="1" customWidth="1"/>
    <col min="12002" max="12002" width="3.28515625" style="4" customWidth="1"/>
    <col min="12003" max="12003" width="8" style="4" customWidth="1"/>
    <col min="12004" max="12004" width="42.5703125" style="4" bestFit="1" customWidth="1"/>
    <col min="12005" max="12005" width="3.28515625" style="4" customWidth="1"/>
    <col min="12006" max="12006" width="8" style="4" customWidth="1"/>
    <col min="12007" max="12007" width="42.5703125" style="4" bestFit="1" customWidth="1"/>
    <col min="12008" max="12008" width="3.28515625" style="4" customWidth="1"/>
    <col min="12009" max="12009" width="8" style="4" customWidth="1"/>
    <col min="12010" max="12010" width="42.5703125" style="4" bestFit="1" customWidth="1"/>
    <col min="12011" max="12011" width="3.28515625" style="4" customWidth="1"/>
    <col min="12012" max="12012" width="8" style="4" customWidth="1"/>
    <col min="12013" max="12013" width="42.5703125" style="4" bestFit="1" customWidth="1"/>
    <col min="12014" max="12014" width="3.28515625" style="4" customWidth="1"/>
    <col min="12015" max="12015" width="8" style="4" customWidth="1"/>
    <col min="12016" max="12016" width="42.5703125" style="4" bestFit="1" customWidth="1"/>
    <col min="12017" max="12017" width="3.28515625" style="4" customWidth="1"/>
    <col min="12018" max="12018" width="8" style="4" customWidth="1"/>
    <col min="12019" max="12019" width="42.5703125" style="4" bestFit="1" customWidth="1"/>
    <col min="12020" max="12020" width="3.28515625" style="4" customWidth="1"/>
    <col min="12021" max="12021" width="8" style="4" customWidth="1"/>
    <col min="12022" max="12022" width="42.5703125" style="4" bestFit="1" customWidth="1"/>
    <col min="12023" max="12023" width="3.28515625" style="4" customWidth="1"/>
    <col min="12024" max="12024" width="8" style="4" customWidth="1"/>
    <col min="12025" max="12025" width="42.5703125" style="4" bestFit="1" customWidth="1"/>
    <col min="12026" max="12026" width="3.28515625" style="4" customWidth="1"/>
    <col min="12027" max="12027" width="8" style="4" customWidth="1"/>
    <col min="12028" max="12028" width="42.5703125" style="4" bestFit="1" customWidth="1"/>
    <col min="12029" max="12029" width="3.28515625" style="4" customWidth="1"/>
    <col min="12030" max="12030" width="8" style="4" customWidth="1"/>
    <col min="12031" max="12031" width="42.5703125" style="4" bestFit="1" customWidth="1"/>
    <col min="12032" max="12032" width="3.28515625" style="4" customWidth="1"/>
    <col min="12033" max="12033" width="8" style="4" customWidth="1"/>
    <col min="12034" max="12034" width="42.5703125" style="4" bestFit="1" customWidth="1"/>
    <col min="12035" max="12035" width="3.28515625" style="4" customWidth="1"/>
    <col min="12036" max="12036" width="8" style="4" customWidth="1"/>
    <col min="12037" max="12037" width="42.5703125" style="4" bestFit="1" customWidth="1"/>
    <col min="12038" max="12038" width="3.28515625" style="4" customWidth="1"/>
    <col min="12039" max="12039" width="8" style="4" customWidth="1"/>
    <col min="12040" max="12040" width="42.5703125" style="4" bestFit="1" customWidth="1"/>
    <col min="12041" max="12041" width="3.28515625" style="4" customWidth="1"/>
    <col min="12042" max="12042" width="8" style="4" customWidth="1"/>
    <col min="12043" max="12043" width="42.5703125" style="4" bestFit="1" customWidth="1"/>
    <col min="12044" max="12044" width="3.28515625" style="4" customWidth="1"/>
    <col min="12045" max="12045" width="8" style="4" customWidth="1"/>
    <col min="12046" max="12046" width="42.5703125" style="4" bestFit="1" customWidth="1"/>
    <col min="12047" max="12047" width="3.28515625" style="4" customWidth="1"/>
    <col min="12048" max="12048" width="8" style="4" customWidth="1"/>
    <col min="12049" max="12049" width="42.5703125" style="4" bestFit="1" customWidth="1"/>
    <col min="12050" max="12050" width="3.28515625" style="4" customWidth="1"/>
    <col min="12051" max="12051" width="8" style="4" customWidth="1"/>
    <col min="12052" max="12052" width="42.5703125" style="4" bestFit="1" customWidth="1"/>
    <col min="12053" max="12053" width="3.28515625" style="4" customWidth="1"/>
    <col min="12054" max="12054" width="8" style="4" customWidth="1"/>
    <col min="12055" max="12055" width="42.5703125" style="4" bestFit="1" customWidth="1"/>
    <col min="12056" max="12056" width="3.28515625" style="4" customWidth="1"/>
    <col min="12057" max="12057" width="8" style="4" customWidth="1"/>
    <col min="12058" max="12058" width="42.5703125" style="4" bestFit="1" customWidth="1"/>
    <col min="12059" max="12059" width="3.28515625" style="4" customWidth="1"/>
    <col min="12060" max="12060" width="8" style="4" customWidth="1"/>
    <col min="12061" max="12061" width="42.5703125" style="4" bestFit="1" customWidth="1"/>
    <col min="12062" max="12062" width="3.28515625" style="4" customWidth="1"/>
    <col min="12063" max="12063" width="8" style="4" customWidth="1"/>
    <col min="12064" max="12064" width="42.5703125" style="4" bestFit="1" customWidth="1"/>
    <col min="12065" max="12065" width="3.28515625" style="4" customWidth="1"/>
    <col min="12066" max="12066" width="8" style="4" customWidth="1"/>
    <col min="12067" max="12067" width="42.5703125" style="4" bestFit="1" customWidth="1"/>
    <col min="12068" max="12068" width="3.28515625" style="4" customWidth="1"/>
    <col min="12069" max="12069" width="8" style="4" customWidth="1"/>
    <col min="12070" max="12070" width="42.5703125" style="4" bestFit="1" customWidth="1"/>
    <col min="12071" max="12071" width="3.28515625" style="4" customWidth="1"/>
    <col min="12072" max="12072" width="8" style="4" customWidth="1"/>
    <col min="12073" max="12073" width="42.5703125" style="4" bestFit="1" customWidth="1"/>
    <col min="12074" max="12074" width="3.28515625" style="4" customWidth="1"/>
    <col min="12075" max="12075" width="8" style="4" customWidth="1"/>
    <col min="12076" max="12076" width="42.5703125" style="4" bestFit="1" customWidth="1"/>
    <col min="12077" max="12077" width="3.28515625" style="4" customWidth="1"/>
    <col min="12078" max="12078" width="8" style="4" customWidth="1"/>
    <col min="12079" max="12079" width="42.5703125" style="4" bestFit="1" customWidth="1"/>
    <col min="12080" max="12080" width="3.28515625" style="4" customWidth="1"/>
    <col min="12081" max="12081" width="8" style="4" customWidth="1"/>
    <col min="12082" max="12082" width="42.5703125" style="4" bestFit="1" customWidth="1"/>
    <col min="12083" max="12083" width="3.28515625" style="4" customWidth="1"/>
    <col min="12084" max="12084" width="8" style="4" customWidth="1"/>
    <col min="12085" max="12085" width="42.5703125" style="4" bestFit="1" customWidth="1"/>
    <col min="12086" max="12086" width="3.28515625" style="4" customWidth="1"/>
    <col min="12087" max="12087" width="8" style="4" customWidth="1"/>
    <col min="12088" max="12088" width="42.5703125" style="4" bestFit="1" customWidth="1"/>
    <col min="12089" max="12089" width="3.28515625" style="4" customWidth="1"/>
    <col min="12090" max="12090" width="8" style="4" customWidth="1"/>
    <col min="12091" max="12091" width="42.5703125" style="4" bestFit="1" customWidth="1"/>
    <col min="12092" max="12092" width="3.28515625" style="4" customWidth="1"/>
    <col min="12093" max="12093" width="8" style="4" customWidth="1"/>
    <col min="12094" max="12094" width="42.5703125" style="4" bestFit="1" customWidth="1"/>
    <col min="12095" max="12095" width="3.28515625" style="4" customWidth="1"/>
    <col min="12096" max="12096" width="8" style="4" customWidth="1"/>
    <col min="12097" max="12097" width="42.5703125" style="4" bestFit="1" customWidth="1"/>
    <col min="12098" max="12098" width="3.28515625" style="4" customWidth="1"/>
    <col min="12099" max="12099" width="8" style="4" customWidth="1"/>
    <col min="12100" max="12100" width="42.5703125" style="4" bestFit="1" customWidth="1"/>
    <col min="12101" max="12101" width="3.28515625" style="4" customWidth="1"/>
    <col min="12102" max="12102" width="8" style="4" customWidth="1"/>
    <col min="12103" max="12103" width="42.5703125" style="4" bestFit="1" customWidth="1"/>
    <col min="12104" max="12104" width="3.28515625" style="4" customWidth="1"/>
    <col min="12105" max="12105" width="8" style="4" customWidth="1"/>
    <col min="12106" max="12106" width="42.5703125" style="4" bestFit="1" customWidth="1"/>
    <col min="12107" max="12107" width="3.28515625" style="4" customWidth="1"/>
    <col min="12108" max="12108" width="8" style="4" customWidth="1"/>
    <col min="12109" max="12109" width="42.5703125" style="4" bestFit="1" customWidth="1"/>
    <col min="12110" max="12110" width="3.28515625" style="4" customWidth="1"/>
    <col min="12111" max="12111" width="8" style="4" customWidth="1"/>
    <col min="12112" max="12112" width="42.5703125" style="4" bestFit="1" customWidth="1"/>
    <col min="12113" max="12113" width="3.28515625" style="4" customWidth="1"/>
    <col min="12114" max="12114" width="8" style="4" customWidth="1"/>
    <col min="12115" max="12115" width="42.5703125" style="4" bestFit="1" customWidth="1"/>
    <col min="12116" max="12116" width="3.28515625" style="4" customWidth="1"/>
    <col min="12117" max="12117" width="8" style="4" customWidth="1"/>
    <col min="12118" max="12118" width="42.5703125" style="4" bestFit="1" customWidth="1"/>
    <col min="12119" max="12119" width="3.28515625" style="4" customWidth="1"/>
    <col min="12120" max="12120" width="8" style="4" customWidth="1"/>
    <col min="12121" max="12121" width="42.5703125" style="4" bestFit="1" customWidth="1"/>
    <col min="12122" max="12122" width="3.28515625" style="4" customWidth="1"/>
    <col min="12123" max="12123" width="8" style="4" customWidth="1"/>
    <col min="12124" max="12124" width="42.5703125" style="4" bestFit="1" customWidth="1"/>
    <col min="12125" max="12125" width="3.28515625" style="4" customWidth="1"/>
    <col min="12126" max="12126" width="8" style="4" customWidth="1"/>
    <col min="12127" max="12127" width="42.5703125" style="4" bestFit="1" customWidth="1"/>
    <col min="12128" max="12128" width="3.28515625" style="4" customWidth="1"/>
    <col min="12129" max="12129" width="8" style="4" customWidth="1"/>
    <col min="12130" max="12130" width="42.5703125" style="4" bestFit="1" customWidth="1"/>
    <col min="12131" max="12131" width="3.28515625" style="4" customWidth="1"/>
    <col min="12132" max="12132" width="8" style="4" customWidth="1"/>
    <col min="12133" max="12133" width="42.5703125" style="4" bestFit="1" customWidth="1"/>
    <col min="12134" max="12134" width="3.28515625" style="4" customWidth="1"/>
    <col min="12135" max="12135" width="8" style="4" customWidth="1"/>
    <col min="12136" max="12136" width="42.5703125" style="4" bestFit="1" customWidth="1"/>
    <col min="12137" max="12137" width="3.28515625" style="4" customWidth="1"/>
    <col min="12138" max="12138" width="8" style="4" customWidth="1"/>
    <col min="12139" max="12139" width="42.5703125" style="4" bestFit="1" customWidth="1"/>
    <col min="12140" max="12140" width="3.28515625" style="4" customWidth="1"/>
    <col min="12141" max="12141" width="8" style="4" customWidth="1"/>
    <col min="12142" max="12142" width="42.5703125" style="4" bestFit="1" customWidth="1"/>
    <col min="12143" max="12143" width="3.28515625" style="4" customWidth="1"/>
    <col min="12144" max="12144" width="8" style="4" customWidth="1"/>
    <col min="12145" max="12145" width="42.5703125" style="4" bestFit="1" customWidth="1"/>
    <col min="12146" max="12146" width="3.28515625" style="4" customWidth="1"/>
    <col min="12147" max="12147" width="8" style="4" customWidth="1"/>
    <col min="12148" max="12148" width="42.5703125" style="4" bestFit="1" customWidth="1"/>
    <col min="12149" max="12149" width="3.28515625" style="4" customWidth="1"/>
    <col min="12150" max="12150" width="8" style="4" customWidth="1"/>
    <col min="12151" max="12151" width="42.5703125" style="4" bestFit="1" customWidth="1"/>
    <col min="12152" max="12152" width="3.28515625" style="4" customWidth="1"/>
    <col min="12153" max="12153" width="8" style="4" customWidth="1"/>
    <col min="12154" max="12154" width="42.5703125" style="4" bestFit="1" customWidth="1"/>
    <col min="12155" max="12155" width="3.28515625" style="4" customWidth="1"/>
    <col min="12156" max="12156" width="8" style="4" customWidth="1"/>
    <col min="12157" max="12157" width="42.5703125" style="4" bestFit="1" customWidth="1"/>
    <col min="12158" max="12158" width="3.28515625" style="4" customWidth="1"/>
    <col min="12159" max="12159" width="8" style="4" customWidth="1"/>
    <col min="12160" max="12160" width="42.5703125" style="4" bestFit="1" customWidth="1"/>
    <col min="12161" max="12161" width="3.28515625" style="4" customWidth="1"/>
    <col min="12162" max="12162" width="8" style="4" customWidth="1"/>
    <col min="12163" max="12163" width="42.5703125" style="4" bestFit="1" customWidth="1"/>
    <col min="12164" max="12164" width="3.28515625" style="4" customWidth="1"/>
    <col min="12165" max="12165" width="8" style="4" customWidth="1"/>
    <col min="12166" max="12166" width="42.5703125" style="4" bestFit="1" customWidth="1"/>
    <col min="12167" max="12167" width="3.28515625" style="4" customWidth="1"/>
    <col min="12168" max="12168" width="8" style="4" customWidth="1"/>
    <col min="12169" max="12169" width="42.5703125" style="4" bestFit="1" customWidth="1"/>
    <col min="12170" max="12170" width="3.28515625" style="4" customWidth="1"/>
    <col min="12171" max="12171" width="8" style="4" customWidth="1"/>
    <col min="12172" max="12172" width="42.5703125" style="4" bestFit="1" customWidth="1"/>
    <col min="12173" max="12173" width="3.28515625" style="4" customWidth="1"/>
    <col min="12174" max="12174" width="8" style="4" customWidth="1"/>
    <col min="12175" max="12175" width="42.5703125" style="4" bestFit="1" customWidth="1"/>
    <col min="12176" max="12176" width="3.28515625" style="4" customWidth="1"/>
    <col min="12177" max="12177" width="8" style="4" customWidth="1"/>
    <col min="12178" max="12178" width="42.5703125" style="4" bestFit="1" customWidth="1"/>
    <col min="12179" max="12179" width="3.28515625" style="4" customWidth="1"/>
    <col min="12180" max="12180" width="8" style="4" customWidth="1"/>
    <col min="12181" max="12181" width="42.5703125" style="4" bestFit="1" customWidth="1"/>
    <col min="12182" max="12182" width="3.28515625" style="4" customWidth="1"/>
    <col min="12183" max="12183" width="8" style="4" customWidth="1"/>
    <col min="12184" max="12184" width="42.5703125" style="4" bestFit="1" customWidth="1"/>
    <col min="12185" max="12185" width="3.28515625" style="4" customWidth="1"/>
    <col min="12186" max="12186" width="8" style="4" customWidth="1"/>
    <col min="12187" max="12187" width="42.5703125" style="4" bestFit="1" customWidth="1"/>
    <col min="12188" max="12188" width="3.28515625" style="4" customWidth="1"/>
    <col min="12189" max="12189" width="8" style="4" customWidth="1"/>
    <col min="12190" max="12190" width="42.5703125" style="4" bestFit="1" customWidth="1"/>
    <col min="12191" max="12191" width="3.28515625" style="4" customWidth="1"/>
    <col min="12192" max="12192" width="8" style="4" customWidth="1"/>
    <col min="12193" max="12193" width="42.5703125" style="4" bestFit="1" customWidth="1"/>
    <col min="12194" max="12194" width="3.28515625" style="4" customWidth="1"/>
    <col min="12195" max="12195" width="8" style="4" customWidth="1"/>
    <col min="12196" max="12196" width="42.5703125" style="4" bestFit="1" customWidth="1"/>
    <col min="12197" max="12197" width="3.28515625" style="4" customWidth="1"/>
    <col min="12198" max="12198" width="8" style="4" customWidth="1"/>
    <col min="12199" max="12199" width="42.5703125" style="4" bestFit="1" customWidth="1"/>
    <col min="12200" max="12200" width="3.28515625" style="4" customWidth="1"/>
    <col min="12201" max="12201" width="8" style="4" customWidth="1"/>
    <col min="12202" max="12202" width="42.5703125" style="4" bestFit="1" customWidth="1"/>
    <col min="12203" max="12203" width="3.28515625" style="4" customWidth="1"/>
    <col min="12204" max="12204" width="8" style="4" customWidth="1"/>
    <col min="12205" max="12205" width="42.5703125" style="4" bestFit="1" customWidth="1"/>
    <col min="12206" max="12206" width="3.28515625" style="4" customWidth="1"/>
    <col min="12207" max="12207" width="8" style="4" customWidth="1"/>
    <col min="12208" max="12208" width="42.5703125" style="4" bestFit="1" customWidth="1"/>
    <col min="12209" max="12209" width="3.28515625" style="4" customWidth="1"/>
    <col min="12210" max="12210" width="8" style="4" customWidth="1"/>
    <col min="12211" max="12211" width="42.5703125" style="4" bestFit="1" customWidth="1"/>
    <col min="12212" max="12212" width="3.28515625" style="4" customWidth="1"/>
    <col min="12213" max="12213" width="8" style="4" customWidth="1"/>
    <col min="12214" max="12214" width="42.5703125" style="4" bestFit="1" customWidth="1"/>
    <col min="12215" max="12215" width="3.28515625" style="4" customWidth="1"/>
    <col min="12216" max="12216" width="8" style="4" customWidth="1"/>
    <col min="12217" max="12217" width="42.5703125" style="4" bestFit="1" customWidth="1"/>
    <col min="12218" max="12218" width="3.28515625" style="4" customWidth="1"/>
    <col min="12219" max="12219" width="8" style="4" customWidth="1"/>
    <col min="12220" max="12220" width="42.5703125" style="4" bestFit="1" customWidth="1"/>
    <col min="12221" max="12221" width="3.28515625" style="4" customWidth="1"/>
    <col min="12222" max="12222" width="8" style="4" customWidth="1"/>
    <col min="12223" max="12223" width="42.5703125" style="4" bestFit="1" customWidth="1"/>
    <col min="12224" max="12224" width="3.28515625" style="4" customWidth="1"/>
    <col min="12225" max="12225" width="8" style="4" customWidth="1"/>
    <col min="12226" max="12226" width="42.5703125" style="4" bestFit="1" customWidth="1"/>
    <col min="12227" max="12227" width="3.28515625" style="4" customWidth="1"/>
    <col min="12228" max="12228" width="8" style="4" customWidth="1"/>
    <col min="12229" max="12229" width="42.5703125" style="4" bestFit="1" customWidth="1"/>
    <col min="12230" max="12230" width="3.28515625" style="4" customWidth="1"/>
    <col min="12231" max="12231" width="8" style="4" customWidth="1"/>
    <col min="12232" max="12232" width="42.5703125" style="4" bestFit="1" customWidth="1"/>
    <col min="12233" max="12233" width="3.28515625" style="4" customWidth="1"/>
    <col min="12234" max="12234" width="8" style="4" customWidth="1"/>
    <col min="12235" max="12235" width="42.5703125" style="4" bestFit="1" customWidth="1"/>
    <col min="12236" max="12236" width="3.28515625" style="4" customWidth="1"/>
    <col min="12237" max="12237" width="8" style="4" customWidth="1"/>
    <col min="12238" max="12238" width="42.5703125" style="4" bestFit="1" customWidth="1"/>
    <col min="12239" max="12239" width="3.28515625" style="4" customWidth="1"/>
    <col min="12240" max="12240" width="8" style="4" customWidth="1"/>
    <col min="12241" max="12241" width="42.5703125" style="4" bestFit="1" customWidth="1"/>
    <col min="12242" max="12242" width="3.28515625" style="4" customWidth="1"/>
    <col min="12243" max="12243" width="8" style="4" customWidth="1"/>
    <col min="12244" max="12244" width="42.5703125" style="4" bestFit="1" customWidth="1"/>
    <col min="12245" max="12245" width="3.28515625" style="4" customWidth="1"/>
    <col min="12246" max="12246" width="8" style="4" customWidth="1"/>
    <col min="12247" max="12247" width="42.5703125" style="4" bestFit="1" customWidth="1"/>
    <col min="12248" max="12248" width="3.28515625" style="4" customWidth="1"/>
    <col min="12249" max="12249" width="8" style="4" customWidth="1"/>
    <col min="12250" max="12250" width="42.5703125" style="4" bestFit="1" customWidth="1"/>
    <col min="12251" max="12251" width="3.28515625" style="4" customWidth="1"/>
    <col min="12252" max="12252" width="8" style="4" customWidth="1"/>
    <col min="12253" max="12253" width="42.5703125" style="4" bestFit="1" customWidth="1"/>
    <col min="12254" max="12254" width="3.28515625" style="4" customWidth="1"/>
    <col min="12255" max="12255" width="8" style="4" customWidth="1"/>
    <col min="12256" max="12256" width="42.5703125" style="4" bestFit="1" customWidth="1"/>
    <col min="12257" max="12257" width="3.28515625" style="4" customWidth="1"/>
    <col min="12258" max="12258" width="8" style="4" customWidth="1"/>
    <col min="12259" max="12259" width="42.5703125" style="4" bestFit="1" customWidth="1"/>
    <col min="12260" max="12260" width="3.28515625" style="4" customWidth="1"/>
    <col min="12261" max="12261" width="8" style="4" customWidth="1"/>
    <col min="12262" max="12262" width="42.5703125" style="4" bestFit="1" customWidth="1"/>
    <col min="12263" max="12263" width="3.28515625" style="4" customWidth="1"/>
    <col min="12264" max="12264" width="8" style="4" customWidth="1"/>
    <col min="12265" max="12265" width="42.5703125" style="4" bestFit="1" customWidth="1"/>
    <col min="12266" max="12266" width="3.28515625" style="4" customWidth="1"/>
    <col min="12267" max="12267" width="8" style="4" customWidth="1"/>
    <col min="12268" max="12268" width="42.5703125" style="4" bestFit="1" customWidth="1"/>
    <col min="12269" max="12269" width="3.28515625" style="4" customWidth="1"/>
    <col min="12270" max="12270" width="8" style="4" customWidth="1"/>
    <col min="12271" max="12271" width="42.5703125" style="4" bestFit="1" customWidth="1"/>
    <col min="12272" max="12272" width="3.28515625" style="4" customWidth="1"/>
    <col min="12273" max="12273" width="8" style="4" customWidth="1"/>
    <col min="12274" max="12274" width="42.5703125" style="4" bestFit="1" customWidth="1"/>
    <col min="12275" max="12275" width="3.28515625" style="4" customWidth="1"/>
    <col min="12276" max="12276" width="8" style="4" customWidth="1"/>
    <col min="12277" max="12277" width="42.5703125" style="4" bestFit="1" customWidth="1"/>
    <col min="12278" max="12278" width="3.28515625" style="4" customWidth="1"/>
    <col min="12279" max="12279" width="8" style="4" customWidth="1"/>
    <col min="12280" max="12280" width="42.5703125" style="4" bestFit="1" customWidth="1"/>
    <col min="12281" max="12281" width="3.28515625" style="4" customWidth="1"/>
    <col min="12282" max="12282" width="8" style="4" customWidth="1"/>
    <col min="12283" max="12283" width="42.5703125" style="4" bestFit="1" customWidth="1"/>
    <col min="12284" max="12284" width="3.28515625" style="4" customWidth="1"/>
    <col min="12285" max="12285" width="8" style="4" customWidth="1"/>
    <col min="12286" max="12286" width="42.5703125" style="4" bestFit="1" customWidth="1"/>
    <col min="12287" max="12287" width="3.28515625" style="4" customWidth="1"/>
    <col min="12288" max="12288" width="8" style="4" customWidth="1"/>
    <col min="12289" max="12289" width="42.5703125" style="4" bestFit="1" customWidth="1"/>
    <col min="12290" max="12290" width="3.28515625" style="4" customWidth="1"/>
    <col min="12291" max="12291" width="8" style="4" customWidth="1"/>
    <col min="12292" max="12292" width="42.5703125" style="4" bestFit="1" customWidth="1"/>
    <col min="12293" max="12293" width="3.28515625" style="4" customWidth="1"/>
    <col min="12294" max="12294" width="8" style="4" customWidth="1"/>
    <col min="12295" max="12295" width="42.5703125" style="4" bestFit="1" customWidth="1"/>
    <col min="12296" max="12296" width="3.28515625" style="4" customWidth="1"/>
    <col min="12297" max="12297" width="8" style="4" customWidth="1"/>
    <col min="12298" max="12298" width="42.5703125" style="4" bestFit="1" customWidth="1"/>
    <col min="12299" max="12299" width="3.28515625" style="4" customWidth="1"/>
    <col min="12300" max="12300" width="8" style="4" customWidth="1"/>
    <col min="12301" max="12301" width="42.5703125" style="4" bestFit="1" customWidth="1"/>
    <col min="12302" max="12302" width="3.28515625" style="4" customWidth="1"/>
    <col min="12303" max="12303" width="8" style="4" customWidth="1"/>
    <col min="12304" max="12304" width="42.5703125" style="4" bestFit="1" customWidth="1"/>
    <col min="12305" max="12305" width="3.28515625" style="4" customWidth="1"/>
    <col min="12306" max="12306" width="8" style="4" customWidth="1"/>
    <col min="12307" max="12307" width="42.5703125" style="4" bestFit="1" customWidth="1"/>
    <col min="12308" max="12308" width="3.28515625" style="4" customWidth="1"/>
    <col min="12309" max="12309" width="8" style="4" customWidth="1"/>
    <col min="12310" max="12310" width="42.5703125" style="4" bestFit="1" customWidth="1"/>
    <col min="12311" max="12311" width="3.28515625" style="4" customWidth="1"/>
    <col min="12312" max="12312" width="8" style="4" customWidth="1"/>
    <col min="12313" max="12313" width="42.5703125" style="4" bestFit="1" customWidth="1"/>
    <col min="12314" max="12314" width="3.28515625" style="4" customWidth="1"/>
    <col min="12315" max="12315" width="8" style="4" customWidth="1"/>
    <col min="12316" max="12316" width="42.5703125" style="4" bestFit="1" customWidth="1"/>
    <col min="12317" max="12317" width="3.28515625" style="4" customWidth="1"/>
    <col min="12318" max="12318" width="8" style="4" customWidth="1"/>
    <col min="12319" max="12319" width="42.5703125" style="4" bestFit="1" customWidth="1"/>
    <col min="12320" max="12320" width="3.28515625" style="4" customWidth="1"/>
    <col min="12321" max="12321" width="8" style="4" customWidth="1"/>
    <col min="12322" max="12322" width="42.5703125" style="4" bestFit="1" customWidth="1"/>
    <col min="12323" max="12323" width="3.28515625" style="4" customWidth="1"/>
    <col min="12324" max="12324" width="8" style="4" customWidth="1"/>
    <col min="12325" max="12325" width="42.5703125" style="4" bestFit="1" customWidth="1"/>
    <col min="12326" max="12326" width="3.28515625" style="4" customWidth="1"/>
    <col min="12327" max="12327" width="8" style="4" customWidth="1"/>
    <col min="12328" max="12328" width="42.5703125" style="4" bestFit="1" customWidth="1"/>
    <col min="12329" max="12329" width="3.28515625" style="4" customWidth="1"/>
    <col min="12330" max="12330" width="8" style="4" customWidth="1"/>
    <col min="12331" max="12331" width="42.5703125" style="4" bestFit="1" customWidth="1"/>
    <col min="12332" max="12332" width="3.28515625" style="4" customWidth="1"/>
    <col min="12333" max="12333" width="8" style="4" customWidth="1"/>
    <col min="12334" max="12334" width="42.5703125" style="4" bestFit="1" customWidth="1"/>
    <col min="12335" max="12335" width="3.28515625" style="4" customWidth="1"/>
    <col min="12336" max="12336" width="8" style="4" customWidth="1"/>
    <col min="12337" max="12337" width="42.5703125" style="4" bestFit="1" customWidth="1"/>
    <col min="12338" max="12338" width="3.28515625" style="4" customWidth="1"/>
    <col min="12339" max="12339" width="8" style="4" customWidth="1"/>
    <col min="12340" max="12340" width="42.5703125" style="4" bestFit="1" customWidth="1"/>
    <col min="12341" max="12341" width="3.28515625" style="4" customWidth="1"/>
    <col min="12342" max="12342" width="8" style="4" customWidth="1"/>
    <col min="12343" max="12343" width="42.5703125" style="4" bestFit="1" customWidth="1"/>
    <col min="12344" max="12344" width="3.28515625" style="4" customWidth="1"/>
    <col min="12345" max="12345" width="8" style="4" customWidth="1"/>
    <col min="12346" max="12346" width="42.5703125" style="4" bestFit="1" customWidth="1"/>
    <col min="12347" max="12347" width="3.28515625" style="4" customWidth="1"/>
    <col min="12348" max="12348" width="8" style="4" customWidth="1"/>
    <col min="12349" max="12349" width="42.5703125" style="4" bestFit="1" customWidth="1"/>
    <col min="12350" max="12350" width="3.28515625" style="4" customWidth="1"/>
    <col min="12351" max="12351" width="8" style="4" customWidth="1"/>
    <col min="12352" max="12352" width="42.5703125" style="4" bestFit="1" customWidth="1"/>
    <col min="12353" max="12353" width="3.28515625" style="4" customWidth="1"/>
    <col min="12354" max="12354" width="8" style="4" customWidth="1"/>
    <col min="12355" max="12355" width="42.5703125" style="4" bestFit="1" customWidth="1"/>
    <col min="12356" max="12356" width="3.28515625" style="4" customWidth="1"/>
    <col min="12357" max="12357" width="8" style="4" customWidth="1"/>
    <col min="12358" max="12358" width="42.5703125" style="4" bestFit="1" customWidth="1"/>
    <col min="12359" max="12359" width="3.28515625" style="4" customWidth="1"/>
    <col min="12360" max="12360" width="8" style="4" customWidth="1"/>
    <col min="12361" max="12361" width="42.5703125" style="4" bestFit="1" customWidth="1"/>
    <col min="12362" max="12362" width="3.28515625" style="4" customWidth="1"/>
    <col min="12363" max="12363" width="8" style="4" customWidth="1"/>
    <col min="12364" max="12364" width="42.5703125" style="4" bestFit="1" customWidth="1"/>
    <col min="12365" max="12365" width="3.28515625" style="4" customWidth="1"/>
    <col min="12366" max="12366" width="8" style="4" customWidth="1"/>
    <col min="12367" max="12367" width="42.5703125" style="4" bestFit="1" customWidth="1"/>
    <col min="12368" max="12368" width="3.28515625" style="4" customWidth="1"/>
    <col min="12369" max="12369" width="8" style="4" customWidth="1"/>
    <col min="12370" max="12370" width="42.5703125" style="4" bestFit="1" customWidth="1"/>
    <col min="12371" max="12371" width="3.28515625" style="4" customWidth="1"/>
    <col min="12372" max="12372" width="8" style="4" customWidth="1"/>
    <col min="12373" max="12373" width="42.5703125" style="4" bestFit="1" customWidth="1"/>
    <col min="12374" max="12374" width="3.28515625" style="4" customWidth="1"/>
    <col min="12375" max="12375" width="8" style="4" customWidth="1"/>
    <col min="12376" max="12376" width="42.5703125" style="4" bestFit="1" customWidth="1"/>
    <col min="12377" max="12377" width="3.28515625" style="4" customWidth="1"/>
    <col min="12378" max="12378" width="8" style="4" customWidth="1"/>
    <col min="12379" max="12379" width="42.5703125" style="4" bestFit="1" customWidth="1"/>
    <col min="12380" max="12380" width="3.28515625" style="4" customWidth="1"/>
    <col min="12381" max="12381" width="8" style="4" customWidth="1"/>
    <col min="12382" max="12382" width="42.5703125" style="4" bestFit="1" customWidth="1"/>
    <col min="12383" max="12383" width="3.28515625" style="4" customWidth="1"/>
    <col min="12384" max="12384" width="8" style="4" customWidth="1"/>
    <col min="12385" max="12385" width="42.5703125" style="4" bestFit="1" customWidth="1"/>
    <col min="12386" max="12386" width="3.28515625" style="4" customWidth="1"/>
    <col min="12387" max="12387" width="8" style="4" customWidth="1"/>
    <col min="12388" max="12388" width="42.5703125" style="4" bestFit="1" customWidth="1"/>
    <col min="12389" max="12389" width="3.28515625" style="4" customWidth="1"/>
    <col min="12390" max="12390" width="8" style="4" customWidth="1"/>
    <col min="12391" max="12391" width="42.5703125" style="4" bestFit="1" customWidth="1"/>
    <col min="12392" max="12392" width="3.28515625" style="4" customWidth="1"/>
    <col min="12393" max="12393" width="8" style="4" customWidth="1"/>
    <col min="12394" max="12394" width="42.5703125" style="4" bestFit="1" customWidth="1"/>
    <col min="12395" max="12395" width="3.28515625" style="4" customWidth="1"/>
    <col min="12396" max="12396" width="8" style="4" customWidth="1"/>
    <col min="12397" max="12397" width="42.5703125" style="4" bestFit="1" customWidth="1"/>
    <col min="12398" max="12398" width="3.28515625" style="4" customWidth="1"/>
    <col min="12399" max="12399" width="8" style="4" customWidth="1"/>
    <col min="12400" max="12400" width="42.5703125" style="4" bestFit="1" customWidth="1"/>
    <col min="12401" max="12401" width="3.28515625" style="4" customWidth="1"/>
    <col min="12402" max="12402" width="8" style="4" customWidth="1"/>
    <col min="12403" max="12403" width="42.5703125" style="4" bestFit="1" customWidth="1"/>
    <col min="12404" max="12404" width="3.28515625" style="4" customWidth="1"/>
    <col min="12405" max="12405" width="8" style="4" customWidth="1"/>
    <col min="12406" max="12406" width="42.5703125" style="4" bestFit="1" customWidth="1"/>
    <col min="12407" max="12407" width="3.28515625" style="4" customWidth="1"/>
    <col min="12408" max="12408" width="8" style="4" customWidth="1"/>
    <col min="12409" max="12409" width="42.5703125" style="4" bestFit="1" customWidth="1"/>
    <col min="12410" max="12410" width="3.28515625" style="4" customWidth="1"/>
    <col min="12411" max="12411" width="8" style="4" customWidth="1"/>
    <col min="12412" max="12412" width="42.5703125" style="4" bestFit="1" customWidth="1"/>
    <col min="12413" max="12413" width="3.28515625" style="4" customWidth="1"/>
    <col min="12414" max="12414" width="8" style="4" customWidth="1"/>
    <col min="12415" max="12415" width="42.5703125" style="4" bestFit="1" customWidth="1"/>
    <col min="12416" max="12416" width="3.28515625" style="4" customWidth="1"/>
    <col min="12417" max="12417" width="8" style="4" customWidth="1"/>
    <col min="12418" max="12418" width="42.5703125" style="4" bestFit="1" customWidth="1"/>
    <col min="12419" max="12419" width="3.28515625" style="4" customWidth="1"/>
    <col min="12420" max="12420" width="8" style="4" customWidth="1"/>
    <col min="12421" max="12421" width="42.5703125" style="4" bestFit="1" customWidth="1"/>
    <col min="12422" max="12422" width="3.28515625" style="4" customWidth="1"/>
    <col min="12423" max="12423" width="8" style="4" customWidth="1"/>
    <col min="12424" max="12424" width="42.5703125" style="4" bestFit="1" customWidth="1"/>
    <col min="12425" max="12425" width="3.28515625" style="4" customWidth="1"/>
    <col min="12426" max="12426" width="8" style="4" customWidth="1"/>
    <col min="12427" max="12427" width="42.5703125" style="4" bestFit="1" customWidth="1"/>
    <col min="12428" max="12428" width="3.28515625" style="4" customWidth="1"/>
    <col min="12429" max="12429" width="8" style="4" customWidth="1"/>
    <col min="12430" max="12430" width="42.5703125" style="4" bestFit="1" customWidth="1"/>
    <col min="12431" max="12431" width="3.28515625" style="4" customWidth="1"/>
    <col min="12432" max="12432" width="8" style="4" customWidth="1"/>
    <col min="12433" max="12433" width="42.5703125" style="4" bestFit="1" customWidth="1"/>
    <col min="12434" max="12434" width="3.28515625" style="4" customWidth="1"/>
    <col min="12435" max="12435" width="8" style="4" customWidth="1"/>
    <col min="12436" max="12436" width="42.5703125" style="4" bestFit="1" customWidth="1"/>
    <col min="12437" max="12437" width="3.28515625" style="4" customWidth="1"/>
    <col min="12438" max="12438" width="8" style="4" customWidth="1"/>
    <col min="12439" max="12439" width="42.5703125" style="4" bestFit="1" customWidth="1"/>
    <col min="12440" max="12440" width="3.28515625" style="4" customWidth="1"/>
    <col min="12441" max="12441" width="8" style="4" customWidth="1"/>
    <col min="12442" max="12442" width="42.5703125" style="4" bestFit="1" customWidth="1"/>
    <col min="12443" max="12443" width="3.28515625" style="4" customWidth="1"/>
    <col min="12444" max="12444" width="8" style="4" customWidth="1"/>
    <col min="12445" max="12445" width="42.5703125" style="4" bestFit="1" customWidth="1"/>
    <col min="12446" max="12446" width="3.28515625" style="4" customWidth="1"/>
    <col min="12447" max="12447" width="8" style="4" customWidth="1"/>
    <col min="12448" max="12448" width="42.5703125" style="4" bestFit="1" customWidth="1"/>
    <col min="12449" max="12449" width="3.28515625" style="4" customWidth="1"/>
    <col min="12450" max="12450" width="8" style="4" customWidth="1"/>
    <col min="12451" max="12451" width="42.5703125" style="4" bestFit="1" customWidth="1"/>
    <col min="12452" max="12452" width="3.28515625" style="4" customWidth="1"/>
    <col min="12453" max="12453" width="8" style="4" customWidth="1"/>
    <col min="12454" max="12454" width="42.5703125" style="4" bestFit="1" customWidth="1"/>
    <col min="12455" max="12455" width="3.28515625" style="4" customWidth="1"/>
    <col min="12456" max="12456" width="8" style="4" customWidth="1"/>
    <col min="12457" max="12457" width="42.5703125" style="4" bestFit="1" customWidth="1"/>
    <col min="12458" max="12458" width="3.28515625" style="4" customWidth="1"/>
    <col min="12459" max="12459" width="8" style="4" customWidth="1"/>
    <col min="12460" max="12460" width="42.5703125" style="4" bestFit="1" customWidth="1"/>
    <col min="12461" max="12461" width="3.28515625" style="4" customWidth="1"/>
    <col min="12462" max="12462" width="8" style="4" customWidth="1"/>
    <col min="12463" max="12463" width="42.5703125" style="4" bestFit="1" customWidth="1"/>
    <col min="12464" max="12464" width="3.28515625" style="4" customWidth="1"/>
    <col min="12465" max="12465" width="8" style="4" customWidth="1"/>
    <col min="12466" max="12466" width="42.5703125" style="4" bestFit="1" customWidth="1"/>
    <col min="12467" max="12467" width="3.28515625" style="4" customWidth="1"/>
    <col min="12468" max="12468" width="8" style="4" customWidth="1"/>
    <col min="12469" max="12469" width="42.5703125" style="4" bestFit="1" customWidth="1"/>
    <col min="12470" max="12470" width="3.28515625" style="4" customWidth="1"/>
    <col min="12471" max="12471" width="8" style="4" customWidth="1"/>
    <col min="12472" max="12472" width="42.5703125" style="4" bestFit="1" customWidth="1"/>
    <col min="12473" max="12473" width="3.28515625" style="4" customWidth="1"/>
    <col min="12474" max="12474" width="8" style="4" customWidth="1"/>
    <col min="12475" max="12475" width="42.5703125" style="4" bestFit="1" customWidth="1"/>
    <col min="12476" max="12476" width="3.28515625" style="4" customWidth="1"/>
    <col min="12477" max="12477" width="8" style="4" customWidth="1"/>
    <col min="12478" max="12478" width="42.5703125" style="4" bestFit="1" customWidth="1"/>
    <col min="12479" max="12479" width="3.28515625" style="4" customWidth="1"/>
    <col min="12480" max="12480" width="8" style="4" customWidth="1"/>
    <col min="12481" max="12481" width="42.5703125" style="4" bestFit="1" customWidth="1"/>
    <col min="12482" max="12482" width="3.28515625" style="4" customWidth="1"/>
    <col min="12483" max="12483" width="8" style="4" customWidth="1"/>
    <col min="12484" max="12484" width="42.5703125" style="4" bestFit="1" customWidth="1"/>
    <col min="12485" max="12485" width="3.28515625" style="4" customWidth="1"/>
    <col min="12486" max="12486" width="8" style="4" customWidth="1"/>
    <col min="12487" max="12487" width="42.5703125" style="4" bestFit="1" customWidth="1"/>
    <col min="12488" max="12488" width="3.28515625" style="4" customWidth="1"/>
    <col min="12489" max="12489" width="8" style="4" customWidth="1"/>
    <col min="12490" max="12490" width="42.5703125" style="4" bestFit="1" customWidth="1"/>
    <col min="12491" max="12491" width="3.28515625" style="4" customWidth="1"/>
    <col min="12492" max="12492" width="8" style="4" customWidth="1"/>
    <col min="12493" max="12493" width="42.5703125" style="4" bestFit="1" customWidth="1"/>
    <col min="12494" max="12494" width="3.28515625" style="4" customWidth="1"/>
    <col min="12495" max="12495" width="8" style="4" customWidth="1"/>
    <col min="12496" max="12496" width="42.5703125" style="4" bestFit="1" customWidth="1"/>
    <col min="12497" max="12497" width="3.28515625" style="4" customWidth="1"/>
    <col min="12498" max="12498" width="8" style="4" customWidth="1"/>
    <col min="12499" max="12499" width="42.5703125" style="4" bestFit="1" customWidth="1"/>
    <col min="12500" max="12500" width="3.28515625" style="4" customWidth="1"/>
    <col min="12501" max="12501" width="8" style="4" customWidth="1"/>
    <col min="12502" max="12502" width="42.5703125" style="4" bestFit="1" customWidth="1"/>
    <col min="12503" max="12503" width="3.28515625" style="4" customWidth="1"/>
    <col min="12504" max="12504" width="8" style="4" customWidth="1"/>
    <col min="12505" max="12505" width="42.5703125" style="4" bestFit="1" customWidth="1"/>
    <col min="12506" max="12506" width="3.28515625" style="4" customWidth="1"/>
    <col min="12507" max="12507" width="8" style="4" customWidth="1"/>
    <col min="12508" max="12508" width="42.5703125" style="4" bestFit="1" customWidth="1"/>
    <col min="12509" max="12509" width="3.28515625" style="4" customWidth="1"/>
    <col min="12510" max="12510" width="8" style="4" customWidth="1"/>
    <col min="12511" max="12511" width="42.5703125" style="4" bestFit="1" customWidth="1"/>
    <col min="12512" max="12512" width="3.28515625" style="4" customWidth="1"/>
    <col min="12513" max="12513" width="8" style="4" customWidth="1"/>
    <col min="12514" max="12514" width="42.5703125" style="4" bestFit="1" customWidth="1"/>
    <col min="12515" max="12515" width="3.28515625" style="4" customWidth="1"/>
    <col min="12516" max="12516" width="8" style="4" customWidth="1"/>
    <col min="12517" max="12517" width="42.5703125" style="4" bestFit="1" customWidth="1"/>
    <col min="12518" max="12518" width="3.28515625" style="4" customWidth="1"/>
    <col min="12519" max="12519" width="8" style="4" customWidth="1"/>
    <col min="12520" max="12520" width="42.5703125" style="4" bestFit="1" customWidth="1"/>
    <col min="12521" max="12521" width="3.28515625" style="4" customWidth="1"/>
    <col min="12522" max="12522" width="8" style="4" customWidth="1"/>
    <col min="12523" max="12523" width="42.5703125" style="4" bestFit="1" customWidth="1"/>
    <col min="12524" max="12524" width="3.28515625" style="4" customWidth="1"/>
    <col min="12525" max="12525" width="8" style="4" customWidth="1"/>
    <col min="12526" max="12526" width="42.5703125" style="4" bestFit="1" customWidth="1"/>
    <col min="12527" max="12527" width="3.28515625" style="4" customWidth="1"/>
    <col min="12528" max="12528" width="8" style="4" customWidth="1"/>
    <col min="12529" max="12529" width="42.5703125" style="4" bestFit="1" customWidth="1"/>
    <col min="12530" max="12530" width="3.28515625" style="4" customWidth="1"/>
    <col min="12531" max="12531" width="8" style="4" customWidth="1"/>
    <col min="12532" max="12532" width="42.5703125" style="4" bestFit="1" customWidth="1"/>
    <col min="12533" max="12533" width="3.28515625" style="4" customWidth="1"/>
    <col min="12534" max="12534" width="8" style="4" customWidth="1"/>
    <col min="12535" max="12535" width="42.5703125" style="4" bestFit="1" customWidth="1"/>
    <col min="12536" max="12536" width="3.28515625" style="4" customWidth="1"/>
    <col min="12537" max="12537" width="8" style="4" customWidth="1"/>
    <col min="12538" max="12538" width="42.5703125" style="4" bestFit="1" customWidth="1"/>
    <col min="12539" max="12539" width="3.28515625" style="4" customWidth="1"/>
    <col min="12540" max="12540" width="8" style="4" customWidth="1"/>
    <col min="12541" max="12541" width="42.5703125" style="4" bestFit="1" customWidth="1"/>
    <col min="12542" max="12542" width="3.28515625" style="4" customWidth="1"/>
    <col min="12543" max="12543" width="8" style="4" customWidth="1"/>
    <col min="12544" max="12544" width="42.5703125" style="4" bestFit="1" customWidth="1"/>
    <col min="12545" max="12545" width="3.28515625" style="4" customWidth="1"/>
    <col min="12546" max="12546" width="8" style="4" customWidth="1"/>
    <col min="12547" max="12547" width="42.5703125" style="4" bestFit="1" customWidth="1"/>
    <col min="12548" max="12548" width="3.28515625" style="4" customWidth="1"/>
    <col min="12549" max="12549" width="8" style="4" customWidth="1"/>
    <col min="12550" max="12550" width="42.5703125" style="4" bestFit="1" customWidth="1"/>
    <col min="12551" max="12551" width="3.28515625" style="4" customWidth="1"/>
    <col min="12552" max="12552" width="8" style="4" customWidth="1"/>
    <col min="12553" max="12553" width="42.5703125" style="4" bestFit="1" customWidth="1"/>
    <col min="12554" max="12554" width="3.28515625" style="4" customWidth="1"/>
    <col min="12555" max="12555" width="8" style="4" customWidth="1"/>
    <col min="12556" max="12556" width="42.5703125" style="4" bestFit="1" customWidth="1"/>
    <col min="12557" max="12557" width="3.28515625" style="4" customWidth="1"/>
    <col min="12558" max="12558" width="8" style="4" customWidth="1"/>
    <col min="12559" max="12559" width="42.5703125" style="4" bestFit="1" customWidth="1"/>
    <col min="12560" max="12560" width="3.28515625" style="4" customWidth="1"/>
    <col min="12561" max="12561" width="8" style="4" customWidth="1"/>
    <col min="12562" max="12562" width="42.5703125" style="4" bestFit="1" customWidth="1"/>
    <col min="12563" max="12563" width="3.28515625" style="4" customWidth="1"/>
    <col min="12564" max="12564" width="8" style="4" customWidth="1"/>
    <col min="12565" max="12565" width="42.5703125" style="4" bestFit="1" customWidth="1"/>
    <col min="12566" max="12566" width="3.28515625" style="4" customWidth="1"/>
    <col min="12567" max="12567" width="8" style="4" customWidth="1"/>
    <col min="12568" max="12568" width="42.5703125" style="4" bestFit="1" customWidth="1"/>
    <col min="12569" max="12569" width="3.28515625" style="4" customWidth="1"/>
    <col min="12570" max="12570" width="8" style="4" customWidth="1"/>
    <col min="12571" max="12571" width="42.5703125" style="4" bestFit="1" customWidth="1"/>
    <col min="12572" max="12572" width="3.28515625" style="4" customWidth="1"/>
    <col min="12573" max="12573" width="8" style="4" customWidth="1"/>
    <col min="12574" max="12574" width="42.5703125" style="4" bestFit="1" customWidth="1"/>
    <col min="12575" max="12575" width="3.28515625" style="4" customWidth="1"/>
    <col min="12576" max="12576" width="8" style="4" customWidth="1"/>
    <col min="12577" max="12577" width="42.5703125" style="4" bestFit="1" customWidth="1"/>
    <col min="12578" max="12578" width="3.28515625" style="4" customWidth="1"/>
    <col min="12579" max="12579" width="8" style="4" customWidth="1"/>
    <col min="12580" max="12580" width="42.5703125" style="4" bestFit="1" customWidth="1"/>
    <col min="12581" max="12581" width="3.28515625" style="4" customWidth="1"/>
    <col min="12582" max="12582" width="8" style="4" customWidth="1"/>
    <col min="12583" max="12583" width="42.5703125" style="4" bestFit="1" customWidth="1"/>
    <col min="12584" max="12584" width="3.28515625" style="4" customWidth="1"/>
    <col min="12585" max="12585" width="8" style="4" customWidth="1"/>
    <col min="12586" max="12586" width="42.5703125" style="4" bestFit="1" customWidth="1"/>
    <col min="12587" max="12587" width="3.28515625" style="4" customWidth="1"/>
    <col min="12588" max="12588" width="8" style="4" customWidth="1"/>
    <col min="12589" max="12589" width="42.5703125" style="4" bestFit="1" customWidth="1"/>
    <col min="12590" max="12590" width="3.28515625" style="4" customWidth="1"/>
    <col min="12591" max="12591" width="8" style="4" customWidth="1"/>
    <col min="12592" max="12592" width="42.5703125" style="4" bestFit="1" customWidth="1"/>
    <col min="12593" max="12593" width="3.28515625" style="4" customWidth="1"/>
    <col min="12594" max="12594" width="8" style="4" customWidth="1"/>
    <col min="12595" max="12595" width="42.5703125" style="4" bestFit="1" customWidth="1"/>
    <col min="12596" max="12596" width="3.28515625" style="4" customWidth="1"/>
    <col min="12597" max="12597" width="8" style="4" customWidth="1"/>
    <col min="12598" max="12598" width="42.5703125" style="4" bestFit="1" customWidth="1"/>
    <col min="12599" max="12599" width="3.28515625" style="4" customWidth="1"/>
    <col min="12600" max="12600" width="8" style="4" customWidth="1"/>
    <col min="12601" max="12601" width="42.5703125" style="4" bestFit="1" customWidth="1"/>
    <col min="12602" max="12602" width="3.28515625" style="4" customWidth="1"/>
    <col min="12603" max="12603" width="8" style="4" customWidth="1"/>
    <col min="12604" max="12604" width="42.5703125" style="4" bestFit="1" customWidth="1"/>
    <col min="12605" max="12605" width="3.28515625" style="4" customWidth="1"/>
    <col min="12606" max="12606" width="8" style="4" customWidth="1"/>
    <col min="12607" max="12607" width="42.5703125" style="4" bestFit="1" customWidth="1"/>
    <col min="12608" max="12608" width="3.28515625" style="4" customWidth="1"/>
    <col min="12609" max="12609" width="8" style="4" customWidth="1"/>
    <col min="12610" max="12610" width="42.5703125" style="4" bestFit="1" customWidth="1"/>
    <col min="12611" max="12611" width="3.28515625" style="4" customWidth="1"/>
    <col min="12612" max="12612" width="8" style="4" customWidth="1"/>
    <col min="12613" max="12613" width="42.5703125" style="4" bestFit="1" customWidth="1"/>
    <col min="12614" max="12614" width="3.28515625" style="4" customWidth="1"/>
    <col min="12615" max="12615" width="8" style="4" customWidth="1"/>
    <col min="12616" max="12616" width="42.5703125" style="4" bestFit="1" customWidth="1"/>
    <col min="12617" max="12617" width="3.28515625" style="4" customWidth="1"/>
    <col min="12618" max="12618" width="8" style="4" customWidth="1"/>
    <col min="12619" max="12619" width="42.5703125" style="4" bestFit="1" customWidth="1"/>
    <col min="12620" max="12620" width="3.28515625" style="4" customWidth="1"/>
    <col min="12621" max="12621" width="8" style="4" customWidth="1"/>
    <col min="12622" max="12622" width="42.5703125" style="4" bestFit="1" customWidth="1"/>
    <col min="12623" max="12623" width="3.28515625" style="4" customWidth="1"/>
    <col min="12624" max="12624" width="8" style="4" customWidth="1"/>
    <col min="12625" max="12625" width="42.5703125" style="4" bestFit="1" customWidth="1"/>
    <col min="12626" max="12626" width="3.28515625" style="4" customWidth="1"/>
    <col min="12627" max="12627" width="8" style="4" customWidth="1"/>
    <col min="12628" max="12628" width="42.5703125" style="4" bestFit="1" customWidth="1"/>
    <col min="12629" max="12629" width="3.28515625" style="4" customWidth="1"/>
    <col min="12630" max="12630" width="8" style="4" customWidth="1"/>
    <col min="12631" max="12631" width="42.5703125" style="4" bestFit="1" customWidth="1"/>
    <col min="12632" max="12632" width="3.28515625" style="4" customWidth="1"/>
    <col min="12633" max="12633" width="8" style="4" customWidth="1"/>
    <col min="12634" max="12634" width="42.5703125" style="4" bestFit="1" customWidth="1"/>
    <col min="12635" max="12635" width="3.28515625" style="4" customWidth="1"/>
    <col min="12636" max="12636" width="8" style="4" customWidth="1"/>
    <col min="12637" max="12637" width="42.5703125" style="4" bestFit="1" customWidth="1"/>
    <col min="12638" max="12638" width="3.28515625" style="4" customWidth="1"/>
    <col min="12639" max="12639" width="8" style="4" customWidth="1"/>
    <col min="12640" max="12640" width="42.5703125" style="4" bestFit="1" customWidth="1"/>
    <col min="12641" max="12641" width="3.28515625" style="4" customWidth="1"/>
    <col min="12642" max="12642" width="8" style="4" customWidth="1"/>
    <col min="12643" max="12643" width="42.5703125" style="4" bestFit="1" customWidth="1"/>
    <col min="12644" max="12644" width="3.28515625" style="4" customWidth="1"/>
    <col min="12645" max="12645" width="8" style="4" customWidth="1"/>
    <col min="12646" max="12646" width="42.5703125" style="4" bestFit="1" customWidth="1"/>
    <col min="12647" max="12647" width="3.28515625" style="4" customWidth="1"/>
    <col min="12648" max="12648" width="8" style="4" customWidth="1"/>
    <col min="12649" max="12649" width="42.5703125" style="4" bestFit="1" customWidth="1"/>
    <col min="12650" max="12650" width="3.28515625" style="4" customWidth="1"/>
    <col min="12651" max="12651" width="8" style="4" customWidth="1"/>
    <col min="12652" max="12652" width="42.5703125" style="4" bestFit="1" customWidth="1"/>
    <col min="12653" max="12653" width="3.28515625" style="4" customWidth="1"/>
    <col min="12654" max="12654" width="8" style="4" customWidth="1"/>
    <col min="12655" max="12655" width="42.5703125" style="4" bestFit="1" customWidth="1"/>
    <col min="12656" max="12656" width="3.28515625" style="4" customWidth="1"/>
    <col min="12657" max="12657" width="8" style="4" customWidth="1"/>
    <col min="12658" max="12658" width="42.5703125" style="4" bestFit="1" customWidth="1"/>
    <col min="12659" max="12659" width="3.28515625" style="4" customWidth="1"/>
    <col min="12660" max="12660" width="8" style="4" customWidth="1"/>
    <col min="12661" max="12661" width="42.5703125" style="4" bestFit="1" customWidth="1"/>
    <col min="12662" max="12662" width="3.28515625" style="4" customWidth="1"/>
    <col min="12663" max="12663" width="8" style="4" customWidth="1"/>
    <col min="12664" max="12664" width="42.5703125" style="4" bestFit="1" customWidth="1"/>
    <col min="12665" max="12665" width="3.28515625" style="4" customWidth="1"/>
    <col min="12666" max="12666" width="8" style="4" customWidth="1"/>
    <col min="12667" max="12667" width="42.5703125" style="4" bestFit="1" customWidth="1"/>
    <col min="12668" max="12668" width="3.28515625" style="4" customWidth="1"/>
    <col min="12669" max="12669" width="8" style="4" customWidth="1"/>
    <col min="12670" max="12670" width="42.5703125" style="4" bestFit="1" customWidth="1"/>
    <col min="12671" max="12671" width="3.28515625" style="4" customWidth="1"/>
    <col min="12672" max="12672" width="8" style="4" customWidth="1"/>
    <col min="12673" max="12673" width="42.5703125" style="4" bestFit="1" customWidth="1"/>
    <col min="12674" max="12674" width="3.28515625" style="4" customWidth="1"/>
    <col min="12675" max="12675" width="8" style="4" customWidth="1"/>
    <col min="12676" max="12676" width="42.5703125" style="4" bestFit="1" customWidth="1"/>
    <col min="12677" max="12677" width="3.28515625" style="4" customWidth="1"/>
    <col min="12678" max="12678" width="8" style="4" customWidth="1"/>
    <col min="12679" max="12679" width="42.5703125" style="4" bestFit="1" customWidth="1"/>
    <col min="12680" max="12680" width="3.28515625" style="4" customWidth="1"/>
    <col min="12681" max="12681" width="8" style="4" customWidth="1"/>
    <col min="12682" max="12682" width="42.5703125" style="4" bestFit="1" customWidth="1"/>
    <col min="12683" max="12683" width="3.28515625" style="4" customWidth="1"/>
    <col min="12684" max="12684" width="8" style="4" customWidth="1"/>
    <col min="12685" max="12685" width="42.5703125" style="4" bestFit="1" customWidth="1"/>
    <col min="12686" max="12686" width="3.28515625" style="4" customWidth="1"/>
    <col min="12687" max="12687" width="8" style="4" customWidth="1"/>
    <col min="12688" max="12688" width="42.5703125" style="4" bestFit="1" customWidth="1"/>
    <col min="12689" max="12689" width="3.28515625" style="4" customWidth="1"/>
    <col min="12690" max="12690" width="8" style="4" customWidth="1"/>
    <col min="12691" max="12691" width="42.5703125" style="4" bestFit="1" customWidth="1"/>
    <col min="12692" max="12692" width="3.28515625" style="4" customWidth="1"/>
    <col min="12693" max="12693" width="8" style="4" customWidth="1"/>
    <col min="12694" max="12694" width="42.5703125" style="4" bestFit="1" customWidth="1"/>
    <col min="12695" max="12695" width="3.28515625" style="4" customWidth="1"/>
    <col min="12696" max="12696" width="8" style="4" customWidth="1"/>
    <col min="12697" max="12697" width="42.5703125" style="4" bestFit="1" customWidth="1"/>
    <col min="12698" max="12698" width="3.28515625" style="4" customWidth="1"/>
    <col min="12699" max="12699" width="8" style="4" customWidth="1"/>
    <col min="12700" max="12700" width="42.5703125" style="4" bestFit="1" customWidth="1"/>
    <col min="12701" max="12701" width="3.28515625" style="4" customWidth="1"/>
    <col min="12702" max="12702" width="8" style="4" customWidth="1"/>
    <col min="12703" max="12703" width="42.5703125" style="4" bestFit="1" customWidth="1"/>
    <col min="12704" max="12704" width="3.28515625" style="4" customWidth="1"/>
    <col min="12705" max="12705" width="8" style="4" customWidth="1"/>
    <col min="12706" max="12706" width="42.5703125" style="4" bestFit="1" customWidth="1"/>
    <col min="12707" max="12707" width="3.28515625" style="4" customWidth="1"/>
    <col min="12708" max="12708" width="8" style="4" customWidth="1"/>
    <col min="12709" max="12709" width="42.5703125" style="4" bestFit="1" customWidth="1"/>
    <col min="12710" max="12710" width="3.28515625" style="4" customWidth="1"/>
    <col min="12711" max="12711" width="8" style="4" customWidth="1"/>
    <col min="12712" max="12712" width="42.5703125" style="4" bestFit="1" customWidth="1"/>
    <col min="12713" max="12713" width="3.28515625" style="4" customWidth="1"/>
    <col min="12714" max="12714" width="8" style="4" customWidth="1"/>
    <col min="12715" max="12715" width="42.5703125" style="4" bestFit="1" customWidth="1"/>
    <col min="12716" max="12716" width="3.28515625" style="4" customWidth="1"/>
    <col min="12717" max="12717" width="8" style="4" customWidth="1"/>
    <col min="12718" max="12718" width="42.5703125" style="4" bestFit="1" customWidth="1"/>
    <col min="12719" max="12719" width="3.28515625" style="4" customWidth="1"/>
    <col min="12720" max="12720" width="8" style="4" customWidth="1"/>
    <col min="12721" max="12721" width="42.5703125" style="4" bestFit="1" customWidth="1"/>
    <col min="12722" max="12722" width="3.28515625" style="4" customWidth="1"/>
    <col min="12723" max="12723" width="8" style="4" customWidth="1"/>
    <col min="12724" max="12724" width="42.5703125" style="4" bestFit="1" customWidth="1"/>
    <col min="12725" max="12725" width="3.28515625" style="4" customWidth="1"/>
    <col min="12726" max="12726" width="8" style="4" customWidth="1"/>
    <col min="12727" max="12727" width="42.5703125" style="4" bestFit="1" customWidth="1"/>
    <col min="12728" max="12728" width="3.28515625" style="4" customWidth="1"/>
    <col min="12729" max="12729" width="8" style="4" customWidth="1"/>
    <col min="12730" max="12730" width="42.5703125" style="4" bestFit="1" customWidth="1"/>
    <col min="12731" max="12731" width="3.28515625" style="4" customWidth="1"/>
    <col min="12732" max="12732" width="8" style="4" customWidth="1"/>
    <col min="12733" max="12733" width="42.5703125" style="4" bestFit="1" customWidth="1"/>
    <col min="12734" max="12734" width="3.28515625" style="4" customWidth="1"/>
    <col min="12735" max="12735" width="8" style="4" customWidth="1"/>
    <col min="12736" max="12736" width="42.5703125" style="4" bestFit="1" customWidth="1"/>
    <col min="12737" max="12737" width="3.28515625" style="4" customWidth="1"/>
    <col min="12738" max="12738" width="8" style="4" customWidth="1"/>
    <col min="12739" max="12739" width="42.5703125" style="4" bestFit="1" customWidth="1"/>
    <col min="12740" max="12740" width="3.28515625" style="4" customWidth="1"/>
    <col min="12741" max="12741" width="8" style="4" customWidth="1"/>
    <col min="12742" max="12742" width="42.5703125" style="4" bestFit="1" customWidth="1"/>
    <col min="12743" max="12743" width="3.28515625" style="4" customWidth="1"/>
    <col min="12744" max="12744" width="8" style="4" customWidth="1"/>
    <col min="12745" max="12745" width="42.5703125" style="4" bestFit="1" customWidth="1"/>
    <col min="12746" max="12746" width="3.28515625" style="4" customWidth="1"/>
    <col min="12747" max="12747" width="8" style="4" customWidth="1"/>
    <col min="12748" max="12748" width="42.5703125" style="4" bestFit="1" customWidth="1"/>
    <col min="12749" max="12749" width="3.28515625" style="4" customWidth="1"/>
    <col min="12750" max="12750" width="8" style="4" customWidth="1"/>
    <col min="12751" max="12751" width="42.5703125" style="4" bestFit="1" customWidth="1"/>
    <col min="12752" max="12752" width="3.28515625" style="4" customWidth="1"/>
    <col min="12753" max="12753" width="8" style="4" customWidth="1"/>
    <col min="12754" max="12754" width="42.5703125" style="4" bestFit="1" customWidth="1"/>
    <col min="12755" max="12755" width="3.28515625" style="4" customWidth="1"/>
    <col min="12756" max="12756" width="8" style="4" customWidth="1"/>
    <col min="12757" max="12757" width="42.5703125" style="4" bestFit="1" customWidth="1"/>
    <col min="12758" max="12758" width="3.28515625" style="4" customWidth="1"/>
    <col min="12759" max="12759" width="8" style="4" customWidth="1"/>
    <col min="12760" max="12760" width="42.5703125" style="4" bestFit="1" customWidth="1"/>
    <col min="12761" max="12761" width="3.28515625" style="4" customWidth="1"/>
    <col min="12762" max="12762" width="8" style="4" customWidth="1"/>
    <col min="12763" max="12763" width="42.5703125" style="4" bestFit="1" customWidth="1"/>
    <col min="12764" max="12764" width="3.28515625" style="4" customWidth="1"/>
    <col min="12765" max="12765" width="8" style="4" customWidth="1"/>
    <col min="12766" max="12766" width="42.5703125" style="4" bestFit="1" customWidth="1"/>
    <col min="12767" max="12767" width="3.28515625" style="4" customWidth="1"/>
    <col min="12768" max="12768" width="8" style="4" customWidth="1"/>
    <col min="12769" max="12769" width="42.5703125" style="4" bestFit="1" customWidth="1"/>
    <col min="12770" max="12770" width="3.28515625" style="4" customWidth="1"/>
    <col min="12771" max="12771" width="8" style="4" customWidth="1"/>
    <col min="12772" max="12772" width="42.5703125" style="4" bestFit="1" customWidth="1"/>
    <col min="12773" max="12773" width="3.28515625" style="4" customWidth="1"/>
    <col min="12774" max="12774" width="8" style="4" customWidth="1"/>
    <col min="12775" max="12775" width="42.5703125" style="4" bestFit="1" customWidth="1"/>
    <col min="12776" max="12776" width="3.28515625" style="4" customWidth="1"/>
    <col min="12777" max="12777" width="8" style="4" customWidth="1"/>
    <col min="12778" max="12778" width="42.5703125" style="4" bestFit="1" customWidth="1"/>
    <col min="12779" max="12779" width="3.28515625" style="4" customWidth="1"/>
    <col min="12780" max="12780" width="8" style="4" customWidth="1"/>
    <col min="12781" max="12781" width="42.5703125" style="4" bestFit="1" customWidth="1"/>
    <col min="12782" max="12782" width="3.28515625" style="4" customWidth="1"/>
    <col min="12783" max="12783" width="8" style="4" customWidth="1"/>
    <col min="12784" max="12784" width="42.5703125" style="4" bestFit="1" customWidth="1"/>
    <col min="12785" max="12785" width="3.28515625" style="4" customWidth="1"/>
    <col min="12786" max="12786" width="8" style="4" customWidth="1"/>
    <col min="12787" max="12787" width="42.5703125" style="4" bestFit="1" customWidth="1"/>
    <col min="12788" max="12788" width="3.28515625" style="4" customWidth="1"/>
    <col min="12789" max="12789" width="8" style="4" customWidth="1"/>
    <col min="12790" max="12790" width="42.5703125" style="4" bestFit="1" customWidth="1"/>
    <col min="12791" max="12791" width="3.28515625" style="4" customWidth="1"/>
    <col min="12792" max="12792" width="8" style="4" customWidth="1"/>
    <col min="12793" max="12793" width="42.5703125" style="4" bestFit="1" customWidth="1"/>
    <col min="12794" max="12794" width="3.28515625" style="4" customWidth="1"/>
    <col min="12795" max="12795" width="8" style="4" customWidth="1"/>
    <col min="12796" max="12796" width="42.5703125" style="4" bestFit="1" customWidth="1"/>
    <col min="12797" max="12797" width="3.28515625" style="4" customWidth="1"/>
    <col min="12798" max="12798" width="8" style="4" customWidth="1"/>
    <col min="12799" max="12799" width="42.5703125" style="4" bestFit="1" customWidth="1"/>
    <col min="12800" max="12800" width="3.28515625" style="4" customWidth="1"/>
    <col min="12801" max="12801" width="8" style="4" customWidth="1"/>
    <col min="12802" max="12802" width="42.5703125" style="4" bestFit="1" customWidth="1"/>
    <col min="12803" max="12803" width="3.28515625" style="4" customWidth="1"/>
    <col min="12804" max="12804" width="8" style="4" customWidth="1"/>
    <col min="12805" max="12805" width="42.5703125" style="4" bestFit="1" customWidth="1"/>
    <col min="12806" max="12806" width="3.28515625" style="4" customWidth="1"/>
    <col min="12807" max="12807" width="8" style="4" customWidth="1"/>
    <col min="12808" max="12808" width="42.5703125" style="4" bestFit="1" customWidth="1"/>
    <col min="12809" max="12809" width="3.28515625" style="4" customWidth="1"/>
    <col min="12810" max="12810" width="8" style="4" customWidth="1"/>
    <col min="12811" max="12811" width="42.5703125" style="4" bestFit="1" customWidth="1"/>
    <col min="12812" max="12812" width="3.28515625" style="4" customWidth="1"/>
    <col min="12813" max="12813" width="8" style="4" customWidth="1"/>
    <col min="12814" max="12814" width="42.5703125" style="4" bestFit="1" customWidth="1"/>
    <col min="12815" max="12815" width="3.28515625" style="4" customWidth="1"/>
    <col min="12816" max="12816" width="8" style="4" customWidth="1"/>
    <col min="12817" max="12817" width="42.5703125" style="4" bestFit="1" customWidth="1"/>
    <col min="12818" max="12818" width="3.28515625" style="4" customWidth="1"/>
    <col min="12819" max="12819" width="8" style="4" customWidth="1"/>
    <col min="12820" max="12820" width="42.5703125" style="4" bestFit="1" customWidth="1"/>
    <col min="12821" max="12821" width="3.28515625" style="4" customWidth="1"/>
    <col min="12822" max="12822" width="8" style="4" customWidth="1"/>
    <col min="12823" max="12823" width="42.5703125" style="4" bestFit="1" customWidth="1"/>
    <col min="12824" max="12824" width="3.28515625" style="4" customWidth="1"/>
    <col min="12825" max="12825" width="8" style="4" customWidth="1"/>
    <col min="12826" max="12826" width="42.5703125" style="4" bestFit="1" customWidth="1"/>
    <col min="12827" max="12827" width="3.28515625" style="4" customWidth="1"/>
    <col min="12828" max="12828" width="8" style="4" customWidth="1"/>
    <col min="12829" max="12829" width="42.5703125" style="4" bestFit="1" customWidth="1"/>
    <col min="12830" max="12830" width="3.28515625" style="4" customWidth="1"/>
    <col min="12831" max="12831" width="8" style="4" customWidth="1"/>
    <col min="12832" max="12832" width="42.5703125" style="4" bestFit="1" customWidth="1"/>
    <col min="12833" max="12833" width="3.28515625" style="4" customWidth="1"/>
    <col min="12834" max="12834" width="8" style="4" customWidth="1"/>
    <col min="12835" max="12835" width="42.5703125" style="4" bestFit="1" customWidth="1"/>
    <col min="12836" max="12836" width="3.28515625" style="4" customWidth="1"/>
    <col min="12837" max="12837" width="8" style="4" customWidth="1"/>
    <col min="12838" max="12838" width="42.5703125" style="4" bestFit="1" customWidth="1"/>
    <col min="12839" max="12839" width="3.28515625" style="4" customWidth="1"/>
    <col min="12840" max="12840" width="8" style="4" customWidth="1"/>
    <col min="12841" max="12841" width="42.5703125" style="4" bestFit="1" customWidth="1"/>
    <col min="12842" max="12842" width="3.28515625" style="4" customWidth="1"/>
    <col min="12843" max="12843" width="8" style="4" customWidth="1"/>
    <col min="12844" max="12844" width="42.5703125" style="4" bestFit="1" customWidth="1"/>
    <col min="12845" max="12845" width="3.28515625" style="4" customWidth="1"/>
    <col min="12846" max="12846" width="8" style="4" customWidth="1"/>
    <col min="12847" max="12847" width="42.5703125" style="4" bestFit="1" customWidth="1"/>
    <col min="12848" max="12848" width="3.28515625" style="4" customWidth="1"/>
    <col min="12849" max="12849" width="8" style="4" customWidth="1"/>
    <col min="12850" max="12850" width="42.5703125" style="4" bestFit="1" customWidth="1"/>
    <col min="12851" max="12851" width="3.28515625" style="4" customWidth="1"/>
    <col min="12852" max="12852" width="8" style="4" customWidth="1"/>
    <col min="12853" max="12853" width="42.5703125" style="4" bestFit="1" customWidth="1"/>
    <col min="12854" max="12854" width="3.28515625" style="4" customWidth="1"/>
    <col min="12855" max="12855" width="8" style="4" customWidth="1"/>
    <col min="12856" max="12856" width="42.5703125" style="4" bestFit="1" customWidth="1"/>
    <col min="12857" max="12857" width="3.28515625" style="4" customWidth="1"/>
    <col min="12858" max="12858" width="8" style="4" customWidth="1"/>
    <col min="12859" max="12859" width="42.5703125" style="4" bestFit="1" customWidth="1"/>
    <col min="12860" max="12860" width="3.28515625" style="4" customWidth="1"/>
    <col min="12861" max="12861" width="8" style="4" customWidth="1"/>
    <col min="12862" max="12862" width="42.5703125" style="4" bestFit="1" customWidth="1"/>
    <col min="12863" max="12863" width="3.28515625" style="4" customWidth="1"/>
    <col min="12864" max="12864" width="8" style="4" customWidth="1"/>
    <col min="12865" max="12865" width="42.5703125" style="4" bestFit="1" customWidth="1"/>
    <col min="12866" max="12866" width="3.28515625" style="4" customWidth="1"/>
    <col min="12867" max="12867" width="8" style="4" customWidth="1"/>
    <col min="12868" max="12868" width="42.5703125" style="4" bestFit="1" customWidth="1"/>
    <col min="12869" max="12869" width="3.28515625" style="4" customWidth="1"/>
    <col min="12870" max="12870" width="8" style="4" customWidth="1"/>
    <col min="12871" max="12871" width="42.5703125" style="4" bestFit="1" customWidth="1"/>
    <col min="12872" max="12872" width="3.28515625" style="4" customWidth="1"/>
    <col min="12873" max="12873" width="8" style="4" customWidth="1"/>
    <col min="12874" max="12874" width="42.5703125" style="4" bestFit="1" customWidth="1"/>
    <col min="12875" max="12875" width="3.28515625" style="4" customWidth="1"/>
    <col min="12876" max="12876" width="8" style="4" customWidth="1"/>
    <col min="12877" max="12877" width="42.5703125" style="4" bestFit="1" customWidth="1"/>
    <col min="12878" max="12878" width="3.28515625" style="4" customWidth="1"/>
    <col min="12879" max="12879" width="8" style="4" customWidth="1"/>
    <col min="12880" max="12880" width="42.5703125" style="4" bestFit="1" customWidth="1"/>
    <col min="12881" max="12881" width="3.28515625" style="4" customWidth="1"/>
    <col min="12882" max="12882" width="8" style="4" customWidth="1"/>
    <col min="12883" max="12883" width="42.5703125" style="4" bestFit="1" customWidth="1"/>
    <col min="12884" max="12884" width="3.28515625" style="4" customWidth="1"/>
    <col min="12885" max="12885" width="8" style="4" customWidth="1"/>
    <col min="12886" max="12886" width="42.5703125" style="4" bestFit="1" customWidth="1"/>
    <col min="12887" max="12887" width="3.28515625" style="4" customWidth="1"/>
    <col min="12888" max="12888" width="8" style="4" customWidth="1"/>
    <col min="12889" max="12889" width="42.5703125" style="4" bestFit="1" customWidth="1"/>
    <col min="12890" max="12890" width="3.28515625" style="4" customWidth="1"/>
    <col min="12891" max="12891" width="8" style="4" customWidth="1"/>
    <col min="12892" max="12892" width="42.5703125" style="4" bestFit="1" customWidth="1"/>
    <col min="12893" max="12893" width="3.28515625" style="4" customWidth="1"/>
    <col min="12894" max="12894" width="8" style="4" customWidth="1"/>
    <col min="12895" max="12895" width="42.5703125" style="4" bestFit="1" customWidth="1"/>
    <col min="12896" max="12896" width="3.28515625" style="4" customWidth="1"/>
    <col min="12897" max="12897" width="8" style="4" customWidth="1"/>
    <col min="12898" max="12898" width="42.5703125" style="4" bestFit="1" customWidth="1"/>
    <col min="12899" max="12899" width="3.28515625" style="4" customWidth="1"/>
    <col min="12900" max="12900" width="8" style="4" customWidth="1"/>
    <col min="12901" max="12901" width="42.5703125" style="4" bestFit="1" customWidth="1"/>
    <col min="12902" max="12902" width="3.28515625" style="4" customWidth="1"/>
    <col min="12903" max="12903" width="8" style="4" customWidth="1"/>
    <col min="12904" max="12904" width="42.5703125" style="4" bestFit="1" customWidth="1"/>
    <col min="12905" max="12905" width="3.28515625" style="4" customWidth="1"/>
    <col min="12906" max="12906" width="8" style="4" customWidth="1"/>
    <col min="12907" max="12907" width="42.5703125" style="4" bestFit="1" customWidth="1"/>
    <col min="12908" max="12908" width="3.28515625" style="4" customWidth="1"/>
    <col min="12909" max="12909" width="8" style="4" customWidth="1"/>
    <col min="12910" max="12910" width="42.5703125" style="4" bestFit="1" customWidth="1"/>
    <col min="12911" max="12911" width="3.28515625" style="4" customWidth="1"/>
    <col min="12912" max="12912" width="8" style="4" customWidth="1"/>
    <col min="12913" max="12913" width="42.5703125" style="4" bestFit="1" customWidth="1"/>
    <col min="12914" max="12914" width="3.28515625" style="4" customWidth="1"/>
    <col min="12915" max="12915" width="8" style="4" customWidth="1"/>
    <col min="12916" max="12916" width="42.5703125" style="4" bestFit="1" customWidth="1"/>
    <col min="12917" max="12917" width="3.28515625" style="4" customWidth="1"/>
    <col min="12918" max="12918" width="8" style="4" customWidth="1"/>
    <col min="12919" max="12919" width="42.5703125" style="4" bestFit="1" customWidth="1"/>
    <col min="12920" max="12920" width="3.28515625" style="4" customWidth="1"/>
    <col min="12921" max="12921" width="8" style="4" customWidth="1"/>
    <col min="12922" max="12922" width="42.5703125" style="4" bestFit="1" customWidth="1"/>
    <col min="12923" max="12923" width="3.28515625" style="4" customWidth="1"/>
    <col min="12924" max="12924" width="8" style="4" customWidth="1"/>
    <col min="12925" max="12925" width="42.5703125" style="4" bestFit="1" customWidth="1"/>
    <col min="12926" max="12926" width="3.28515625" style="4" customWidth="1"/>
    <col min="12927" max="12927" width="8" style="4" customWidth="1"/>
    <col min="12928" max="12928" width="42.5703125" style="4" bestFit="1" customWidth="1"/>
    <col min="12929" max="12929" width="3.28515625" style="4" customWidth="1"/>
    <col min="12930" max="12930" width="8" style="4" customWidth="1"/>
    <col min="12931" max="12931" width="42.5703125" style="4" bestFit="1" customWidth="1"/>
    <col min="12932" max="12932" width="3.28515625" style="4" customWidth="1"/>
    <col min="12933" max="12933" width="8" style="4" customWidth="1"/>
    <col min="12934" max="12934" width="42.5703125" style="4" bestFit="1" customWidth="1"/>
    <col min="12935" max="12935" width="3.28515625" style="4" customWidth="1"/>
    <col min="12936" max="12936" width="8" style="4" customWidth="1"/>
    <col min="12937" max="12937" width="42.5703125" style="4" bestFit="1" customWidth="1"/>
    <col min="12938" max="12938" width="3.28515625" style="4" customWidth="1"/>
    <col min="12939" max="12939" width="8" style="4" customWidth="1"/>
    <col min="12940" max="12940" width="42.5703125" style="4" bestFit="1" customWidth="1"/>
    <col min="12941" max="12941" width="3.28515625" style="4" customWidth="1"/>
    <col min="12942" max="12942" width="8" style="4" customWidth="1"/>
    <col min="12943" max="12943" width="42.5703125" style="4" bestFit="1" customWidth="1"/>
    <col min="12944" max="12944" width="3.28515625" style="4" customWidth="1"/>
    <col min="12945" max="12945" width="8" style="4" customWidth="1"/>
    <col min="12946" max="12946" width="42.5703125" style="4" bestFit="1" customWidth="1"/>
    <col min="12947" max="12947" width="3.28515625" style="4" customWidth="1"/>
    <col min="12948" max="12948" width="8" style="4" customWidth="1"/>
    <col min="12949" max="12949" width="42.5703125" style="4" bestFit="1" customWidth="1"/>
    <col min="12950" max="12950" width="3.28515625" style="4" customWidth="1"/>
    <col min="12951" max="12951" width="8" style="4" customWidth="1"/>
    <col min="12952" max="12952" width="42.5703125" style="4" bestFit="1" customWidth="1"/>
    <col min="12953" max="12953" width="3.28515625" style="4" customWidth="1"/>
    <col min="12954" max="12954" width="8" style="4" customWidth="1"/>
    <col min="12955" max="12955" width="42.5703125" style="4" bestFit="1" customWidth="1"/>
    <col min="12956" max="12956" width="3.28515625" style="4" customWidth="1"/>
    <col min="12957" max="12957" width="8" style="4" customWidth="1"/>
    <col min="12958" max="12958" width="42.5703125" style="4" bestFit="1" customWidth="1"/>
    <col min="12959" max="12959" width="3.28515625" style="4" customWidth="1"/>
    <col min="12960" max="12960" width="8" style="4" customWidth="1"/>
    <col min="12961" max="12961" width="42.5703125" style="4" bestFit="1" customWidth="1"/>
    <col min="12962" max="12962" width="3.28515625" style="4" customWidth="1"/>
    <col min="12963" max="12963" width="8" style="4" customWidth="1"/>
    <col min="12964" max="12964" width="42.5703125" style="4" bestFit="1" customWidth="1"/>
    <col min="12965" max="12965" width="3.28515625" style="4" customWidth="1"/>
    <col min="12966" max="12966" width="8" style="4" customWidth="1"/>
    <col min="12967" max="12967" width="42.5703125" style="4" bestFit="1" customWidth="1"/>
    <col min="12968" max="12968" width="3.28515625" style="4" customWidth="1"/>
    <col min="12969" max="12969" width="8" style="4" customWidth="1"/>
    <col min="12970" max="12970" width="42.5703125" style="4" bestFit="1" customWidth="1"/>
    <col min="12971" max="12971" width="3.28515625" style="4" customWidth="1"/>
    <col min="12972" max="12972" width="8" style="4" customWidth="1"/>
    <col min="12973" max="12973" width="42.5703125" style="4" bestFit="1" customWidth="1"/>
    <col min="12974" max="12974" width="3.28515625" style="4" customWidth="1"/>
    <col min="12975" max="12975" width="8" style="4" customWidth="1"/>
    <col min="12976" max="12976" width="42.5703125" style="4" bestFit="1" customWidth="1"/>
    <col min="12977" max="12977" width="3.28515625" style="4" customWidth="1"/>
    <col min="12978" max="12978" width="8" style="4" customWidth="1"/>
    <col min="12979" max="12979" width="42.5703125" style="4" bestFit="1" customWidth="1"/>
    <col min="12980" max="12980" width="3.28515625" style="4" customWidth="1"/>
    <col min="12981" max="12981" width="8" style="4" customWidth="1"/>
    <col min="12982" max="12982" width="42.5703125" style="4" bestFit="1" customWidth="1"/>
    <col min="12983" max="12983" width="3.28515625" style="4" customWidth="1"/>
    <col min="12984" max="12984" width="8" style="4" customWidth="1"/>
    <col min="12985" max="12985" width="42.5703125" style="4" bestFit="1" customWidth="1"/>
    <col min="12986" max="12986" width="3.28515625" style="4" customWidth="1"/>
    <col min="12987" max="12987" width="8" style="4" customWidth="1"/>
    <col min="12988" max="12988" width="42.5703125" style="4" bestFit="1" customWidth="1"/>
    <col min="12989" max="12989" width="3.28515625" style="4" customWidth="1"/>
    <col min="12990" max="12990" width="8" style="4" customWidth="1"/>
    <col min="12991" max="12991" width="42.5703125" style="4" bestFit="1" customWidth="1"/>
    <col min="12992" max="12992" width="3.28515625" style="4" customWidth="1"/>
    <col min="12993" max="12993" width="8" style="4" customWidth="1"/>
    <col min="12994" max="12994" width="42.5703125" style="4" bestFit="1" customWidth="1"/>
    <col min="12995" max="12995" width="3.28515625" style="4" customWidth="1"/>
    <col min="12996" max="12996" width="8" style="4" customWidth="1"/>
    <col min="12997" max="12997" width="42.5703125" style="4" bestFit="1" customWidth="1"/>
    <col min="12998" max="12998" width="3.28515625" style="4" customWidth="1"/>
    <col min="12999" max="12999" width="8" style="4" customWidth="1"/>
    <col min="13000" max="13000" width="42.5703125" style="4" bestFit="1" customWidth="1"/>
    <col min="13001" max="13001" width="3.28515625" style="4" customWidth="1"/>
    <col min="13002" max="13002" width="8" style="4" customWidth="1"/>
    <col min="13003" max="13003" width="42.5703125" style="4" bestFit="1" customWidth="1"/>
    <col min="13004" max="13004" width="3.28515625" style="4" customWidth="1"/>
    <col min="13005" max="13005" width="8" style="4" customWidth="1"/>
    <col min="13006" max="13006" width="42.5703125" style="4" bestFit="1" customWidth="1"/>
    <col min="13007" max="13007" width="3.28515625" style="4" customWidth="1"/>
    <col min="13008" max="13008" width="8" style="4" customWidth="1"/>
    <col min="13009" max="13009" width="42.5703125" style="4" bestFit="1" customWidth="1"/>
    <col min="13010" max="13010" width="3.28515625" style="4" customWidth="1"/>
    <col min="13011" max="13011" width="8" style="4" customWidth="1"/>
    <col min="13012" max="13012" width="42.5703125" style="4" bestFit="1" customWidth="1"/>
    <col min="13013" max="13013" width="3.28515625" style="4" customWidth="1"/>
    <col min="13014" max="13014" width="8" style="4" customWidth="1"/>
    <col min="13015" max="13015" width="42.5703125" style="4" bestFit="1" customWidth="1"/>
    <col min="13016" max="13016" width="3.28515625" style="4" customWidth="1"/>
    <col min="13017" max="13017" width="8" style="4" customWidth="1"/>
    <col min="13018" max="13018" width="42.5703125" style="4" bestFit="1" customWidth="1"/>
    <col min="13019" max="13019" width="3.28515625" style="4" customWidth="1"/>
    <col min="13020" max="13020" width="8" style="4" customWidth="1"/>
    <col min="13021" max="13021" width="42.5703125" style="4" bestFit="1" customWidth="1"/>
    <col min="13022" max="13022" width="3.28515625" style="4" customWidth="1"/>
    <col min="13023" max="13023" width="8" style="4" customWidth="1"/>
    <col min="13024" max="13024" width="42.5703125" style="4" bestFit="1" customWidth="1"/>
    <col min="13025" max="13025" width="3.28515625" style="4" customWidth="1"/>
    <col min="13026" max="13026" width="8" style="4" customWidth="1"/>
    <col min="13027" max="13027" width="42.5703125" style="4" bestFit="1" customWidth="1"/>
    <col min="13028" max="13028" width="3.28515625" style="4" customWidth="1"/>
    <col min="13029" max="13029" width="8" style="4" customWidth="1"/>
    <col min="13030" max="13030" width="42.5703125" style="4" bestFit="1" customWidth="1"/>
    <col min="13031" max="13031" width="3.28515625" style="4" customWidth="1"/>
    <col min="13032" max="13032" width="8" style="4" customWidth="1"/>
    <col min="13033" max="13033" width="42.5703125" style="4" bestFit="1" customWidth="1"/>
    <col min="13034" max="13034" width="3.28515625" style="4" customWidth="1"/>
    <col min="13035" max="13035" width="8" style="4" customWidth="1"/>
    <col min="13036" max="13036" width="42.5703125" style="4" bestFit="1" customWidth="1"/>
    <col min="13037" max="13037" width="3.28515625" style="4" customWidth="1"/>
    <col min="13038" max="13038" width="8" style="4" customWidth="1"/>
    <col min="13039" max="13039" width="42.5703125" style="4" bestFit="1" customWidth="1"/>
    <col min="13040" max="13040" width="3.28515625" style="4" customWidth="1"/>
    <col min="13041" max="13041" width="8" style="4" customWidth="1"/>
    <col min="13042" max="13042" width="42.5703125" style="4" bestFit="1" customWidth="1"/>
    <col min="13043" max="13043" width="3.28515625" style="4" customWidth="1"/>
    <col min="13044" max="13044" width="8" style="4" customWidth="1"/>
    <col min="13045" max="13045" width="42.5703125" style="4" bestFit="1" customWidth="1"/>
    <col min="13046" max="13046" width="3.28515625" style="4" customWidth="1"/>
    <col min="13047" max="13047" width="8" style="4" customWidth="1"/>
    <col min="13048" max="13048" width="42.5703125" style="4" bestFit="1" customWidth="1"/>
    <col min="13049" max="13049" width="3.28515625" style="4" customWidth="1"/>
    <col min="13050" max="13050" width="8" style="4" customWidth="1"/>
    <col min="13051" max="13051" width="42.5703125" style="4" bestFit="1" customWidth="1"/>
    <col min="13052" max="13052" width="3.28515625" style="4" customWidth="1"/>
    <col min="13053" max="13053" width="8" style="4" customWidth="1"/>
    <col min="13054" max="13054" width="42.5703125" style="4" bestFit="1" customWidth="1"/>
    <col min="13055" max="13055" width="3.28515625" style="4" customWidth="1"/>
    <col min="13056" max="13056" width="8" style="4" customWidth="1"/>
    <col min="13057" max="13057" width="42.5703125" style="4" bestFit="1" customWidth="1"/>
    <col min="13058" max="13058" width="3.28515625" style="4" customWidth="1"/>
    <col min="13059" max="13059" width="8" style="4" customWidth="1"/>
    <col min="13060" max="13060" width="42.5703125" style="4" bestFit="1" customWidth="1"/>
    <col min="13061" max="13061" width="3.28515625" style="4" customWidth="1"/>
    <col min="13062" max="13062" width="8" style="4" customWidth="1"/>
    <col min="13063" max="13063" width="42.5703125" style="4" bestFit="1" customWidth="1"/>
    <col min="13064" max="13064" width="3.28515625" style="4" customWidth="1"/>
    <col min="13065" max="13065" width="8" style="4" customWidth="1"/>
    <col min="13066" max="13066" width="42.5703125" style="4" bestFit="1" customWidth="1"/>
    <col min="13067" max="13067" width="3.28515625" style="4" customWidth="1"/>
    <col min="13068" max="13068" width="8" style="4" customWidth="1"/>
    <col min="13069" max="13069" width="42.5703125" style="4" bestFit="1" customWidth="1"/>
    <col min="13070" max="13070" width="3.28515625" style="4" customWidth="1"/>
    <col min="13071" max="13071" width="8" style="4" customWidth="1"/>
    <col min="13072" max="13072" width="42.5703125" style="4" bestFit="1" customWidth="1"/>
    <col min="13073" max="13073" width="3.28515625" style="4" customWidth="1"/>
    <col min="13074" max="13074" width="8" style="4" customWidth="1"/>
    <col min="13075" max="13075" width="42.5703125" style="4" bestFit="1" customWidth="1"/>
    <col min="13076" max="13076" width="3.28515625" style="4" customWidth="1"/>
    <col min="13077" max="13077" width="8" style="4" customWidth="1"/>
    <col min="13078" max="13078" width="42.5703125" style="4" bestFit="1" customWidth="1"/>
    <col min="13079" max="13079" width="3.28515625" style="4" customWidth="1"/>
    <col min="13080" max="13080" width="8" style="4" customWidth="1"/>
    <col min="13081" max="13081" width="42.5703125" style="4" bestFit="1" customWidth="1"/>
    <col min="13082" max="13082" width="3.28515625" style="4" customWidth="1"/>
    <col min="13083" max="13083" width="8" style="4" customWidth="1"/>
    <col min="13084" max="13084" width="42.5703125" style="4" bestFit="1" customWidth="1"/>
    <col min="13085" max="13085" width="3.28515625" style="4" customWidth="1"/>
    <col min="13086" max="13086" width="8" style="4" customWidth="1"/>
    <col min="13087" max="13087" width="42.5703125" style="4" bestFit="1" customWidth="1"/>
    <col min="13088" max="13088" width="3.28515625" style="4" customWidth="1"/>
    <col min="13089" max="13089" width="8" style="4" customWidth="1"/>
    <col min="13090" max="13090" width="42.5703125" style="4" bestFit="1" customWidth="1"/>
    <col min="13091" max="13091" width="3.28515625" style="4" customWidth="1"/>
    <col min="13092" max="13092" width="8" style="4" customWidth="1"/>
    <col min="13093" max="13093" width="42.5703125" style="4" bestFit="1" customWidth="1"/>
    <col min="13094" max="13094" width="3.28515625" style="4" customWidth="1"/>
    <col min="13095" max="13095" width="8" style="4" customWidth="1"/>
    <col min="13096" max="13096" width="42.5703125" style="4" bestFit="1" customWidth="1"/>
    <col min="13097" max="13097" width="3.28515625" style="4" customWidth="1"/>
    <col min="13098" max="13098" width="8" style="4" customWidth="1"/>
    <col min="13099" max="13099" width="42.5703125" style="4" bestFit="1" customWidth="1"/>
    <col min="13100" max="13100" width="3.28515625" style="4" customWidth="1"/>
    <col min="13101" max="13101" width="8" style="4" customWidth="1"/>
    <col min="13102" max="13102" width="42.5703125" style="4" bestFit="1" customWidth="1"/>
    <col min="13103" max="13103" width="3.28515625" style="4" customWidth="1"/>
    <col min="13104" max="13104" width="8" style="4" customWidth="1"/>
    <col min="13105" max="13105" width="42.5703125" style="4" bestFit="1" customWidth="1"/>
    <col min="13106" max="13106" width="3.28515625" style="4" customWidth="1"/>
    <col min="13107" max="13107" width="8" style="4" customWidth="1"/>
    <col min="13108" max="13108" width="42.5703125" style="4" bestFit="1" customWidth="1"/>
    <col min="13109" max="13109" width="3.28515625" style="4" customWidth="1"/>
    <col min="13110" max="13110" width="8" style="4" customWidth="1"/>
    <col min="13111" max="13111" width="42.5703125" style="4" bestFit="1" customWidth="1"/>
    <col min="13112" max="13112" width="3.28515625" style="4" customWidth="1"/>
    <col min="13113" max="13113" width="8" style="4" customWidth="1"/>
    <col min="13114" max="13114" width="42.5703125" style="4" bestFit="1" customWidth="1"/>
    <col min="13115" max="13115" width="3.28515625" style="4" customWidth="1"/>
    <col min="13116" max="13116" width="8" style="4" customWidth="1"/>
    <col min="13117" max="13117" width="42.5703125" style="4" bestFit="1" customWidth="1"/>
    <col min="13118" max="13118" width="3.28515625" style="4" customWidth="1"/>
    <col min="13119" max="13119" width="8" style="4" customWidth="1"/>
    <col min="13120" max="13120" width="42.5703125" style="4" bestFit="1" customWidth="1"/>
    <col min="13121" max="13121" width="3.28515625" style="4" customWidth="1"/>
    <col min="13122" max="13122" width="8" style="4" customWidth="1"/>
    <col min="13123" max="13123" width="42.5703125" style="4" bestFit="1" customWidth="1"/>
    <col min="13124" max="13124" width="3.28515625" style="4" customWidth="1"/>
    <col min="13125" max="13125" width="8" style="4" customWidth="1"/>
    <col min="13126" max="13126" width="42.5703125" style="4" bestFit="1" customWidth="1"/>
    <col min="13127" max="13127" width="3.28515625" style="4" customWidth="1"/>
    <col min="13128" max="13128" width="8" style="4" customWidth="1"/>
    <col min="13129" max="13129" width="42.5703125" style="4" bestFit="1" customWidth="1"/>
    <col min="13130" max="13130" width="3.28515625" style="4" customWidth="1"/>
    <col min="13131" max="13131" width="8" style="4" customWidth="1"/>
    <col min="13132" max="13132" width="42.5703125" style="4" bestFit="1" customWidth="1"/>
    <col min="13133" max="13133" width="3.28515625" style="4" customWidth="1"/>
    <col min="13134" max="13134" width="8" style="4" customWidth="1"/>
    <col min="13135" max="13135" width="42.5703125" style="4" bestFit="1" customWidth="1"/>
    <col min="13136" max="13136" width="3.28515625" style="4" customWidth="1"/>
    <col min="13137" max="13137" width="8" style="4" customWidth="1"/>
    <col min="13138" max="13138" width="42.5703125" style="4" bestFit="1" customWidth="1"/>
    <col min="13139" max="13139" width="3.28515625" style="4" customWidth="1"/>
    <col min="13140" max="13140" width="8" style="4" customWidth="1"/>
    <col min="13141" max="13141" width="42.5703125" style="4" bestFit="1" customWidth="1"/>
    <col min="13142" max="13142" width="3.28515625" style="4" customWidth="1"/>
    <col min="13143" max="13143" width="8" style="4" customWidth="1"/>
    <col min="13144" max="13144" width="42.5703125" style="4" bestFit="1" customWidth="1"/>
    <col min="13145" max="13145" width="3.28515625" style="4" customWidth="1"/>
    <col min="13146" max="13146" width="8" style="4" customWidth="1"/>
    <col min="13147" max="13147" width="42.5703125" style="4" bestFit="1" customWidth="1"/>
    <col min="13148" max="13148" width="3.28515625" style="4" customWidth="1"/>
    <col min="13149" max="13149" width="8" style="4" customWidth="1"/>
    <col min="13150" max="13150" width="42.5703125" style="4" bestFit="1" customWidth="1"/>
    <col min="13151" max="13151" width="3.28515625" style="4" customWidth="1"/>
    <col min="13152" max="13152" width="8" style="4" customWidth="1"/>
    <col min="13153" max="13153" width="42.5703125" style="4" bestFit="1" customWidth="1"/>
    <col min="13154" max="13154" width="3.28515625" style="4" customWidth="1"/>
    <col min="13155" max="13155" width="8" style="4" customWidth="1"/>
    <col min="13156" max="13156" width="42.5703125" style="4" bestFit="1" customWidth="1"/>
    <col min="13157" max="13157" width="3.28515625" style="4" customWidth="1"/>
    <col min="13158" max="13158" width="8" style="4" customWidth="1"/>
    <col min="13159" max="13159" width="42.5703125" style="4" bestFit="1" customWidth="1"/>
    <col min="13160" max="13160" width="3.28515625" style="4" customWidth="1"/>
    <col min="13161" max="13161" width="8" style="4" customWidth="1"/>
    <col min="13162" max="13162" width="42.5703125" style="4" bestFit="1" customWidth="1"/>
    <col min="13163" max="13163" width="3.28515625" style="4" customWidth="1"/>
    <col min="13164" max="13164" width="8" style="4" customWidth="1"/>
    <col min="13165" max="13165" width="42.5703125" style="4" bestFit="1" customWidth="1"/>
    <col min="13166" max="13166" width="3.28515625" style="4" customWidth="1"/>
    <col min="13167" max="13167" width="8" style="4" customWidth="1"/>
    <col min="13168" max="13168" width="42.5703125" style="4" bestFit="1" customWidth="1"/>
    <col min="13169" max="13169" width="3.28515625" style="4" customWidth="1"/>
    <col min="13170" max="13170" width="8" style="4" customWidth="1"/>
    <col min="13171" max="13171" width="42.5703125" style="4" bestFit="1" customWidth="1"/>
    <col min="13172" max="13172" width="3.28515625" style="4" customWidth="1"/>
    <col min="13173" max="13173" width="8" style="4" customWidth="1"/>
    <col min="13174" max="13174" width="42.5703125" style="4" bestFit="1" customWidth="1"/>
    <col min="13175" max="13175" width="3.28515625" style="4" customWidth="1"/>
    <col min="13176" max="13176" width="8" style="4" customWidth="1"/>
    <col min="13177" max="13177" width="42.5703125" style="4" bestFit="1" customWidth="1"/>
    <col min="13178" max="13178" width="3.28515625" style="4" customWidth="1"/>
    <col min="13179" max="13179" width="8" style="4" customWidth="1"/>
    <col min="13180" max="13180" width="42.5703125" style="4" bestFit="1" customWidth="1"/>
    <col min="13181" max="13181" width="3.28515625" style="4" customWidth="1"/>
    <col min="13182" max="13182" width="8" style="4" customWidth="1"/>
    <col min="13183" max="13183" width="42.5703125" style="4" bestFit="1" customWidth="1"/>
    <col min="13184" max="13184" width="3.28515625" style="4" customWidth="1"/>
    <col min="13185" max="13185" width="8" style="4" customWidth="1"/>
    <col min="13186" max="13186" width="42.5703125" style="4" bestFit="1" customWidth="1"/>
    <col min="13187" max="13187" width="3.28515625" style="4" customWidth="1"/>
    <col min="13188" max="13188" width="8" style="4" customWidth="1"/>
    <col min="13189" max="13189" width="42.5703125" style="4" bestFit="1" customWidth="1"/>
    <col min="13190" max="13190" width="3.28515625" style="4" customWidth="1"/>
    <col min="13191" max="13191" width="8" style="4" customWidth="1"/>
    <col min="13192" max="13192" width="42.5703125" style="4" bestFit="1" customWidth="1"/>
    <col min="13193" max="13193" width="3.28515625" style="4" customWidth="1"/>
    <col min="13194" max="13194" width="8" style="4" customWidth="1"/>
    <col min="13195" max="13195" width="42.5703125" style="4" bestFit="1" customWidth="1"/>
    <col min="13196" max="13196" width="3.28515625" style="4" customWidth="1"/>
    <col min="13197" max="13197" width="8" style="4" customWidth="1"/>
    <col min="13198" max="13198" width="42.5703125" style="4" bestFit="1" customWidth="1"/>
    <col min="13199" max="13199" width="3.28515625" style="4" customWidth="1"/>
    <col min="13200" max="13200" width="8" style="4" customWidth="1"/>
    <col min="13201" max="13201" width="42.5703125" style="4" bestFit="1" customWidth="1"/>
    <col min="13202" max="13202" width="3.28515625" style="4" customWidth="1"/>
    <col min="13203" max="13203" width="8" style="4" customWidth="1"/>
    <col min="13204" max="13204" width="42.5703125" style="4" bestFit="1" customWidth="1"/>
    <col min="13205" max="13205" width="3.28515625" style="4" customWidth="1"/>
    <col min="13206" max="13206" width="8" style="4" customWidth="1"/>
    <col min="13207" max="13207" width="42.5703125" style="4" bestFit="1" customWidth="1"/>
    <col min="13208" max="13208" width="3.28515625" style="4" customWidth="1"/>
    <col min="13209" max="13209" width="8" style="4" customWidth="1"/>
    <col min="13210" max="13210" width="42.5703125" style="4" bestFit="1" customWidth="1"/>
    <col min="13211" max="13211" width="3.28515625" style="4" customWidth="1"/>
    <col min="13212" max="13212" width="8" style="4" customWidth="1"/>
    <col min="13213" max="13213" width="42.5703125" style="4" bestFit="1" customWidth="1"/>
    <col min="13214" max="13214" width="3.28515625" style="4" customWidth="1"/>
    <col min="13215" max="13215" width="8" style="4" customWidth="1"/>
    <col min="13216" max="13216" width="42.5703125" style="4" bestFit="1" customWidth="1"/>
    <col min="13217" max="13217" width="3.28515625" style="4" customWidth="1"/>
    <col min="13218" max="13218" width="8" style="4" customWidth="1"/>
    <col min="13219" max="13219" width="42.5703125" style="4" bestFit="1" customWidth="1"/>
    <col min="13220" max="13220" width="3.28515625" style="4" customWidth="1"/>
    <col min="13221" max="13221" width="8" style="4" customWidth="1"/>
    <col min="13222" max="13222" width="42.5703125" style="4" bestFit="1" customWidth="1"/>
    <col min="13223" max="13223" width="3.28515625" style="4" customWidth="1"/>
    <col min="13224" max="13224" width="8" style="4" customWidth="1"/>
    <col min="13225" max="13225" width="42.5703125" style="4" bestFit="1" customWidth="1"/>
    <col min="13226" max="13226" width="3.28515625" style="4" customWidth="1"/>
    <col min="13227" max="13227" width="8" style="4" customWidth="1"/>
    <col min="13228" max="13228" width="42.5703125" style="4" bestFit="1" customWidth="1"/>
    <col min="13229" max="13229" width="3.28515625" style="4" customWidth="1"/>
    <col min="13230" max="13230" width="8" style="4" customWidth="1"/>
    <col min="13231" max="13231" width="42.5703125" style="4" bestFit="1" customWidth="1"/>
    <col min="13232" max="13232" width="3.28515625" style="4" customWidth="1"/>
    <col min="13233" max="13233" width="8" style="4" customWidth="1"/>
    <col min="13234" max="13234" width="42.5703125" style="4" bestFit="1" customWidth="1"/>
    <col min="13235" max="13235" width="3.28515625" style="4" customWidth="1"/>
    <col min="13236" max="13236" width="8" style="4" customWidth="1"/>
    <col min="13237" max="13237" width="42.5703125" style="4" bestFit="1" customWidth="1"/>
    <col min="13238" max="13238" width="3.28515625" style="4" customWidth="1"/>
    <col min="13239" max="13239" width="8" style="4" customWidth="1"/>
    <col min="13240" max="13240" width="42.5703125" style="4" bestFit="1" customWidth="1"/>
    <col min="13241" max="13241" width="3.28515625" style="4" customWidth="1"/>
    <col min="13242" max="13242" width="8" style="4" customWidth="1"/>
    <col min="13243" max="13243" width="42.5703125" style="4" bestFit="1" customWidth="1"/>
    <col min="13244" max="13244" width="3.28515625" style="4" customWidth="1"/>
    <col min="13245" max="13245" width="8" style="4" customWidth="1"/>
    <col min="13246" max="13246" width="42.5703125" style="4" bestFit="1" customWidth="1"/>
    <col min="13247" max="13247" width="3.28515625" style="4" customWidth="1"/>
    <col min="13248" max="13248" width="8" style="4" customWidth="1"/>
    <col min="13249" max="13249" width="42.5703125" style="4" bestFit="1" customWidth="1"/>
    <col min="13250" max="13250" width="3.28515625" style="4" customWidth="1"/>
    <col min="13251" max="13251" width="8" style="4" customWidth="1"/>
    <col min="13252" max="13252" width="42.5703125" style="4" bestFit="1" customWidth="1"/>
    <col min="13253" max="13253" width="3.28515625" style="4" customWidth="1"/>
    <col min="13254" max="13254" width="8" style="4" customWidth="1"/>
    <col min="13255" max="13255" width="42.5703125" style="4" bestFit="1" customWidth="1"/>
    <col min="13256" max="13256" width="3.28515625" style="4" customWidth="1"/>
    <col min="13257" max="13257" width="8" style="4" customWidth="1"/>
    <col min="13258" max="13258" width="42.5703125" style="4" bestFit="1" customWidth="1"/>
    <col min="13259" max="13259" width="3.28515625" style="4" customWidth="1"/>
    <col min="13260" max="13260" width="8" style="4" customWidth="1"/>
    <col min="13261" max="13261" width="42.5703125" style="4" bestFit="1" customWidth="1"/>
    <col min="13262" max="13262" width="3.28515625" style="4" customWidth="1"/>
    <col min="13263" max="13263" width="8" style="4" customWidth="1"/>
    <col min="13264" max="13264" width="42.5703125" style="4" bestFit="1" customWidth="1"/>
    <col min="13265" max="13265" width="3.28515625" style="4" customWidth="1"/>
    <col min="13266" max="13266" width="8" style="4" customWidth="1"/>
    <col min="13267" max="13267" width="42.5703125" style="4" bestFit="1" customWidth="1"/>
    <col min="13268" max="13268" width="3.28515625" style="4" customWidth="1"/>
    <col min="13269" max="13269" width="8" style="4" customWidth="1"/>
    <col min="13270" max="13270" width="42.5703125" style="4" bestFit="1" customWidth="1"/>
    <col min="13271" max="13271" width="3.28515625" style="4" customWidth="1"/>
    <col min="13272" max="13272" width="8" style="4" customWidth="1"/>
    <col min="13273" max="13273" width="42.5703125" style="4" bestFit="1" customWidth="1"/>
    <col min="13274" max="13274" width="3.28515625" style="4" customWidth="1"/>
    <col min="13275" max="13275" width="8" style="4" customWidth="1"/>
    <col min="13276" max="13276" width="42.5703125" style="4" bestFit="1" customWidth="1"/>
    <col min="13277" max="13277" width="3.28515625" style="4" customWidth="1"/>
    <col min="13278" max="13278" width="8" style="4" customWidth="1"/>
    <col min="13279" max="13279" width="42.5703125" style="4" bestFit="1" customWidth="1"/>
    <col min="13280" max="13280" width="3.28515625" style="4" customWidth="1"/>
    <col min="13281" max="13281" width="8" style="4" customWidth="1"/>
    <col min="13282" max="13282" width="42.5703125" style="4" bestFit="1" customWidth="1"/>
    <col min="13283" max="13283" width="3.28515625" style="4" customWidth="1"/>
    <col min="13284" max="13284" width="8" style="4" customWidth="1"/>
    <col min="13285" max="13285" width="42.5703125" style="4" bestFit="1" customWidth="1"/>
    <col min="13286" max="13286" width="3.28515625" style="4" customWidth="1"/>
    <col min="13287" max="13287" width="8" style="4" customWidth="1"/>
    <col min="13288" max="13288" width="42.5703125" style="4" bestFit="1" customWidth="1"/>
    <col min="13289" max="13289" width="3.28515625" style="4" customWidth="1"/>
    <col min="13290" max="13290" width="8" style="4" customWidth="1"/>
    <col min="13291" max="13291" width="42.5703125" style="4" bestFit="1" customWidth="1"/>
    <col min="13292" max="13292" width="3.28515625" style="4" customWidth="1"/>
    <col min="13293" max="13293" width="8" style="4" customWidth="1"/>
    <col min="13294" max="13294" width="42.5703125" style="4" bestFit="1" customWidth="1"/>
    <col min="13295" max="13295" width="3.28515625" style="4" customWidth="1"/>
    <col min="13296" max="13296" width="8" style="4" customWidth="1"/>
    <col min="13297" max="13297" width="42.5703125" style="4" bestFit="1" customWidth="1"/>
    <col min="13298" max="13298" width="3.28515625" style="4" customWidth="1"/>
    <col min="13299" max="13299" width="8" style="4" customWidth="1"/>
    <col min="13300" max="13300" width="42.5703125" style="4" bestFit="1" customWidth="1"/>
    <col min="13301" max="13301" width="3.28515625" style="4" customWidth="1"/>
    <col min="13302" max="13302" width="8" style="4" customWidth="1"/>
    <col min="13303" max="13303" width="42.5703125" style="4" bestFit="1" customWidth="1"/>
    <col min="13304" max="13304" width="3.28515625" style="4" customWidth="1"/>
    <col min="13305" max="13305" width="8" style="4" customWidth="1"/>
    <col min="13306" max="13306" width="42.5703125" style="4" bestFit="1" customWidth="1"/>
    <col min="13307" max="13307" width="3.28515625" style="4" customWidth="1"/>
    <col min="13308" max="13308" width="8" style="4" customWidth="1"/>
    <col min="13309" max="13309" width="42.5703125" style="4" bestFit="1" customWidth="1"/>
    <col min="13310" max="13310" width="3.28515625" style="4" customWidth="1"/>
    <col min="13311" max="13311" width="8" style="4" customWidth="1"/>
    <col min="13312" max="13312" width="42.5703125" style="4" bestFit="1" customWidth="1"/>
    <col min="13313" max="13313" width="3.28515625" style="4" customWidth="1"/>
    <col min="13314" max="13314" width="8" style="4" customWidth="1"/>
    <col min="13315" max="13315" width="42.5703125" style="4" bestFit="1" customWidth="1"/>
    <col min="13316" max="13316" width="3.28515625" style="4" customWidth="1"/>
    <col min="13317" max="13317" width="8" style="4" customWidth="1"/>
    <col min="13318" max="13318" width="42.5703125" style="4" bestFit="1" customWidth="1"/>
    <col min="13319" max="13319" width="3.28515625" style="4" customWidth="1"/>
    <col min="13320" max="13320" width="8" style="4" customWidth="1"/>
    <col min="13321" max="13321" width="42.5703125" style="4" bestFit="1" customWidth="1"/>
    <col min="13322" max="13322" width="3.28515625" style="4" customWidth="1"/>
    <col min="13323" max="13323" width="8" style="4" customWidth="1"/>
    <col min="13324" max="13324" width="42.5703125" style="4" bestFit="1" customWidth="1"/>
    <col min="13325" max="13325" width="3.28515625" style="4" customWidth="1"/>
    <col min="13326" max="13326" width="8" style="4" customWidth="1"/>
    <col min="13327" max="13327" width="42.5703125" style="4" bestFit="1" customWidth="1"/>
    <col min="13328" max="13328" width="3.28515625" style="4" customWidth="1"/>
    <col min="13329" max="13329" width="8" style="4" customWidth="1"/>
    <col min="13330" max="13330" width="42.5703125" style="4" bestFit="1" customWidth="1"/>
    <col min="13331" max="13331" width="3.28515625" style="4" customWidth="1"/>
    <col min="13332" max="13332" width="8" style="4" customWidth="1"/>
    <col min="13333" max="13333" width="42.5703125" style="4" bestFit="1" customWidth="1"/>
    <col min="13334" max="13334" width="3.28515625" style="4" customWidth="1"/>
    <col min="13335" max="13335" width="8" style="4" customWidth="1"/>
    <col min="13336" max="13336" width="42.5703125" style="4" bestFit="1" customWidth="1"/>
    <col min="13337" max="13337" width="3.28515625" style="4" customWidth="1"/>
    <col min="13338" max="13338" width="8" style="4" customWidth="1"/>
    <col min="13339" max="13339" width="42.5703125" style="4" bestFit="1" customWidth="1"/>
    <col min="13340" max="13340" width="3.28515625" style="4" customWidth="1"/>
    <col min="13341" max="13341" width="8" style="4" customWidth="1"/>
    <col min="13342" max="13342" width="42.5703125" style="4" bestFit="1" customWidth="1"/>
    <col min="13343" max="13343" width="3.28515625" style="4" customWidth="1"/>
    <col min="13344" max="13344" width="8" style="4" customWidth="1"/>
    <col min="13345" max="13345" width="42.5703125" style="4" bestFit="1" customWidth="1"/>
    <col min="13346" max="13346" width="3.28515625" style="4" customWidth="1"/>
    <col min="13347" max="13347" width="8" style="4" customWidth="1"/>
    <col min="13348" max="13348" width="42.5703125" style="4" bestFit="1" customWidth="1"/>
    <col min="13349" max="13349" width="3.28515625" style="4" customWidth="1"/>
    <col min="13350" max="13350" width="8" style="4" customWidth="1"/>
    <col min="13351" max="13351" width="42.5703125" style="4" bestFit="1" customWidth="1"/>
    <col min="13352" max="13352" width="3.28515625" style="4" customWidth="1"/>
    <col min="13353" max="13353" width="8" style="4" customWidth="1"/>
    <col min="13354" max="13354" width="42.5703125" style="4" bestFit="1" customWidth="1"/>
    <col min="13355" max="13355" width="3.28515625" style="4" customWidth="1"/>
    <col min="13356" max="13356" width="8" style="4" customWidth="1"/>
    <col min="13357" max="13357" width="42.5703125" style="4" bestFit="1" customWidth="1"/>
    <col min="13358" max="13358" width="3.28515625" style="4" customWidth="1"/>
    <col min="13359" max="13359" width="8" style="4" customWidth="1"/>
    <col min="13360" max="13360" width="42.5703125" style="4" bestFit="1" customWidth="1"/>
    <col min="13361" max="13361" width="3.28515625" style="4" customWidth="1"/>
    <col min="13362" max="13362" width="8" style="4" customWidth="1"/>
    <col min="13363" max="13363" width="42.5703125" style="4" bestFit="1" customWidth="1"/>
    <col min="13364" max="13364" width="3.28515625" style="4" customWidth="1"/>
    <col min="13365" max="13365" width="8" style="4" customWidth="1"/>
    <col min="13366" max="13366" width="42.5703125" style="4" bestFit="1" customWidth="1"/>
    <col min="13367" max="13367" width="3.28515625" style="4" customWidth="1"/>
    <col min="13368" max="13368" width="8" style="4" customWidth="1"/>
    <col min="13369" max="13369" width="42.5703125" style="4" bestFit="1" customWidth="1"/>
    <col min="13370" max="13370" width="3.28515625" style="4" customWidth="1"/>
    <col min="13371" max="13371" width="8" style="4" customWidth="1"/>
    <col min="13372" max="13372" width="42.5703125" style="4" bestFit="1" customWidth="1"/>
    <col min="13373" max="13373" width="3.28515625" style="4" customWidth="1"/>
    <col min="13374" max="13374" width="8" style="4" customWidth="1"/>
    <col min="13375" max="13375" width="42.5703125" style="4" bestFit="1" customWidth="1"/>
    <col min="13376" max="13376" width="3.28515625" style="4" customWidth="1"/>
    <col min="13377" max="13377" width="8" style="4" customWidth="1"/>
    <col min="13378" max="13378" width="42.5703125" style="4" bestFit="1" customWidth="1"/>
    <col min="13379" max="13379" width="3.28515625" style="4" customWidth="1"/>
    <col min="13380" max="13380" width="8" style="4" customWidth="1"/>
    <col min="13381" max="13381" width="42.5703125" style="4" bestFit="1" customWidth="1"/>
    <col min="13382" max="13382" width="3.28515625" style="4" customWidth="1"/>
    <col min="13383" max="13383" width="8" style="4" customWidth="1"/>
    <col min="13384" max="13384" width="42.5703125" style="4" bestFit="1" customWidth="1"/>
    <col min="13385" max="13385" width="3.28515625" style="4" customWidth="1"/>
    <col min="13386" max="13386" width="8" style="4" customWidth="1"/>
    <col min="13387" max="13387" width="42.5703125" style="4" bestFit="1" customWidth="1"/>
    <col min="13388" max="13388" width="3.28515625" style="4" customWidth="1"/>
    <col min="13389" max="13389" width="8" style="4" customWidth="1"/>
    <col min="13390" max="13390" width="42.5703125" style="4" bestFit="1" customWidth="1"/>
    <col min="13391" max="13391" width="3.28515625" style="4" customWidth="1"/>
    <col min="13392" max="13392" width="8" style="4" customWidth="1"/>
    <col min="13393" max="13393" width="42.5703125" style="4" bestFit="1" customWidth="1"/>
    <col min="13394" max="13394" width="3.28515625" style="4" customWidth="1"/>
    <col min="13395" max="13395" width="8" style="4" customWidth="1"/>
    <col min="13396" max="13396" width="42.5703125" style="4" bestFit="1" customWidth="1"/>
    <col min="13397" max="13397" width="3.28515625" style="4" customWidth="1"/>
    <col min="13398" max="13398" width="8" style="4" customWidth="1"/>
    <col min="13399" max="13399" width="42.5703125" style="4" bestFit="1" customWidth="1"/>
    <col min="13400" max="13400" width="3.28515625" style="4" customWidth="1"/>
    <col min="13401" max="13401" width="8" style="4" customWidth="1"/>
    <col min="13402" max="13402" width="42.5703125" style="4" bestFit="1" customWidth="1"/>
    <col min="13403" max="13403" width="3.28515625" style="4" customWidth="1"/>
    <col min="13404" max="13404" width="8" style="4" customWidth="1"/>
    <col min="13405" max="13405" width="42.5703125" style="4" bestFit="1" customWidth="1"/>
    <col min="13406" max="13406" width="3.28515625" style="4" customWidth="1"/>
    <col min="13407" max="13407" width="8" style="4" customWidth="1"/>
    <col min="13408" max="13408" width="42.5703125" style="4" bestFit="1" customWidth="1"/>
    <col min="13409" max="13409" width="3.28515625" style="4" customWidth="1"/>
    <col min="13410" max="13410" width="8" style="4" customWidth="1"/>
    <col min="13411" max="13411" width="42.5703125" style="4" bestFit="1" customWidth="1"/>
    <col min="13412" max="13412" width="3.28515625" style="4" customWidth="1"/>
    <col min="13413" max="13413" width="8" style="4" customWidth="1"/>
    <col min="13414" max="13414" width="42.5703125" style="4" bestFit="1" customWidth="1"/>
    <col min="13415" max="13415" width="3.28515625" style="4" customWidth="1"/>
    <col min="13416" max="13416" width="8" style="4" customWidth="1"/>
    <col min="13417" max="13417" width="42.5703125" style="4" bestFit="1" customWidth="1"/>
    <col min="13418" max="13418" width="3.28515625" style="4" customWidth="1"/>
    <col min="13419" max="13419" width="8" style="4" customWidth="1"/>
    <col min="13420" max="13420" width="42.5703125" style="4" bestFit="1" customWidth="1"/>
    <col min="13421" max="13421" width="3.28515625" style="4" customWidth="1"/>
    <col min="13422" max="13422" width="8" style="4" customWidth="1"/>
    <col min="13423" max="13423" width="42.5703125" style="4" bestFit="1" customWidth="1"/>
    <col min="13424" max="13424" width="3.28515625" style="4" customWidth="1"/>
    <col min="13425" max="13425" width="8" style="4" customWidth="1"/>
    <col min="13426" max="13426" width="42.5703125" style="4" bestFit="1" customWidth="1"/>
    <col min="13427" max="13427" width="3.28515625" style="4" customWidth="1"/>
    <col min="13428" max="13428" width="8" style="4" customWidth="1"/>
    <col min="13429" max="13429" width="42.5703125" style="4" bestFit="1" customWidth="1"/>
    <col min="13430" max="13430" width="3.28515625" style="4" customWidth="1"/>
    <col min="13431" max="13431" width="8" style="4" customWidth="1"/>
    <col min="13432" max="13432" width="42.5703125" style="4" bestFit="1" customWidth="1"/>
    <col min="13433" max="13433" width="3.28515625" style="4" customWidth="1"/>
    <col min="13434" max="13434" width="8" style="4" customWidth="1"/>
    <col min="13435" max="13435" width="42.5703125" style="4" bestFit="1" customWidth="1"/>
    <col min="13436" max="13436" width="3.28515625" style="4" customWidth="1"/>
    <col min="13437" max="13437" width="8" style="4" customWidth="1"/>
    <col min="13438" max="13438" width="42.5703125" style="4" bestFit="1" customWidth="1"/>
    <col min="13439" max="13439" width="3.28515625" style="4" customWidth="1"/>
    <col min="13440" max="13440" width="8" style="4" customWidth="1"/>
    <col min="13441" max="13441" width="42.5703125" style="4" bestFit="1" customWidth="1"/>
    <col min="13442" max="13442" width="3.28515625" style="4" customWidth="1"/>
    <col min="13443" max="13443" width="8" style="4" customWidth="1"/>
    <col min="13444" max="13444" width="42.5703125" style="4" bestFit="1" customWidth="1"/>
    <col min="13445" max="13445" width="3.28515625" style="4" customWidth="1"/>
    <col min="13446" max="13446" width="8" style="4" customWidth="1"/>
    <col min="13447" max="13447" width="42.5703125" style="4" bestFit="1" customWidth="1"/>
    <col min="13448" max="13448" width="3.28515625" style="4" customWidth="1"/>
    <col min="13449" max="13449" width="8" style="4" customWidth="1"/>
    <col min="13450" max="13450" width="42.5703125" style="4" bestFit="1" customWidth="1"/>
    <col min="13451" max="13451" width="3.28515625" style="4" customWidth="1"/>
    <col min="13452" max="13452" width="8" style="4" customWidth="1"/>
    <col min="13453" max="13453" width="42.5703125" style="4" bestFit="1" customWidth="1"/>
    <col min="13454" max="13454" width="3.28515625" style="4" customWidth="1"/>
    <col min="13455" max="13455" width="8" style="4" customWidth="1"/>
    <col min="13456" max="13456" width="42.5703125" style="4" bestFit="1" customWidth="1"/>
    <col min="13457" max="13457" width="3.28515625" style="4" customWidth="1"/>
    <col min="13458" max="13458" width="8" style="4" customWidth="1"/>
    <col min="13459" max="13459" width="42.5703125" style="4" bestFit="1" customWidth="1"/>
    <col min="13460" max="13460" width="3.28515625" style="4" customWidth="1"/>
    <col min="13461" max="13461" width="8" style="4" customWidth="1"/>
    <col min="13462" max="13462" width="42.5703125" style="4" bestFit="1" customWidth="1"/>
    <col min="13463" max="13463" width="3.28515625" style="4" customWidth="1"/>
    <col min="13464" max="13464" width="8" style="4" customWidth="1"/>
    <col min="13465" max="13465" width="42.5703125" style="4" bestFit="1" customWidth="1"/>
    <col min="13466" max="13466" width="3.28515625" style="4" customWidth="1"/>
    <col min="13467" max="13467" width="8" style="4" customWidth="1"/>
    <col min="13468" max="13468" width="42.5703125" style="4" bestFit="1" customWidth="1"/>
    <col min="13469" max="13469" width="3.28515625" style="4" customWidth="1"/>
    <col min="13470" max="13470" width="8" style="4" customWidth="1"/>
    <col min="13471" max="13471" width="42.5703125" style="4" bestFit="1" customWidth="1"/>
    <col min="13472" max="13472" width="3.28515625" style="4" customWidth="1"/>
    <col min="13473" max="13473" width="8" style="4" customWidth="1"/>
    <col min="13474" max="13474" width="42.5703125" style="4" bestFit="1" customWidth="1"/>
    <col min="13475" max="13475" width="3.28515625" style="4" customWidth="1"/>
    <col min="13476" max="13476" width="8" style="4" customWidth="1"/>
    <col min="13477" max="13477" width="42.5703125" style="4" bestFit="1" customWidth="1"/>
    <col min="13478" max="13478" width="3.28515625" style="4" customWidth="1"/>
    <col min="13479" max="13479" width="8" style="4" customWidth="1"/>
    <col min="13480" max="13480" width="42.5703125" style="4" bestFit="1" customWidth="1"/>
    <col min="13481" max="13481" width="3.28515625" style="4" customWidth="1"/>
    <col min="13482" max="13482" width="8" style="4" customWidth="1"/>
    <col min="13483" max="13483" width="42.5703125" style="4" bestFit="1" customWidth="1"/>
    <col min="13484" max="13484" width="3.28515625" style="4" customWidth="1"/>
    <col min="13485" max="13485" width="8" style="4" customWidth="1"/>
    <col min="13486" max="13486" width="42.5703125" style="4" bestFit="1" customWidth="1"/>
    <col min="13487" max="13487" width="3.28515625" style="4" customWidth="1"/>
    <col min="13488" max="13488" width="8" style="4" customWidth="1"/>
    <col min="13489" max="13489" width="42.5703125" style="4" bestFit="1" customWidth="1"/>
    <col min="13490" max="13490" width="3.28515625" style="4" customWidth="1"/>
    <col min="13491" max="13491" width="8" style="4" customWidth="1"/>
    <col min="13492" max="13492" width="42.5703125" style="4" bestFit="1" customWidth="1"/>
    <col min="13493" max="13493" width="3.28515625" style="4" customWidth="1"/>
    <col min="13494" max="13494" width="8" style="4" customWidth="1"/>
    <col min="13495" max="13495" width="42.5703125" style="4" bestFit="1" customWidth="1"/>
    <col min="13496" max="13496" width="3.28515625" style="4" customWidth="1"/>
    <col min="13497" max="13497" width="8" style="4" customWidth="1"/>
    <col min="13498" max="13498" width="42.5703125" style="4" bestFit="1" customWidth="1"/>
    <col min="13499" max="13499" width="3.28515625" style="4" customWidth="1"/>
    <col min="13500" max="13500" width="8" style="4" customWidth="1"/>
    <col min="13501" max="13501" width="42.5703125" style="4" bestFit="1" customWidth="1"/>
    <col min="13502" max="13502" width="3.28515625" style="4" customWidth="1"/>
    <col min="13503" max="13503" width="8" style="4" customWidth="1"/>
    <col min="13504" max="13504" width="42.5703125" style="4" bestFit="1" customWidth="1"/>
    <col min="13505" max="13505" width="3.28515625" style="4" customWidth="1"/>
    <col min="13506" max="13506" width="8" style="4" customWidth="1"/>
    <col min="13507" max="13507" width="42.5703125" style="4" bestFit="1" customWidth="1"/>
    <col min="13508" max="13508" width="3.28515625" style="4" customWidth="1"/>
    <col min="13509" max="13509" width="8" style="4" customWidth="1"/>
    <col min="13510" max="13510" width="42.5703125" style="4" bestFit="1" customWidth="1"/>
    <col min="13511" max="13511" width="3.28515625" style="4" customWidth="1"/>
    <col min="13512" max="13512" width="8" style="4" customWidth="1"/>
    <col min="13513" max="13513" width="42.5703125" style="4" bestFit="1" customWidth="1"/>
    <col min="13514" max="13514" width="3.28515625" style="4" customWidth="1"/>
    <col min="13515" max="13515" width="8" style="4" customWidth="1"/>
    <col min="13516" max="13516" width="42.5703125" style="4" bestFit="1" customWidth="1"/>
    <col min="13517" max="13517" width="3.28515625" style="4" customWidth="1"/>
    <col min="13518" max="13518" width="8" style="4" customWidth="1"/>
    <col min="13519" max="13519" width="42.5703125" style="4" bestFit="1" customWidth="1"/>
    <col min="13520" max="13520" width="3.28515625" style="4" customWidth="1"/>
    <col min="13521" max="13521" width="8" style="4" customWidth="1"/>
    <col min="13522" max="13522" width="42.5703125" style="4" bestFit="1" customWidth="1"/>
    <col min="13523" max="13523" width="3.28515625" style="4" customWidth="1"/>
    <col min="13524" max="13524" width="8" style="4" customWidth="1"/>
    <col min="13525" max="13525" width="42.5703125" style="4" bestFit="1" customWidth="1"/>
    <col min="13526" max="13526" width="3.28515625" style="4" customWidth="1"/>
    <col min="13527" max="13527" width="8" style="4" customWidth="1"/>
    <col min="13528" max="13528" width="42.5703125" style="4" bestFit="1" customWidth="1"/>
    <col min="13529" max="13529" width="3.28515625" style="4" customWidth="1"/>
    <col min="13530" max="13530" width="8" style="4" customWidth="1"/>
    <col min="13531" max="13531" width="42.5703125" style="4" bestFit="1" customWidth="1"/>
    <col min="13532" max="13532" width="3.28515625" style="4" customWidth="1"/>
    <col min="13533" max="13533" width="8" style="4" customWidth="1"/>
    <col min="13534" max="13534" width="42.5703125" style="4" bestFit="1" customWidth="1"/>
    <col min="13535" max="13535" width="3.28515625" style="4" customWidth="1"/>
    <col min="13536" max="13536" width="8" style="4" customWidth="1"/>
    <col min="13537" max="13537" width="42.5703125" style="4" bestFit="1" customWidth="1"/>
    <col min="13538" max="13538" width="3.28515625" style="4" customWidth="1"/>
    <col min="13539" max="13539" width="8" style="4" customWidth="1"/>
    <col min="13540" max="13540" width="42.5703125" style="4" bestFit="1" customWidth="1"/>
    <col min="13541" max="13541" width="3.28515625" style="4" customWidth="1"/>
    <col min="13542" max="13542" width="8" style="4" customWidth="1"/>
    <col min="13543" max="13543" width="42.5703125" style="4" bestFit="1" customWidth="1"/>
    <col min="13544" max="13544" width="3.28515625" style="4" customWidth="1"/>
    <col min="13545" max="13545" width="8" style="4" customWidth="1"/>
    <col min="13546" max="13546" width="42.5703125" style="4" bestFit="1" customWidth="1"/>
    <col min="13547" max="13547" width="3.28515625" style="4" customWidth="1"/>
    <col min="13548" max="13548" width="8" style="4" customWidth="1"/>
    <col min="13549" max="13549" width="42.5703125" style="4" bestFit="1" customWidth="1"/>
    <col min="13550" max="13550" width="3.28515625" style="4" customWidth="1"/>
    <col min="13551" max="13551" width="8" style="4" customWidth="1"/>
    <col min="13552" max="13552" width="42.5703125" style="4" bestFit="1" customWidth="1"/>
    <col min="13553" max="13553" width="3.28515625" style="4" customWidth="1"/>
    <col min="13554" max="13554" width="8" style="4" customWidth="1"/>
    <col min="13555" max="13555" width="42.5703125" style="4" bestFit="1" customWidth="1"/>
    <col min="13556" max="13556" width="3.28515625" style="4" customWidth="1"/>
    <col min="13557" max="13557" width="8" style="4" customWidth="1"/>
    <col min="13558" max="13558" width="42.5703125" style="4" bestFit="1" customWidth="1"/>
    <col min="13559" max="13559" width="3.28515625" style="4" customWidth="1"/>
    <col min="13560" max="13560" width="8" style="4" customWidth="1"/>
    <col min="13561" max="13561" width="42.5703125" style="4" bestFit="1" customWidth="1"/>
    <col min="13562" max="13562" width="3.28515625" style="4" customWidth="1"/>
    <col min="13563" max="13563" width="8" style="4" customWidth="1"/>
    <col min="13564" max="13564" width="42.5703125" style="4" bestFit="1" customWidth="1"/>
    <col min="13565" max="13565" width="3.28515625" style="4" customWidth="1"/>
    <col min="13566" max="13566" width="8" style="4" customWidth="1"/>
    <col min="13567" max="13567" width="42.5703125" style="4" bestFit="1" customWidth="1"/>
    <col min="13568" max="13568" width="3.28515625" style="4" customWidth="1"/>
    <col min="13569" max="13569" width="8" style="4" customWidth="1"/>
    <col min="13570" max="13570" width="42.5703125" style="4" bestFit="1" customWidth="1"/>
    <col min="13571" max="13571" width="3.28515625" style="4" customWidth="1"/>
    <col min="13572" max="13572" width="8" style="4" customWidth="1"/>
    <col min="13573" max="13573" width="42.5703125" style="4" bestFit="1" customWidth="1"/>
    <col min="13574" max="13574" width="3.28515625" style="4" customWidth="1"/>
    <col min="13575" max="13575" width="8" style="4" customWidth="1"/>
    <col min="13576" max="13576" width="42.5703125" style="4" bestFit="1" customWidth="1"/>
    <col min="13577" max="13577" width="3.28515625" style="4" customWidth="1"/>
    <col min="13578" max="13578" width="8" style="4" customWidth="1"/>
    <col min="13579" max="13579" width="42.5703125" style="4" bestFit="1" customWidth="1"/>
    <col min="13580" max="13580" width="3.28515625" style="4" customWidth="1"/>
    <col min="13581" max="13581" width="8" style="4" customWidth="1"/>
    <col min="13582" max="13582" width="42.5703125" style="4" bestFit="1" customWidth="1"/>
    <col min="13583" max="13583" width="3.28515625" style="4" customWidth="1"/>
    <col min="13584" max="13584" width="8" style="4" customWidth="1"/>
    <col min="13585" max="13585" width="42.5703125" style="4" bestFit="1" customWidth="1"/>
    <col min="13586" max="13586" width="3.28515625" style="4" customWidth="1"/>
    <col min="13587" max="13587" width="8" style="4" customWidth="1"/>
    <col min="13588" max="13588" width="42.5703125" style="4" bestFit="1" customWidth="1"/>
    <col min="13589" max="13589" width="3.28515625" style="4" customWidth="1"/>
    <col min="13590" max="13590" width="8" style="4" customWidth="1"/>
    <col min="13591" max="13591" width="42.5703125" style="4" bestFit="1" customWidth="1"/>
    <col min="13592" max="13592" width="3.28515625" style="4" customWidth="1"/>
    <col min="13593" max="13593" width="8" style="4" customWidth="1"/>
    <col min="13594" max="13594" width="42.5703125" style="4" bestFit="1" customWidth="1"/>
    <col min="13595" max="13595" width="3.28515625" style="4" customWidth="1"/>
    <col min="13596" max="13596" width="8" style="4" customWidth="1"/>
    <col min="13597" max="13597" width="42.5703125" style="4" bestFit="1" customWidth="1"/>
    <col min="13598" max="13598" width="3.28515625" style="4" customWidth="1"/>
    <col min="13599" max="13599" width="8" style="4" customWidth="1"/>
    <col min="13600" max="13600" width="42.5703125" style="4" bestFit="1" customWidth="1"/>
    <col min="13601" max="13601" width="3.28515625" style="4" customWidth="1"/>
    <col min="13602" max="13602" width="8" style="4" customWidth="1"/>
    <col min="13603" max="13603" width="42.5703125" style="4" bestFit="1" customWidth="1"/>
    <col min="13604" max="13604" width="3.28515625" style="4" customWidth="1"/>
    <col min="13605" max="13605" width="8" style="4" customWidth="1"/>
    <col min="13606" max="13606" width="42.5703125" style="4" bestFit="1" customWidth="1"/>
    <col min="13607" max="13607" width="3.28515625" style="4" customWidth="1"/>
    <col min="13608" max="13608" width="8" style="4" customWidth="1"/>
    <col min="13609" max="13609" width="42.5703125" style="4" bestFit="1" customWidth="1"/>
    <col min="13610" max="13610" width="3.28515625" style="4" customWidth="1"/>
    <col min="13611" max="13611" width="8" style="4" customWidth="1"/>
    <col min="13612" max="13612" width="42.5703125" style="4" bestFit="1" customWidth="1"/>
    <col min="13613" max="13613" width="3.28515625" style="4" customWidth="1"/>
    <col min="13614" max="13614" width="8" style="4" customWidth="1"/>
    <col min="13615" max="13615" width="42.5703125" style="4" bestFit="1" customWidth="1"/>
    <col min="13616" max="13616" width="3.28515625" style="4" customWidth="1"/>
    <col min="13617" max="13617" width="8" style="4" customWidth="1"/>
    <col min="13618" max="13618" width="42.5703125" style="4" bestFit="1" customWidth="1"/>
    <col min="13619" max="13619" width="3.28515625" style="4" customWidth="1"/>
    <col min="13620" max="13620" width="8" style="4" customWidth="1"/>
    <col min="13621" max="13621" width="42.5703125" style="4" bestFit="1" customWidth="1"/>
    <col min="13622" max="13622" width="3.28515625" style="4" customWidth="1"/>
    <col min="13623" max="13623" width="8" style="4" customWidth="1"/>
    <col min="13624" max="13624" width="42.5703125" style="4" bestFit="1" customWidth="1"/>
    <col min="13625" max="13625" width="3.28515625" style="4" customWidth="1"/>
    <col min="13626" max="13626" width="8" style="4" customWidth="1"/>
    <col min="13627" max="13627" width="42.5703125" style="4" bestFit="1" customWidth="1"/>
    <col min="13628" max="13628" width="3.28515625" style="4" customWidth="1"/>
    <col min="13629" max="13629" width="8" style="4" customWidth="1"/>
    <col min="13630" max="13630" width="42.5703125" style="4" bestFit="1" customWidth="1"/>
    <col min="13631" max="13631" width="3.28515625" style="4" customWidth="1"/>
    <col min="13632" max="13632" width="8" style="4" customWidth="1"/>
    <col min="13633" max="13633" width="42.5703125" style="4" bestFit="1" customWidth="1"/>
    <col min="13634" max="13634" width="3.28515625" style="4" customWidth="1"/>
    <col min="13635" max="13635" width="8" style="4" customWidth="1"/>
    <col min="13636" max="13636" width="42.5703125" style="4" bestFit="1" customWidth="1"/>
    <col min="13637" max="13637" width="3.28515625" style="4" customWidth="1"/>
    <col min="13638" max="13638" width="8" style="4" customWidth="1"/>
    <col min="13639" max="13639" width="42.5703125" style="4" bestFit="1" customWidth="1"/>
    <col min="13640" max="13640" width="3.28515625" style="4" customWidth="1"/>
    <col min="13641" max="13641" width="8" style="4" customWidth="1"/>
    <col min="13642" max="13642" width="42.5703125" style="4" bestFit="1" customWidth="1"/>
    <col min="13643" max="13643" width="3.28515625" style="4" customWidth="1"/>
    <col min="13644" max="13644" width="8" style="4" customWidth="1"/>
    <col min="13645" max="13645" width="42.5703125" style="4" bestFit="1" customWidth="1"/>
    <col min="13646" max="13646" width="3.28515625" style="4" customWidth="1"/>
    <col min="13647" max="13647" width="8" style="4" customWidth="1"/>
    <col min="13648" max="13648" width="42.5703125" style="4" bestFit="1" customWidth="1"/>
    <col min="13649" max="13649" width="3.28515625" style="4" customWidth="1"/>
    <col min="13650" max="13650" width="8" style="4" customWidth="1"/>
    <col min="13651" max="13651" width="42.5703125" style="4" bestFit="1" customWidth="1"/>
    <col min="13652" max="13652" width="3.28515625" style="4" customWidth="1"/>
    <col min="13653" max="13653" width="8" style="4" customWidth="1"/>
    <col min="13654" max="13654" width="42.5703125" style="4" bestFit="1" customWidth="1"/>
    <col min="13655" max="13655" width="3.28515625" style="4" customWidth="1"/>
    <col min="13656" max="13656" width="8" style="4" customWidth="1"/>
    <col min="13657" max="13657" width="42.5703125" style="4" bestFit="1" customWidth="1"/>
    <col min="13658" max="13658" width="3.28515625" style="4" customWidth="1"/>
    <col min="13659" max="13659" width="8" style="4" customWidth="1"/>
    <col min="13660" max="13660" width="42.5703125" style="4" bestFit="1" customWidth="1"/>
    <col min="13661" max="13661" width="3.28515625" style="4" customWidth="1"/>
    <col min="13662" max="13662" width="8" style="4" customWidth="1"/>
    <col min="13663" max="13663" width="42.5703125" style="4" bestFit="1" customWidth="1"/>
    <col min="13664" max="13664" width="3.28515625" style="4" customWidth="1"/>
    <col min="13665" max="13665" width="8" style="4" customWidth="1"/>
    <col min="13666" max="13666" width="42.5703125" style="4" bestFit="1" customWidth="1"/>
    <col min="13667" max="13667" width="3.28515625" style="4" customWidth="1"/>
    <col min="13668" max="13668" width="8" style="4" customWidth="1"/>
    <col min="13669" max="13669" width="42.5703125" style="4" bestFit="1" customWidth="1"/>
    <col min="13670" max="13670" width="3.28515625" style="4" customWidth="1"/>
    <col min="13671" max="13671" width="8" style="4" customWidth="1"/>
    <col min="13672" max="13672" width="42.5703125" style="4" bestFit="1" customWidth="1"/>
    <col min="13673" max="13673" width="3.28515625" style="4" customWidth="1"/>
    <col min="13674" max="13674" width="8" style="4" customWidth="1"/>
    <col min="13675" max="13675" width="42.5703125" style="4" bestFit="1" customWidth="1"/>
    <col min="13676" max="13676" width="3.28515625" style="4" customWidth="1"/>
    <col min="13677" max="13677" width="8" style="4" customWidth="1"/>
    <col min="13678" max="13678" width="42.5703125" style="4" bestFit="1" customWidth="1"/>
    <col min="13679" max="13679" width="3.28515625" style="4" customWidth="1"/>
    <col min="13680" max="13680" width="8" style="4" customWidth="1"/>
    <col min="13681" max="13681" width="42.5703125" style="4" bestFit="1" customWidth="1"/>
    <col min="13682" max="13682" width="3.28515625" style="4" customWidth="1"/>
    <col min="13683" max="13683" width="8" style="4" customWidth="1"/>
    <col min="13684" max="13684" width="42.5703125" style="4" bestFit="1" customWidth="1"/>
    <col min="13685" max="13685" width="3.28515625" style="4" customWidth="1"/>
    <col min="13686" max="13686" width="8" style="4" customWidth="1"/>
    <col min="13687" max="13687" width="42.5703125" style="4" bestFit="1" customWidth="1"/>
    <col min="13688" max="13688" width="3.28515625" style="4" customWidth="1"/>
    <col min="13689" max="13689" width="8" style="4" customWidth="1"/>
    <col min="13690" max="13690" width="42.5703125" style="4" bestFit="1" customWidth="1"/>
    <col min="13691" max="13691" width="3.28515625" style="4" customWidth="1"/>
    <col min="13692" max="13692" width="8" style="4" customWidth="1"/>
    <col min="13693" max="13693" width="42.5703125" style="4" bestFit="1" customWidth="1"/>
    <col min="13694" max="13694" width="3.28515625" style="4" customWidth="1"/>
    <col min="13695" max="13695" width="8" style="4" customWidth="1"/>
    <col min="13696" max="13696" width="42.5703125" style="4" bestFit="1" customWidth="1"/>
    <col min="13697" max="13697" width="3.28515625" style="4" customWidth="1"/>
    <col min="13698" max="13698" width="8" style="4" customWidth="1"/>
    <col min="13699" max="13699" width="42.5703125" style="4" bestFit="1" customWidth="1"/>
    <col min="13700" max="13700" width="3.28515625" style="4" customWidth="1"/>
    <col min="13701" max="13701" width="8" style="4" customWidth="1"/>
    <col min="13702" max="13702" width="42.5703125" style="4" bestFit="1" customWidth="1"/>
    <col min="13703" max="13703" width="3.28515625" style="4" customWidth="1"/>
    <col min="13704" max="13704" width="8" style="4" customWidth="1"/>
    <col min="13705" max="13705" width="42.5703125" style="4" bestFit="1" customWidth="1"/>
    <col min="13706" max="13706" width="3.28515625" style="4" customWidth="1"/>
    <col min="13707" max="13707" width="8" style="4" customWidth="1"/>
    <col min="13708" max="13708" width="42.5703125" style="4" bestFit="1" customWidth="1"/>
    <col min="13709" max="13709" width="3.28515625" style="4" customWidth="1"/>
    <col min="13710" max="13710" width="8" style="4" customWidth="1"/>
    <col min="13711" max="13711" width="42.5703125" style="4" bestFit="1" customWidth="1"/>
    <col min="13712" max="13712" width="3.28515625" style="4" customWidth="1"/>
    <col min="13713" max="13713" width="8" style="4" customWidth="1"/>
    <col min="13714" max="13714" width="42.5703125" style="4" bestFit="1" customWidth="1"/>
    <col min="13715" max="13715" width="3.28515625" style="4" customWidth="1"/>
    <col min="13716" max="13716" width="8" style="4" customWidth="1"/>
    <col min="13717" max="13717" width="42.5703125" style="4" bestFit="1" customWidth="1"/>
    <col min="13718" max="13718" width="3.28515625" style="4" customWidth="1"/>
    <col min="13719" max="13719" width="8" style="4" customWidth="1"/>
    <col min="13720" max="13720" width="42.5703125" style="4" bestFit="1" customWidth="1"/>
    <col min="13721" max="13721" width="3.28515625" style="4" customWidth="1"/>
    <col min="13722" max="13722" width="8" style="4" customWidth="1"/>
    <col min="13723" max="13723" width="42.5703125" style="4" bestFit="1" customWidth="1"/>
    <col min="13724" max="13724" width="3.28515625" style="4" customWidth="1"/>
    <col min="13725" max="13725" width="8" style="4" customWidth="1"/>
    <col min="13726" max="13726" width="42.5703125" style="4" bestFit="1" customWidth="1"/>
    <col min="13727" max="13727" width="3.28515625" style="4" customWidth="1"/>
    <col min="13728" max="13728" width="8" style="4" customWidth="1"/>
    <col min="13729" max="13729" width="42.5703125" style="4" bestFit="1" customWidth="1"/>
    <col min="13730" max="13730" width="3.28515625" style="4" customWidth="1"/>
    <col min="13731" max="13731" width="8" style="4" customWidth="1"/>
    <col min="13732" max="13732" width="42.5703125" style="4" bestFit="1" customWidth="1"/>
    <col min="13733" max="13733" width="3.28515625" style="4" customWidth="1"/>
    <col min="13734" max="13734" width="8" style="4" customWidth="1"/>
    <col min="13735" max="13735" width="42.5703125" style="4" bestFit="1" customWidth="1"/>
    <col min="13736" max="13736" width="3.28515625" style="4" customWidth="1"/>
    <col min="13737" max="13737" width="8" style="4" customWidth="1"/>
    <col min="13738" max="13738" width="42.5703125" style="4" bestFit="1" customWidth="1"/>
    <col min="13739" max="13739" width="3.28515625" style="4" customWidth="1"/>
    <col min="13740" max="13740" width="8" style="4" customWidth="1"/>
    <col min="13741" max="13741" width="42.5703125" style="4" bestFit="1" customWidth="1"/>
    <col min="13742" max="13742" width="3.28515625" style="4" customWidth="1"/>
    <col min="13743" max="13743" width="8" style="4" customWidth="1"/>
    <col min="13744" max="13744" width="42.5703125" style="4" bestFit="1" customWidth="1"/>
    <col min="13745" max="13745" width="3.28515625" style="4" customWidth="1"/>
    <col min="13746" max="13746" width="8" style="4" customWidth="1"/>
    <col min="13747" max="13747" width="42.5703125" style="4" bestFit="1" customWidth="1"/>
    <col min="13748" max="13748" width="3.28515625" style="4" customWidth="1"/>
    <col min="13749" max="13749" width="8" style="4" customWidth="1"/>
    <col min="13750" max="13750" width="42.5703125" style="4" bestFit="1" customWidth="1"/>
    <col min="13751" max="13751" width="3.28515625" style="4" customWidth="1"/>
    <col min="13752" max="13752" width="8" style="4" customWidth="1"/>
    <col min="13753" max="13753" width="42.5703125" style="4" bestFit="1" customWidth="1"/>
    <col min="13754" max="13754" width="3.28515625" style="4" customWidth="1"/>
    <col min="13755" max="13755" width="8" style="4" customWidth="1"/>
    <col min="13756" max="13756" width="42.5703125" style="4" bestFit="1" customWidth="1"/>
    <col min="13757" max="13757" width="3.28515625" style="4" customWidth="1"/>
    <col min="13758" max="13758" width="8" style="4" customWidth="1"/>
    <col min="13759" max="13759" width="42.5703125" style="4" bestFit="1" customWidth="1"/>
    <col min="13760" max="13760" width="3.28515625" style="4" customWidth="1"/>
    <col min="13761" max="13761" width="8" style="4" customWidth="1"/>
    <col min="13762" max="13762" width="42.5703125" style="4" bestFit="1" customWidth="1"/>
    <col min="13763" max="13763" width="3.28515625" style="4" customWidth="1"/>
    <col min="13764" max="13764" width="8" style="4" customWidth="1"/>
    <col min="13765" max="13765" width="42.5703125" style="4" bestFit="1" customWidth="1"/>
    <col min="13766" max="13766" width="3.28515625" style="4" customWidth="1"/>
    <col min="13767" max="13767" width="8" style="4" customWidth="1"/>
    <col min="13768" max="13768" width="42.5703125" style="4" bestFit="1" customWidth="1"/>
    <col min="13769" max="13769" width="3.28515625" style="4" customWidth="1"/>
    <col min="13770" max="13770" width="8" style="4" customWidth="1"/>
    <col min="13771" max="13771" width="42.5703125" style="4" bestFit="1" customWidth="1"/>
    <col min="13772" max="13772" width="3.28515625" style="4" customWidth="1"/>
    <col min="13773" max="13773" width="8" style="4" customWidth="1"/>
    <col min="13774" max="13774" width="42.5703125" style="4" bestFit="1" customWidth="1"/>
    <col min="13775" max="13775" width="3.28515625" style="4" customWidth="1"/>
    <col min="13776" max="13776" width="8" style="4" customWidth="1"/>
    <col min="13777" max="13777" width="42.5703125" style="4" bestFit="1" customWidth="1"/>
    <col min="13778" max="13778" width="3.28515625" style="4" customWidth="1"/>
    <col min="13779" max="13779" width="8" style="4" customWidth="1"/>
    <col min="13780" max="13780" width="42.5703125" style="4" bestFit="1" customWidth="1"/>
    <col min="13781" max="13781" width="3.28515625" style="4" customWidth="1"/>
    <col min="13782" max="13782" width="8" style="4" customWidth="1"/>
    <col min="13783" max="13783" width="42.5703125" style="4" bestFit="1" customWidth="1"/>
    <col min="13784" max="13784" width="3.28515625" style="4" customWidth="1"/>
    <col min="13785" max="13785" width="8" style="4" customWidth="1"/>
    <col min="13786" max="13786" width="42.5703125" style="4" bestFit="1" customWidth="1"/>
    <col min="13787" max="13787" width="3.28515625" style="4" customWidth="1"/>
    <col min="13788" max="13788" width="8" style="4" customWidth="1"/>
    <col min="13789" max="13789" width="42.5703125" style="4" bestFit="1" customWidth="1"/>
    <col min="13790" max="13790" width="3.28515625" style="4" customWidth="1"/>
    <col min="13791" max="13791" width="8" style="4" customWidth="1"/>
    <col min="13792" max="13792" width="42.5703125" style="4" bestFit="1" customWidth="1"/>
    <col min="13793" max="13793" width="3.28515625" style="4" customWidth="1"/>
    <col min="13794" max="13794" width="8" style="4" customWidth="1"/>
    <col min="13795" max="13795" width="42.5703125" style="4" bestFit="1" customWidth="1"/>
    <col min="13796" max="13796" width="3.28515625" style="4" customWidth="1"/>
    <col min="13797" max="13797" width="8" style="4" customWidth="1"/>
    <col min="13798" max="13798" width="42.5703125" style="4" bestFit="1" customWidth="1"/>
    <col min="13799" max="13799" width="3.28515625" style="4" customWidth="1"/>
    <col min="13800" max="13800" width="8" style="4" customWidth="1"/>
    <col min="13801" max="13801" width="42.5703125" style="4" bestFit="1" customWidth="1"/>
    <col min="13802" max="13802" width="3.28515625" style="4" customWidth="1"/>
    <col min="13803" max="13803" width="8" style="4" customWidth="1"/>
    <col min="13804" max="13804" width="42.5703125" style="4" bestFit="1" customWidth="1"/>
    <col min="13805" max="13805" width="3.28515625" style="4" customWidth="1"/>
    <col min="13806" max="13806" width="8" style="4" customWidth="1"/>
    <col min="13807" max="13807" width="42.5703125" style="4" bestFit="1" customWidth="1"/>
    <col min="13808" max="13808" width="3.28515625" style="4" customWidth="1"/>
    <col min="13809" max="13809" width="8" style="4" customWidth="1"/>
    <col min="13810" max="13810" width="42.5703125" style="4" bestFit="1" customWidth="1"/>
    <col min="13811" max="13811" width="3.28515625" style="4" customWidth="1"/>
    <col min="13812" max="13812" width="8" style="4" customWidth="1"/>
    <col min="13813" max="13813" width="42.5703125" style="4" bestFit="1" customWidth="1"/>
    <col min="13814" max="13814" width="3.28515625" style="4" customWidth="1"/>
    <col min="13815" max="13815" width="8" style="4" customWidth="1"/>
    <col min="13816" max="13816" width="42.5703125" style="4" bestFit="1" customWidth="1"/>
    <col min="13817" max="13817" width="3.28515625" style="4" customWidth="1"/>
    <col min="13818" max="13818" width="8" style="4" customWidth="1"/>
    <col min="13819" max="13819" width="42.5703125" style="4" bestFit="1" customWidth="1"/>
    <col min="13820" max="13820" width="3.28515625" style="4" customWidth="1"/>
    <col min="13821" max="13821" width="8" style="4" customWidth="1"/>
    <col min="13822" max="13822" width="42.5703125" style="4" bestFit="1" customWidth="1"/>
    <col min="13823" max="13823" width="3.28515625" style="4" customWidth="1"/>
    <col min="13824" max="13824" width="8" style="4" customWidth="1"/>
    <col min="13825" max="13825" width="42.5703125" style="4" bestFit="1" customWidth="1"/>
    <col min="13826" max="13826" width="3.28515625" style="4" customWidth="1"/>
    <col min="13827" max="13827" width="8" style="4" customWidth="1"/>
    <col min="13828" max="13828" width="42.5703125" style="4" bestFit="1" customWidth="1"/>
    <col min="13829" max="13829" width="3.28515625" style="4" customWidth="1"/>
    <col min="13830" max="13830" width="8" style="4" customWidth="1"/>
    <col min="13831" max="13831" width="42.5703125" style="4" bestFit="1" customWidth="1"/>
    <col min="13832" max="13832" width="3.28515625" style="4" customWidth="1"/>
    <col min="13833" max="13833" width="8" style="4" customWidth="1"/>
    <col min="13834" max="13834" width="42.5703125" style="4" bestFit="1" customWidth="1"/>
    <col min="13835" max="13835" width="3.28515625" style="4" customWidth="1"/>
    <col min="13836" max="13836" width="8" style="4" customWidth="1"/>
    <col min="13837" max="13837" width="42.5703125" style="4" bestFit="1" customWidth="1"/>
    <col min="13838" max="13838" width="3.28515625" style="4" customWidth="1"/>
    <col min="13839" max="13839" width="8" style="4" customWidth="1"/>
    <col min="13840" max="13840" width="42.5703125" style="4" bestFit="1" customWidth="1"/>
    <col min="13841" max="13841" width="3.28515625" style="4" customWidth="1"/>
    <col min="13842" max="13842" width="8" style="4" customWidth="1"/>
    <col min="13843" max="13843" width="42.5703125" style="4" bestFit="1" customWidth="1"/>
    <col min="13844" max="13844" width="3.28515625" style="4" customWidth="1"/>
    <col min="13845" max="13845" width="8" style="4" customWidth="1"/>
    <col min="13846" max="13846" width="42.5703125" style="4" bestFit="1" customWidth="1"/>
    <col min="13847" max="13847" width="3.28515625" style="4" customWidth="1"/>
    <col min="13848" max="13848" width="8" style="4" customWidth="1"/>
    <col min="13849" max="13849" width="42.5703125" style="4" bestFit="1" customWidth="1"/>
    <col min="13850" max="13850" width="3.28515625" style="4" customWidth="1"/>
    <col min="13851" max="13851" width="8" style="4" customWidth="1"/>
    <col min="13852" max="13852" width="42.5703125" style="4" bestFit="1" customWidth="1"/>
    <col min="13853" max="13853" width="3.28515625" style="4" customWidth="1"/>
    <col min="13854" max="13854" width="8" style="4" customWidth="1"/>
    <col min="13855" max="13855" width="42.5703125" style="4" bestFit="1" customWidth="1"/>
    <col min="13856" max="13856" width="3.28515625" style="4" customWidth="1"/>
    <col min="13857" max="13857" width="8" style="4" customWidth="1"/>
    <col min="13858" max="13858" width="42.5703125" style="4" bestFit="1" customWidth="1"/>
    <col min="13859" max="13859" width="3.28515625" style="4" customWidth="1"/>
    <col min="13860" max="13860" width="8" style="4" customWidth="1"/>
    <col min="13861" max="13861" width="42.5703125" style="4" bestFit="1" customWidth="1"/>
    <col min="13862" max="13862" width="3.28515625" style="4" customWidth="1"/>
    <col min="13863" max="13863" width="8" style="4" customWidth="1"/>
    <col min="13864" max="13864" width="42.5703125" style="4" bestFit="1" customWidth="1"/>
    <col min="13865" max="13865" width="3.28515625" style="4" customWidth="1"/>
    <col min="13866" max="13866" width="8" style="4" customWidth="1"/>
    <col min="13867" max="13867" width="42.5703125" style="4" bestFit="1" customWidth="1"/>
    <col min="13868" max="13868" width="3.28515625" style="4" customWidth="1"/>
    <col min="13869" max="13869" width="8" style="4" customWidth="1"/>
    <col min="13870" max="13870" width="42.5703125" style="4" bestFit="1" customWidth="1"/>
    <col min="13871" max="13871" width="3.28515625" style="4" customWidth="1"/>
    <col min="13872" max="13872" width="8" style="4" customWidth="1"/>
    <col min="13873" max="13873" width="42.5703125" style="4" bestFit="1" customWidth="1"/>
    <col min="13874" max="13874" width="3.28515625" style="4" customWidth="1"/>
    <col min="13875" max="13875" width="8" style="4" customWidth="1"/>
    <col min="13876" max="13876" width="42.5703125" style="4" bestFit="1" customWidth="1"/>
    <col min="13877" max="13877" width="3.28515625" style="4" customWidth="1"/>
    <col min="13878" max="13878" width="8" style="4" customWidth="1"/>
    <col min="13879" max="13879" width="42.5703125" style="4" bestFit="1" customWidth="1"/>
    <col min="13880" max="13880" width="3.28515625" style="4" customWidth="1"/>
    <col min="13881" max="13881" width="8" style="4" customWidth="1"/>
    <col min="13882" max="13882" width="42.5703125" style="4" bestFit="1" customWidth="1"/>
    <col min="13883" max="13883" width="3.28515625" style="4" customWidth="1"/>
    <col min="13884" max="13884" width="8" style="4" customWidth="1"/>
    <col min="13885" max="13885" width="42.5703125" style="4" bestFit="1" customWidth="1"/>
    <col min="13886" max="13886" width="3.28515625" style="4" customWidth="1"/>
    <col min="13887" max="13887" width="8" style="4" customWidth="1"/>
    <col min="13888" max="13888" width="42.5703125" style="4" bestFit="1" customWidth="1"/>
    <col min="13889" max="13889" width="3.28515625" style="4" customWidth="1"/>
    <col min="13890" max="13890" width="8" style="4" customWidth="1"/>
    <col min="13891" max="13891" width="42.5703125" style="4" bestFit="1" customWidth="1"/>
    <col min="13892" max="13892" width="3.28515625" style="4" customWidth="1"/>
    <col min="13893" max="13893" width="8" style="4" customWidth="1"/>
    <col min="13894" max="13894" width="42.5703125" style="4" bestFit="1" customWidth="1"/>
    <col min="13895" max="13895" width="3.28515625" style="4" customWidth="1"/>
    <col min="13896" max="13896" width="8" style="4" customWidth="1"/>
    <col min="13897" max="13897" width="42.5703125" style="4" bestFit="1" customWidth="1"/>
    <col min="13898" max="13898" width="3.28515625" style="4" customWidth="1"/>
    <col min="13899" max="13899" width="8" style="4" customWidth="1"/>
    <col min="13900" max="13900" width="42.5703125" style="4" bestFit="1" customWidth="1"/>
    <col min="13901" max="13901" width="3.28515625" style="4" customWidth="1"/>
    <col min="13902" max="13902" width="8" style="4" customWidth="1"/>
    <col min="13903" max="13903" width="42.5703125" style="4" bestFit="1" customWidth="1"/>
    <col min="13904" max="13904" width="3.28515625" style="4" customWidth="1"/>
    <col min="13905" max="13905" width="8" style="4" customWidth="1"/>
    <col min="13906" max="13906" width="42.5703125" style="4" bestFit="1" customWidth="1"/>
    <col min="13907" max="13907" width="3.28515625" style="4" customWidth="1"/>
    <col min="13908" max="13908" width="8" style="4" customWidth="1"/>
    <col min="13909" max="13909" width="42.5703125" style="4" bestFit="1" customWidth="1"/>
    <col min="13910" max="13910" width="3.28515625" style="4" customWidth="1"/>
    <col min="13911" max="13911" width="8" style="4" customWidth="1"/>
    <col min="13912" max="13912" width="42.5703125" style="4" bestFit="1" customWidth="1"/>
    <col min="13913" max="13913" width="3.28515625" style="4" customWidth="1"/>
    <col min="13914" max="13914" width="8" style="4" customWidth="1"/>
    <col min="13915" max="13915" width="42.5703125" style="4" bestFit="1" customWidth="1"/>
    <col min="13916" max="13916" width="3.28515625" style="4" customWidth="1"/>
    <col min="13917" max="13917" width="8" style="4" customWidth="1"/>
    <col min="13918" max="13918" width="42.5703125" style="4" bestFit="1" customWidth="1"/>
    <col min="13919" max="13919" width="3.28515625" style="4" customWidth="1"/>
    <col min="13920" max="13920" width="8" style="4" customWidth="1"/>
    <col min="13921" max="13921" width="42.5703125" style="4" bestFit="1" customWidth="1"/>
    <col min="13922" max="13922" width="3.28515625" style="4" customWidth="1"/>
    <col min="13923" max="13923" width="8" style="4" customWidth="1"/>
    <col min="13924" max="13924" width="42.5703125" style="4" bestFit="1" customWidth="1"/>
    <col min="13925" max="13925" width="3.28515625" style="4" customWidth="1"/>
    <col min="13926" max="13926" width="8" style="4" customWidth="1"/>
    <col min="13927" max="13927" width="42.5703125" style="4" bestFit="1" customWidth="1"/>
    <col min="13928" max="13928" width="3.28515625" style="4" customWidth="1"/>
    <col min="13929" max="13929" width="8" style="4" customWidth="1"/>
    <col min="13930" max="13930" width="42.5703125" style="4" bestFit="1" customWidth="1"/>
    <col min="13931" max="13931" width="3.28515625" style="4" customWidth="1"/>
    <col min="13932" max="13932" width="8" style="4" customWidth="1"/>
    <col min="13933" max="13933" width="42.5703125" style="4" bestFit="1" customWidth="1"/>
    <col min="13934" max="13934" width="3.28515625" style="4" customWidth="1"/>
    <col min="13935" max="13935" width="8" style="4" customWidth="1"/>
    <col min="13936" max="13936" width="42.5703125" style="4" bestFit="1" customWidth="1"/>
    <col min="13937" max="13937" width="3.28515625" style="4" customWidth="1"/>
    <col min="13938" max="13938" width="8" style="4" customWidth="1"/>
    <col min="13939" max="13939" width="42.5703125" style="4" bestFit="1" customWidth="1"/>
    <col min="13940" max="13940" width="3.28515625" style="4" customWidth="1"/>
    <col min="13941" max="13941" width="8" style="4" customWidth="1"/>
    <col min="13942" max="13942" width="42.5703125" style="4" bestFit="1" customWidth="1"/>
    <col min="13943" max="13943" width="3.28515625" style="4" customWidth="1"/>
    <col min="13944" max="13944" width="8" style="4" customWidth="1"/>
    <col min="13945" max="13945" width="42.5703125" style="4" bestFit="1" customWidth="1"/>
    <col min="13946" max="13946" width="3.28515625" style="4" customWidth="1"/>
    <col min="13947" max="13947" width="8" style="4" customWidth="1"/>
    <col min="13948" max="13948" width="42.5703125" style="4" bestFit="1" customWidth="1"/>
    <col min="13949" max="13949" width="3.28515625" style="4" customWidth="1"/>
    <col min="13950" max="13950" width="8" style="4" customWidth="1"/>
    <col min="13951" max="13951" width="42.5703125" style="4" bestFit="1" customWidth="1"/>
    <col min="13952" max="13952" width="3.28515625" style="4" customWidth="1"/>
    <col min="13953" max="13953" width="8" style="4" customWidth="1"/>
    <col min="13954" max="13954" width="42.5703125" style="4" bestFit="1" customWidth="1"/>
    <col min="13955" max="13955" width="3.28515625" style="4" customWidth="1"/>
    <col min="13956" max="13956" width="8" style="4" customWidth="1"/>
    <col min="13957" max="13957" width="42.5703125" style="4" bestFit="1" customWidth="1"/>
    <col min="13958" max="13958" width="3.28515625" style="4" customWidth="1"/>
    <col min="13959" max="13959" width="8" style="4" customWidth="1"/>
    <col min="13960" max="13960" width="42.5703125" style="4" bestFit="1" customWidth="1"/>
    <col min="13961" max="13961" width="3.28515625" style="4" customWidth="1"/>
    <col min="13962" max="13962" width="8" style="4" customWidth="1"/>
    <col min="13963" max="13963" width="42.5703125" style="4" bestFit="1" customWidth="1"/>
    <col min="13964" max="13964" width="3.28515625" style="4" customWidth="1"/>
    <col min="13965" max="13965" width="8" style="4" customWidth="1"/>
    <col min="13966" max="13966" width="42.5703125" style="4" bestFit="1" customWidth="1"/>
    <col min="13967" max="13967" width="3.28515625" style="4" customWidth="1"/>
    <col min="13968" max="13968" width="8" style="4" customWidth="1"/>
    <col min="13969" max="13969" width="42.5703125" style="4" bestFit="1" customWidth="1"/>
    <col min="13970" max="13970" width="3.28515625" style="4" customWidth="1"/>
    <col min="13971" max="13971" width="8" style="4" customWidth="1"/>
    <col min="13972" max="13972" width="42.5703125" style="4" bestFit="1" customWidth="1"/>
    <col min="13973" max="13973" width="3.28515625" style="4" customWidth="1"/>
    <col min="13974" max="13974" width="8" style="4" customWidth="1"/>
    <col min="13975" max="13975" width="42.5703125" style="4" bestFit="1" customWidth="1"/>
    <col min="13976" max="13976" width="3.28515625" style="4" customWidth="1"/>
    <col min="13977" max="13977" width="8" style="4" customWidth="1"/>
    <col min="13978" max="13978" width="42.5703125" style="4" bestFit="1" customWidth="1"/>
    <col min="13979" max="13979" width="3.28515625" style="4" customWidth="1"/>
    <col min="13980" max="13980" width="8" style="4" customWidth="1"/>
    <col min="13981" max="13981" width="42.5703125" style="4" bestFit="1" customWidth="1"/>
    <col min="13982" max="13982" width="3.28515625" style="4" customWidth="1"/>
    <col min="13983" max="13983" width="8" style="4" customWidth="1"/>
    <col min="13984" max="13984" width="42.5703125" style="4" bestFit="1" customWidth="1"/>
    <col min="13985" max="13985" width="3.28515625" style="4" customWidth="1"/>
    <col min="13986" max="13986" width="8" style="4" customWidth="1"/>
    <col min="13987" max="13987" width="42.5703125" style="4" bestFit="1" customWidth="1"/>
    <col min="13988" max="13988" width="3.28515625" style="4" customWidth="1"/>
    <col min="13989" max="13989" width="8" style="4" customWidth="1"/>
    <col min="13990" max="13990" width="42.5703125" style="4" bestFit="1" customWidth="1"/>
    <col min="13991" max="13991" width="3.28515625" style="4" customWidth="1"/>
    <col min="13992" max="13992" width="8" style="4" customWidth="1"/>
    <col min="13993" max="13993" width="42.5703125" style="4" bestFit="1" customWidth="1"/>
    <col min="13994" max="13994" width="3.28515625" style="4" customWidth="1"/>
    <col min="13995" max="13995" width="8" style="4" customWidth="1"/>
    <col min="13996" max="13996" width="42.5703125" style="4" bestFit="1" customWidth="1"/>
    <col min="13997" max="13997" width="3.28515625" style="4" customWidth="1"/>
    <col min="13998" max="13998" width="8" style="4" customWidth="1"/>
    <col min="13999" max="13999" width="42.5703125" style="4" bestFit="1" customWidth="1"/>
    <col min="14000" max="14000" width="3.28515625" style="4" customWidth="1"/>
    <col min="14001" max="14001" width="8" style="4" customWidth="1"/>
    <col min="14002" max="14002" width="42.5703125" style="4" bestFit="1" customWidth="1"/>
    <col min="14003" max="14003" width="3.28515625" style="4" customWidth="1"/>
    <col min="14004" max="14004" width="8" style="4" customWidth="1"/>
    <col min="14005" max="14005" width="42.5703125" style="4" bestFit="1" customWidth="1"/>
    <col min="14006" max="14006" width="3.28515625" style="4" customWidth="1"/>
    <col min="14007" max="14007" width="8" style="4" customWidth="1"/>
    <col min="14008" max="14008" width="42.5703125" style="4" bestFit="1" customWidth="1"/>
    <col min="14009" max="14009" width="3.28515625" style="4" customWidth="1"/>
    <col min="14010" max="14010" width="8" style="4" customWidth="1"/>
    <col min="14011" max="14011" width="42.5703125" style="4" bestFit="1" customWidth="1"/>
    <col min="14012" max="14012" width="3.28515625" style="4" customWidth="1"/>
    <col min="14013" max="14013" width="8" style="4" customWidth="1"/>
    <col min="14014" max="14014" width="42.5703125" style="4" bestFit="1" customWidth="1"/>
    <col min="14015" max="14015" width="3.28515625" style="4" customWidth="1"/>
    <col min="14016" max="14016" width="8" style="4" customWidth="1"/>
    <col min="14017" max="14017" width="42.5703125" style="4" bestFit="1" customWidth="1"/>
    <col min="14018" max="14018" width="3.28515625" style="4" customWidth="1"/>
    <col min="14019" max="14019" width="8" style="4" customWidth="1"/>
    <col min="14020" max="14020" width="42.5703125" style="4" bestFit="1" customWidth="1"/>
    <col min="14021" max="14021" width="3.28515625" style="4" customWidth="1"/>
    <col min="14022" max="14022" width="8" style="4" customWidth="1"/>
    <col min="14023" max="14023" width="42.5703125" style="4" bestFit="1" customWidth="1"/>
    <col min="14024" max="14024" width="3.28515625" style="4" customWidth="1"/>
    <col min="14025" max="14025" width="8" style="4" customWidth="1"/>
    <col min="14026" max="14026" width="42.5703125" style="4" bestFit="1" customWidth="1"/>
    <col min="14027" max="14027" width="3.28515625" style="4" customWidth="1"/>
    <col min="14028" max="14028" width="8" style="4" customWidth="1"/>
    <col min="14029" max="14029" width="42.5703125" style="4" bestFit="1" customWidth="1"/>
    <col min="14030" max="14030" width="3.28515625" style="4" customWidth="1"/>
    <col min="14031" max="14031" width="8" style="4" customWidth="1"/>
    <col min="14032" max="14032" width="42.5703125" style="4" bestFit="1" customWidth="1"/>
    <col min="14033" max="14033" width="3.28515625" style="4" customWidth="1"/>
    <col min="14034" max="14034" width="8" style="4" customWidth="1"/>
    <col min="14035" max="14035" width="42.5703125" style="4" bestFit="1" customWidth="1"/>
    <col min="14036" max="14036" width="3.28515625" style="4" customWidth="1"/>
    <col min="14037" max="14037" width="8" style="4" customWidth="1"/>
    <col min="14038" max="14038" width="42.5703125" style="4" bestFit="1" customWidth="1"/>
    <col min="14039" max="14039" width="3.28515625" style="4" customWidth="1"/>
    <col min="14040" max="14040" width="8" style="4" customWidth="1"/>
    <col min="14041" max="14041" width="42.5703125" style="4" bestFit="1" customWidth="1"/>
    <col min="14042" max="14042" width="3.28515625" style="4" customWidth="1"/>
    <col min="14043" max="14043" width="8" style="4" customWidth="1"/>
    <col min="14044" max="14044" width="42.5703125" style="4" bestFit="1" customWidth="1"/>
    <col min="14045" max="14045" width="3.28515625" style="4" customWidth="1"/>
    <col min="14046" max="14046" width="8" style="4" customWidth="1"/>
    <col min="14047" max="14047" width="42.5703125" style="4" bestFit="1" customWidth="1"/>
    <col min="14048" max="14048" width="3.28515625" style="4" customWidth="1"/>
    <col min="14049" max="14049" width="8" style="4" customWidth="1"/>
    <col min="14050" max="14050" width="42.5703125" style="4" bestFit="1" customWidth="1"/>
    <col min="14051" max="14051" width="3.28515625" style="4" customWidth="1"/>
    <col min="14052" max="14052" width="8" style="4" customWidth="1"/>
    <col min="14053" max="14053" width="42.5703125" style="4" bestFit="1" customWidth="1"/>
    <col min="14054" max="14054" width="3.28515625" style="4" customWidth="1"/>
    <col min="14055" max="14055" width="8" style="4" customWidth="1"/>
    <col min="14056" max="14056" width="42.5703125" style="4" bestFit="1" customWidth="1"/>
    <col min="14057" max="14057" width="3.28515625" style="4" customWidth="1"/>
    <col min="14058" max="14058" width="8" style="4" customWidth="1"/>
    <col min="14059" max="14059" width="42.5703125" style="4" bestFit="1" customWidth="1"/>
    <col min="14060" max="14060" width="3.28515625" style="4" customWidth="1"/>
    <col min="14061" max="14061" width="8" style="4" customWidth="1"/>
    <col min="14062" max="14062" width="42.5703125" style="4" bestFit="1" customWidth="1"/>
    <col min="14063" max="14063" width="3.28515625" style="4" customWidth="1"/>
    <col min="14064" max="14064" width="8" style="4" customWidth="1"/>
    <col min="14065" max="14065" width="42.5703125" style="4" bestFit="1" customWidth="1"/>
    <col min="14066" max="14066" width="3.28515625" style="4" customWidth="1"/>
    <col min="14067" max="14067" width="8" style="4" customWidth="1"/>
    <col min="14068" max="14068" width="42.5703125" style="4" bestFit="1" customWidth="1"/>
    <col min="14069" max="14069" width="3.28515625" style="4" customWidth="1"/>
    <col min="14070" max="14070" width="8" style="4" customWidth="1"/>
    <col min="14071" max="14071" width="42.5703125" style="4" bestFit="1" customWidth="1"/>
    <col min="14072" max="14072" width="3.28515625" style="4" customWidth="1"/>
    <col min="14073" max="14073" width="8" style="4" customWidth="1"/>
    <col min="14074" max="14074" width="42.5703125" style="4" bestFit="1" customWidth="1"/>
    <col min="14075" max="14075" width="3.28515625" style="4" customWidth="1"/>
    <col min="14076" max="14076" width="8" style="4" customWidth="1"/>
    <col min="14077" max="14077" width="42.5703125" style="4" bestFit="1" customWidth="1"/>
    <col min="14078" max="14078" width="3.28515625" style="4" customWidth="1"/>
    <col min="14079" max="14079" width="8" style="4" customWidth="1"/>
    <col min="14080" max="14080" width="42.5703125" style="4" bestFit="1" customWidth="1"/>
    <col min="14081" max="14081" width="3.28515625" style="4" customWidth="1"/>
    <col min="14082" max="14082" width="8" style="4" customWidth="1"/>
    <col min="14083" max="14083" width="42.5703125" style="4" bestFit="1" customWidth="1"/>
    <col min="14084" max="14084" width="3.28515625" style="4" customWidth="1"/>
    <col min="14085" max="14085" width="8" style="4" customWidth="1"/>
    <col min="14086" max="14086" width="42.5703125" style="4" bestFit="1" customWidth="1"/>
    <col min="14087" max="14087" width="3.28515625" style="4" customWidth="1"/>
    <col min="14088" max="14088" width="8" style="4" customWidth="1"/>
    <col min="14089" max="14089" width="42.5703125" style="4" bestFit="1" customWidth="1"/>
    <col min="14090" max="14090" width="3.28515625" style="4" customWidth="1"/>
    <col min="14091" max="14091" width="8" style="4" customWidth="1"/>
    <col min="14092" max="14092" width="42.5703125" style="4" bestFit="1" customWidth="1"/>
    <col min="14093" max="14093" width="3.28515625" style="4" customWidth="1"/>
    <col min="14094" max="14094" width="8" style="4" customWidth="1"/>
    <col min="14095" max="14095" width="42.5703125" style="4" bestFit="1" customWidth="1"/>
    <col min="14096" max="14096" width="3.28515625" style="4" customWidth="1"/>
    <col min="14097" max="14097" width="8" style="4" customWidth="1"/>
    <col min="14098" max="14098" width="42.5703125" style="4" bestFit="1" customWidth="1"/>
    <col min="14099" max="14099" width="3.28515625" style="4" customWidth="1"/>
    <col min="14100" max="14100" width="8" style="4" customWidth="1"/>
    <col min="14101" max="14101" width="42.5703125" style="4" bestFit="1" customWidth="1"/>
    <col min="14102" max="14102" width="3.28515625" style="4" customWidth="1"/>
    <col min="14103" max="14103" width="8" style="4" customWidth="1"/>
    <col min="14104" max="14104" width="42.5703125" style="4" bestFit="1" customWidth="1"/>
    <col min="14105" max="14105" width="3.28515625" style="4" customWidth="1"/>
    <col min="14106" max="14106" width="8" style="4" customWidth="1"/>
    <col min="14107" max="14107" width="42.5703125" style="4" bestFit="1" customWidth="1"/>
    <col min="14108" max="14108" width="3.28515625" style="4" customWidth="1"/>
    <col min="14109" max="14109" width="8" style="4" customWidth="1"/>
    <col min="14110" max="14110" width="42.5703125" style="4" bestFit="1" customWidth="1"/>
    <col min="14111" max="14111" width="3.28515625" style="4" customWidth="1"/>
    <col min="14112" max="14112" width="8" style="4" customWidth="1"/>
    <col min="14113" max="14113" width="42.5703125" style="4" bestFit="1" customWidth="1"/>
    <col min="14114" max="14114" width="3.28515625" style="4" customWidth="1"/>
    <col min="14115" max="14115" width="8" style="4" customWidth="1"/>
    <col min="14116" max="14116" width="42.5703125" style="4" bestFit="1" customWidth="1"/>
    <col min="14117" max="14117" width="3.28515625" style="4" customWidth="1"/>
    <col min="14118" max="14118" width="8" style="4" customWidth="1"/>
    <col min="14119" max="14119" width="42.5703125" style="4" bestFit="1" customWidth="1"/>
    <col min="14120" max="14120" width="3.28515625" style="4" customWidth="1"/>
    <col min="14121" max="14121" width="8" style="4" customWidth="1"/>
    <col min="14122" max="14122" width="42.5703125" style="4" bestFit="1" customWidth="1"/>
    <col min="14123" max="14123" width="3.28515625" style="4" customWidth="1"/>
    <col min="14124" max="14124" width="8" style="4" customWidth="1"/>
    <col min="14125" max="14125" width="42.5703125" style="4" bestFit="1" customWidth="1"/>
    <col min="14126" max="14126" width="3.28515625" style="4" customWidth="1"/>
    <col min="14127" max="14127" width="8" style="4" customWidth="1"/>
    <col min="14128" max="14128" width="42.5703125" style="4" bestFit="1" customWidth="1"/>
    <col min="14129" max="14129" width="3.28515625" style="4" customWidth="1"/>
    <col min="14130" max="14130" width="8" style="4" customWidth="1"/>
    <col min="14131" max="14131" width="42.5703125" style="4" bestFit="1" customWidth="1"/>
    <col min="14132" max="14132" width="3.28515625" style="4" customWidth="1"/>
    <col min="14133" max="14133" width="8" style="4" customWidth="1"/>
    <col min="14134" max="14134" width="42.5703125" style="4" bestFit="1" customWidth="1"/>
    <col min="14135" max="14135" width="3.28515625" style="4" customWidth="1"/>
    <col min="14136" max="14136" width="8" style="4" customWidth="1"/>
    <col min="14137" max="14137" width="42.5703125" style="4" bestFit="1" customWidth="1"/>
    <col min="14138" max="14138" width="3.28515625" style="4" customWidth="1"/>
    <col min="14139" max="14139" width="8" style="4" customWidth="1"/>
    <col min="14140" max="14140" width="42.5703125" style="4" bestFit="1" customWidth="1"/>
    <col min="14141" max="14141" width="3.28515625" style="4" customWidth="1"/>
    <col min="14142" max="14142" width="8" style="4" customWidth="1"/>
    <col min="14143" max="14143" width="42.5703125" style="4" bestFit="1" customWidth="1"/>
    <col min="14144" max="14144" width="3.28515625" style="4" customWidth="1"/>
    <col min="14145" max="14145" width="8" style="4" customWidth="1"/>
    <col min="14146" max="14146" width="42.5703125" style="4" bestFit="1" customWidth="1"/>
    <col min="14147" max="14147" width="3.28515625" style="4" customWidth="1"/>
    <col min="14148" max="14148" width="8" style="4" customWidth="1"/>
    <col min="14149" max="14149" width="42.5703125" style="4" bestFit="1" customWidth="1"/>
    <col min="14150" max="14150" width="3.28515625" style="4" customWidth="1"/>
    <col min="14151" max="14151" width="8" style="4" customWidth="1"/>
    <col min="14152" max="14152" width="42.5703125" style="4" bestFit="1" customWidth="1"/>
    <col min="14153" max="14153" width="3.28515625" style="4" customWidth="1"/>
    <col min="14154" max="14154" width="8" style="4" customWidth="1"/>
    <col min="14155" max="14155" width="42.5703125" style="4" bestFit="1" customWidth="1"/>
    <col min="14156" max="14156" width="3.28515625" style="4" customWidth="1"/>
    <col min="14157" max="14157" width="8" style="4" customWidth="1"/>
    <col min="14158" max="14158" width="42.5703125" style="4" bestFit="1" customWidth="1"/>
    <col min="14159" max="14159" width="3.28515625" style="4" customWidth="1"/>
    <col min="14160" max="14160" width="8" style="4" customWidth="1"/>
    <col min="14161" max="14161" width="42.5703125" style="4" bestFit="1" customWidth="1"/>
    <col min="14162" max="14162" width="3.28515625" style="4" customWidth="1"/>
    <col min="14163" max="14163" width="8" style="4" customWidth="1"/>
    <col min="14164" max="14164" width="42.5703125" style="4" bestFit="1" customWidth="1"/>
    <col min="14165" max="14165" width="3.28515625" style="4" customWidth="1"/>
    <col min="14166" max="14166" width="8" style="4" customWidth="1"/>
    <col min="14167" max="14167" width="42.5703125" style="4" bestFit="1" customWidth="1"/>
    <col min="14168" max="14168" width="3.28515625" style="4" customWidth="1"/>
    <col min="14169" max="14169" width="8" style="4" customWidth="1"/>
    <col min="14170" max="14170" width="42.5703125" style="4" bestFit="1" customWidth="1"/>
    <col min="14171" max="14171" width="3.28515625" style="4" customWidth="1"/>
    <col min="14172" max="14172" width="8" style="4" customWidth="1"/>
    <col min="14173" max="14173" width="42.5703125" style="4" bestFit="1" customWidth="1"/>
    <col min="14174" max="14174" width="3.28515625" style="4" customWidth="1"/>
    <col min="14175" max="14175" width="8" style="4" customWidth="1"/>
    <col min="14176" max="14176" width="42.5703125" style="4" bestFit="1" customWidth="1"/>
    <col min="14177" max="14177" width="3.28515625" style="4" customWidth="1"/>
    <col min="14178" max="14178" width="8" style="4" customWidth="1"/>
    <col min="14179" max="14179" width="42.5703125" style="4" bestFit="1" customWidth="1"/>
    <col min="14180" max="14180" width="3.28515625" style="4" customWidth="1"/>
    <col min="14181" max="14181" width="8" style="4" customWidth="1"/>
    <col min="14182" max="14182" width="42.5703125" style="4" bestFit="1" customWidth="1"/>
    <col min="14183" max="14183" width="3.28515625" style="4" customWidth="1"/>
    <col min="14184" max="14184" width="8" style="4" customWidth="1"/>
    <col min="14185" max="14185" width="42.5703125" style="4" bestFit="1" customWidth="1"/>
    <col min="14186" max="14186" width="3.28515625" style="4" customWidth="1"/>
    <col min="14187" max="14187" width="8" style="4" customWidth="1"/>
    <col min="14188" max="14188" width="42.5703125" style="4" bestFit="1" customWidth="1"/>
    <col min="14189" max="14189" width="3.28515625" style="4" customWidth="1"/>
    <col min="14190" max="14190" width="8" style="4" customWidth="1"/>
    <col min="14191" max="14191" width="42.5703125" style="4" bestFit="1" customWidth="1"/>
    <col min="14192" max="14192" width="3.28515625" style="4" customWidth="1"/>
    <col min="14193" max="14193" width="8" style="4" customWidth="1"/>
    <col min="14194" max="14194" width="42.5703125" style="4" bestFit="1" customWidth="1"/>
    <col min="14195" max="14195" width="3.28515625" style="4" customWidth="1"/>
    <col min="14196" max="14196" width="8" style="4" customWidth="1"/>
    <col min="14197" max="14197" width="42.5703125" style="4" bestFit="1" customWidth="1"/>
    <col min="14198" max="14198" width="3.28515625" style="4" customWidth="1"/>
    <col min="14199" max="14199" width="8" style="4" customWidth="1"/>
    <col min="14200" max="14200" width="42.5703125" style="4" bestFit="1" customWidth="1"/>
    <col min="14201" max="14201" width="3.28515625" style="4" customWidth="1"/>
    <col min="14202" max="14202" width="8" style="4" customWidth="1"/>
    <col min="14203" max="14203" width="42.5703125" style="4" bestFit="1" customWidth="1"/>
    <col min="14204" max="14204" width="3.28515625" style="4" customWidth="1"/>
    <col min="14205" max="14205" width="8" style="4" customWidth="1"/>
    <col min="14206" max="14206" width="42.5703125" style="4" bestFit="1" customWidth="1"/>
    <col min="14207" max="14207" width="3.28515625" style="4" customWidth="1"/>
    <col min="14208" max="14208" width="8" style="4" customWidth="1"/>
    <col min="14209" max="14209" width="42.5703125" style="4" bestFit="1" customWidth="1"/>
    <col min="14210" max="14210" width="3.28515625" style="4" customWidth="1"/>
    <col min="14211" max="14211" width="8" style="4" customWidth="1"/>
    <col min="14212" max="14212" width="42.5703125" style="4" bestFit="1" customWidth="1"/>
    <col min="14213" max="14213" width="3.28515625" style="4" customWidth="1"/>
    <col min="14214" max="14214" width="8" style="4" customWidth="1"/>
    <col min="14215" max="14215" width="42.5703125" style="4" bestFit="1" customWidth="1"/>
    <col min="14216" max="14216" width="3.28515625" style="4" customWidth="1"/>
    <col min="14217" max="14217" width="8" style="4" customWidth="1"/>
    <col min="14218" max="14218" width="42.5703125" style="4" bestFit="1" customWidth="1"/>
    <col min="14219" max="14219" width="3.28515625" style="4" customWidth="1"/>
    <col min="14220" max="14220" width="8" style="4" customWidth="1"/>
    <col min="14221" max="14221" width="42.5703125" style="4" bestFit="1" customWidth="1"/>
    <col min="14222" max="14222" width="3.28515625" style="4" customWidth="1"/>
    <col min="14223" max="14223" width="8" style="4" customWidth="1"/>
    <col min="14224" max="14224" width="42.5703125" style="4" bestFit="1" customWidth="1"/>
    <col min="14225" max="14225" width="3.28515625" style="4" customWidth="1"/>
    <col min="14226" max="14226" width="8" style="4" customWidth="1"/>
    <col min="14227" max="14227" width="42.5703125" style="4" bestFit="1" customWidth="1"/>
    <col min="14228" max="14228" width="3.28515625" style="4" customWidth="1"/>
    <col min="14229" max="14229" width="8" style="4" customWidth="1"/>
    <col min="14230" max="14230" width="42.5703125" style="4" bestFit="1" customWidth="1"/>
    <col min="14231" max="14231" width="3.28515625" style="4" customWidth="1"/>
    <col min="14232" max="14232" width="8" style="4" customWidth="1"/>
    <col min="14233" max="14233" width="42.5703125" style="4" bestFit="1" customWidth="1"/>
    <col min="14234" max="14234" width="3.28515625" style="4" customWidth="1"/>
    <col min="14235" max="14235" width="8" style="4" customWidth="1"/>
    <col min="14236" max="14236" width="42.5703125" style="4" bestFit="1" customWidth="1"/>
    <col min="14237" max="14237" width="3.28515625" style="4" customWidth="1"/>
    <col min="14238" max="14238" width="8" style="4" customWidth="1"/>
    <col min="14239" max="14239" width="42.5703125" style="4" bestFit="1" customWidth="1"/>
    <col min="14240" max="14240" width="3.28515625" style="4" customWidth="1"/>
    <col min="14241" max="14241" width="8" style="4" customWidth="1"/>
    <col min="14242" max="14242" width="42.5703125" style="4" bestFit="1" customWidth="1"/>
    <col min="14243" max="14243" width="3.28515625" style="4" customWidth="1"/>
    <col min="14244" max="14244" width="8" style="4" customWidth="1"/>
    <col min="14245" max="14245" width="42.5703125" style="4" bestFit="1" customWidth="1"/>
    <col min="14246" max="14246" width="3.28515625" style="4" customWidth="1"/>
    <col min="14247" max="14247" width="8" style="4" customWidth="1"/>
    <col min="14248" max="14248" width="42.5703125" style="4" bestFit="1" customWidth="1"/>
    <col min="14249" max="14249" width="3.28515625" style="4" customWidth="1"/>
    <col min="14250" max="14250" width="8" style="4" customWidth="1"/>
    <col min="14251" max="14251" width="42.5703125" style="4" bestFit="1" customWidth="1"/>
    <col min="14252" max="14252" width="3.28515625" style="4" customWidth="1"/>
    <col min="14253" max="14253" width="8" style="4" customWidth="1"/>
    <col min="14254" max="14254" width="42.5703125" style="4" bestFit="1" customWidth="1"/>
    <col min="14255" max="14255" width="3.28515625" style="4" customWidth="1"/>
    <col min="14256" max="14256" width="8" style="4" customWidth="1"/>
    <col min="14257" max="14257" width="42.5703125" style="4" bestFit="1" customWidth="1"/>
    <col min="14258" max="14258" width="3.28515625" style="4" customWidth="1"/>
    <col min="14259" max="14259" width="8" style="4" customWidth="1"/>
    <col min="14260" max="14260" width="42.5703125" style="4" bestFit="1" customWidth="1"/>
    <col min="14261" max="14261" width="3.28515625" style="4" customWidth="1"/>
    <col min="14262" max="14262" width="8" style="4" customWidth="1"/>
    <col min="14263" max="14263" width="42.5703125" style="4" bestFit="1" customWidth="1"/>
    <col min="14264" max="14264" width="3.28515625" style="4" customWidth="1"/>
    <col min="14265" max="14265" width="8" style="4" customWidth="1"/>
    <col min="14266" max="14266" width="42.5703125" style="4" bestFit="1" customWidth="1"/>
    <col min="14267" max="14267" width="3.28515625" style="4" customWidth="1"/>
    <col min="14268" max="14268" width="8" style="4" customWidth="1"/>
    <col min="14269" max="14269" width="42.5703125" style="4" bestFit="1" customWidth="1"/>
    <col min="14270" max="14270" width="3.28515625" style="4" customWidth="1"/>
    <col min="14271" max="14271" width="8" style="4" customWidth="1"/>
    <col min="14272" max="14272" width="42.5703125" style="4" bestFit="1" customWidth="1"/>
    <col min="14273" max="14273" width="3.28515625" style="4" customWidth="1"/>
    <col min="14274" max="14274" width="8" style="4" customWidth="1"/>
    <col min="14275" max="14275" width="42.5703125" style="4" bestFit="1" customWidth="1"/>
    <col min="14276" max="14276" width="3.28515625" style="4" customWidth="1"/>
    <col min="14277" max="14277" width="8" style="4" customWidth="1"/>
    <col min="14278" max="14278" width="42.5703125" style="4" bestFit="1" customWidth="1"/>
    <col min="14279" max="14279" width="3.28515625" style="4" customWidth="1"/>
    <col min="14280" max="14280" width="8" style="4" customWidth="1"/>
    <col min="14281" max="14281" width="42.5703125" style="4" bestFit="1" customWidth="1"/>
    <col min="14282" max="14282" width="3.28515625" style="4" customWidth="1"/>
    <col min="14283" max="14283" width="8" style="4" customWidth="1"/>
    <col min="14284" max="14284" width="42.5703125" style="4" bestFit="1" customWidth="1"/>
    <col min="14285" max="14285" width="3.28515625" style="4" customWidth="1"/>
    <col min="14286" max="14286" width="8" style="4" customWidth="1"/>
    <col min="14287" max="14287" width="42.5703125" style="4" bestFit="1" customWidth="1"/>
    <col min="14288" max="14288" width="3.28515625" style="4" customWidth="1"/>
    <col min="14289" max="14289" width="8" style="4" customWidth="1"/>
    <col min="14290" max="14290" width="42.5703125" style="4" bestFit="1" customWidth="1"/>
    <col min="14291" max="14291" width="3.28515625" style="4" customWidth="1"/>
    <col min="14292" max="14292" width="8" style="4" customWidth="1"/>
    <col min="14293" max="14293" width="42.5703125" style="4" bestFit="1" customWidth="1"/>
    <col min="14294" max="14294" width="3.28515625" style="4" customWidth="1"/>
    <col min="14295" max="14295" width="8" style="4" customWidth="1"/>
    <col min="14296" max="14296" width="42.5703125" style="4" bestFit="1" customWidth="1"/>
    <col min="14297" max="14297" width="3.28515625" style="4" customWidth="1"/>
    <col min="14298" max="14298" width="8" style="4" customWidth="1"/>
    <col min="14299" max="14299" width="42.5703125" style="4" bestFit="1" customWidth="1"/>
    <col min="14300" max="14300" width="3.28515625" style="4" customWidth="1"/>
    <col min="14301" max="14301" width="8" style="4" customWidth="1"/>
    <col min="14302" max="14302" width="42.5703125" style="4" bestFit="1" customWidth="1"/>
    <col min="14303" max="14303" width="3.28515625" style="4" customWidth="1"/>
    <col min="14304" max="14304" width="8" style="4" customWidth="1"/>
    <col min="14305" max="14305" width="42.5703125" style="4" bestFit="1" customWidth="1"/>
    <col min="14306" max="14306" width="3.28515625" style="4" customWidth="1"/>
    <col min="14307" max="14307" width="8" style="4" customWidth="1"/>
    <col min="14308" max="14308" width="42.5703125" style="4" bestFit="1" customWidth="1"/>
    <col min="14309" max="14309" width="3.28515625" style="4" customWidth="1"/>
    <col min="14310" max="14310" width="8" style="4" customWidth="1"/>
    <col min="14311" max="14311" width="42.5703125" style="4" bestFit="1" customWidth="1"/>
    <col min="14312" max="14312" width="3.28515625" style="4" customWidth="1"/>
    <col min="14313" max="14313" width="8" style="4" customWidth="1"/>
    <col min="14314" max="14314" width="42.5703125" style="4" bestFit="1" customWidth="1"/>
    <col min="14315" max="14315" width="3.28515625" style="4" customWidth="1"/>
    <col min="14316" max="14316" width="8" style="4" customWidth="1"/>
    <col min="14317" max="14317" width="42.5703125" style="4" bestFit="1" customWidth="1"/>
    <col min="14318" max="14318" width="3.28515625" style="4" customWidth="1"/>
    <col min="14319" max="14319" width="8" style="4" customWidth="1"/>
    <col min="14320" max="14320" width="42.5703125" style="4" bestFit="1" customWidth="1"/>
    <col min="14321" max="14321" width="3.28515625" style="4" customWidth="1"/>
    <col min="14322" max="14322" width="8" style="4" customWidth="1"/>
    <col min="14323" max="14323" width="42.5703125" style="4" bestFit="1" customWidth="1"/>
    <col min="14324" max="14324" width="3.28515625" style="4" customWidth="1"/>
    <col min="14325" max="14325" width="8" style="4" customWidth="1"/>
    <col min="14326" max="14326" width="42.5703125" style="4" bestFit="1" customWidth="1"/>
    <col min="14327" max="14327" width="3.28515625" style="4" customWidth="1"/>
    <col min="14328" max="14328" width="8" style="4" customWidth="1"/>
    <col min="14329" max="14329" width="42.5703125" style="4" bestFit="1" customWidth="1"/>
    <col min="14330" max="14330" width="3.28515625" style="4" customWidth="1"/>
    <col min="14331" max="14331" width="8" style="4" customWidth="1"/>
    <col min="14332" max="14332" width="42.5703125" style="4" bestFit="1" customWidth="1"/>
    <col min="14333" max="14333" width="3.28515625" style="4" customWidth="1"/>
    <col min="14334" max="14334" width="8" style="4" customWidth="1"/>
    <col min="14335" max="14335" width="42.5703125" style="4" bestFit="1" customWidth="1"/>
    <col min="14336" max="14336" width="3.28515625" style="4" customWidth="1"/>
    <col min="14337" max="14337" width="8" style="4" customWidth="1"/>
    <col min="14338" max="14338" width="42.5703125" style="4" bestFit="1" customWidth="1"/>
    <col min="14339" max="14339" width="3.28515625" style="4" customWidth="1"/>
    <col min="14340" max="14340" width="8" style="4" customWidth="1"/>
    <col min="14341" max="14341" width="42.5703125" style="4" bestFit="1" customWidth="1"/>
    <col min="14342" max="14342" width="3.28515625" style="4" customWidth="1"/>
    <col min="14343" max="14343" width="8" style="4" customWidth="1"/>
    <col min="14344" max="14344" width="42.5703125" style="4" bestFit="1" customWidth="1"/>
    <col min="14345" max="14345" width="3.28515625" style="4" customWidth="1"/>
    <col min="14346" max="14346" width="8" style="4" customWidth="1"/>
    <col min="14347" max="14347" width="42.5703125" style="4" bestFit="1" customWidth="1"/>
    <col min="14348" max="14348" width="3.28515625" style="4" customWidth="1"/>
    <col min="14349" max="14349" width="8" style="4" customWidth="1"/>
    <col min="14350" max="14350" width="42.5703125" style="4" bestFit="1" customWidth="1"/>
    <col min="14351" max="14351" width="3.28515625" style="4" customWidth="1"/>
    <col min="14352" max="14352" width="8" style="4" customWidth="1"/>
    <col min="14353" max="14353" width="42.5703125" style="4" bestFit="1" customWidth="1"/>
    <col min="14354" max="14354" width="3.28515625" style="4" customWidth="1"/>
    <col min="14355" max="14355" width="8" style="4" customWidth="1"/>
    <col min="14356" max="14356" width="42.5703125" style="4" bestFit="1" customWidth="1"/>
    <col min="14357" max="14357" width="3.28515625" style="4" customWidth="1"/>
    <col min="14358" max="14358" width="8" style="4" customWidth="1"/>
    <col min="14359" max="14359" width="42.5703125" style="4" bestFit="1" customWidth="1"/>
    <col min="14360" max="14360" width="3.28515625" style="4" customWidth="1"/>
    <col min="14361" max="14361" width="8" style="4" customWidth="1"/>
    <col min="14362" max="14362" width="42.5703125" style="4" bestFit="1" customWidth="1"/>
    <col min="14363" max="14363" width="3.28515625" style="4" customWidth="1"/>
    <col min="14364" max="14364" width="8" style="4" customWidth="1"/>
    <col min="14365" max="14365" width="42.5703125" style="4" bestFit="1" customWidth="1"/>
    <col min="14366" max="14366" width="3.28515625" style="4" customWidth="1"/>
    <col min="14367" max="14367" width="8" style="4" customWidth="1"/>
    <col min="14368" max="14368" width="42.5703125" style="4" bestFit="1" customWidth="1"/>
    <col min="14369" max="14369" width="3.28515625" style="4" customWidth="1"/>
    <col min="14370" max="14370" width="8" style="4" customWidth="1"/>
    <col min="14371" max="14371" width="42.5703125" style="4" bestFit="1" customWidth="1"/>
    <col min="14372" max="14372" width="3.28515625" style="4" customWidth="1"/>
    <col min="14373" max="14373" width="8" style="4" customWidth="1"/>
    <col min="14374" max="14374" width="42.5703125" style="4" bestFit="1" customWidth="1"/>
    <col min="14375" max="14375" width="3.28515625" style="4" customWidth="1"/>
    <col min="14376" max="14376" width="8" style="4" customWidth="1"/>
    <col min="14377" max="14377" width="42.5703125" style="4" bestFit="1" customWidth="1"/>
    <col min="14378" max="14378" width="3.28515625" style="4" customWidth="1"/>
    <col min="14379" max="14379" width="8" style="4" customWidth="1"/>
    <col min="14380" max="14380" width="42.5703125" style="4" bestFit="1" customWidth="1"/>
    <col min="14381" max="14381" width="3.28515625" style="4" customWidth="1"/>
    <col min="14382" max="14382" width="8" style="4" customWidth="1"/>
    <col min="14383" max="14383" width="42.5703125" style="4" bestFit="1" customWidth="1"/>
    <col min="14384" max="14384" width="3.28515625" style="4" customWidth="1"/>
    <col min="14385" max="14385" width="8" style="4" customWidth="1"/>
    <col min="14386" max="14386" width="42.5703125" style="4" bestFit="1" customWidth="1"/>
    <col min="14387" max="14387" width="3.28515625" style="4" customWidth="1"/>
    <col min="14388" max="14388" width="8" style="4" customWidth="1"/>
    <col min="14389" max="14389" width="42.5703125" style="4" bestFit="1" customWidth="1"/>
    <col min="14390" max="14390" width="3.28515625" style="4" customWidth="1"/>
    <col min="14391" max="14391" width="8" style="4" customWidth="1"/>
    <col min="14392" max="14392" width="42.5703125" style="4" bestFit="1" customWidth="1"/>
    <col min="14393" max="14393" width="3.28515625" style="4" customWidth="1"/>
    <col min="14394" max="14394" width="8" style="4" customWidth="1"/>
    <col min="14395" max="14395" width="42.5703125" style="4" bestFit="1" customWidth="1"/>
    <col min="14396" max="14396" width="3.28515625" style="4" customWidth="1"/>
    <col min="14397" max="14397" width="8" style="4" customWidth="1"/>
    <col min="14398" max="14398" width="42.5703125" style="4" bestFit="1" customWidth="1"/>
    <col min="14399" max="14399" width="3.28515625" style="4" customWidth="1"/>
    <col min="14400" max="14400" width="8" style="4" customWidth="1"/>
    <col min="14401" max="14401" width="42.5703125" style="4" bestFit="1" customWidth="1"/>
    <col min="14402" max="14402" width="3.28515625" style="4" customWidth="1"/>
    <col min="14403" max="14403" width="8" style="4" customWidth="1"/>
    <col min="14404" max="14404" width="42.5703125" style="4" bestFit="1" customWidth="1"/>
    <col min="14405" max="14405" width="3.28515625" style="4" customWidth="1"/>
    <col min="14406" max="14406" width="8" style="4" customWidth="1"/>
    <col min="14407" max="14407" width="42.5703125" style="4" bestFit="1" customWidth="1"/>
    <col min="14408" max="14408" width="3.28515625" style="4" customWidth="1"/>
    <col min="14409" max="14409" width="8" style="4" customWidth="1"/>
    <col min="14410" max="14410" width="42.5703125" style="4" bestFit="1" customWidth="1"/>
    <col min="14411" max="14411" width="3.28515625" style="4" customWidth="1"/>
    <col min="14412" max="14412" width="8" style="4" customWidth="1"/>
    <col min="14413" max="14413" width="42.5703125" style="4" bestFit="1" customWidth="1"/>
    <col min="14414" max="14414" width="3.28515625" style="4" customWidth="1"/>
    <col min="14415" max="14415" width="8" style="4" customWidth="1"/>
    <col min="14416" max="14416" width="42.5703125" style="4" bestFit="1" customWidth="1"/>
    <col min="14417" max="14417" width="3.28515625" style="4" customWidth="1"/>
    <col min="14418" max="14418" width="8" style="4" customWidth="1"/>
    <col min="14419" max="14419" width="42.5703125" style="4" bestFit="1" customWidth="1"/>
    <col min="14420" max="14420" width="3.28515625" style="4" customWidth="1"/>
    <col min="14421" max="14421" width="8" style="4" customWidth="1"/>
    <col min="14422" max="14422" width="42.5703125" style="4" bestFit="1" customWidth="1"/>
    <col min="14423" max="14423" width="3.28515625" style="4" customWidth="1"/>
    <col min="14424" max="14424" width="8" style="4" customWidth="1"/>
    <col min="14425" max="14425" width="42.5703125" style="4" bestFit="1" customWidth="1"/>
    <col min="14426" max="14426" width="3.28515625" style="4" customWidth="1"/>
    <col min="14427" max="14427" width="8" style="4" customWidth="1"/>
    <col min="14428" max="14428" width="42.5703125" style="4" bestFit="1" customWidth="1"/>
    <col min="14429" max="14429" width="3.28515625" style="4" customWidth="1"/>
    <col min="14430" max="14430" width="8" style="4" customWidth="1"/>
    <col min="14431" max="14431" width="42.5703125" style="4" bestFit="1" customWidth="1"/>
    <col min="14432" max="14432" width="3.28515625" style="4" customWidth="1"/>
    <col min="14433" max="14433" width="8" style="4" customWidth="1"/>
    <col min="14434" max="14434" width="42.5703125" style="4" bestFit="1" customWidth="1"/>
    <col min="14435" max="14435" width="3.28515625" style="4" customWidth="1"/>
    <col min="14436" max="14436" width="8" style="4" customWidth="1"/>
    <col min="14437" max="14437" width="42.5703125" style="4" bestFit="1" customWidth="1"/>
    <col min="14438" max="14438" width="3.28515625" style="4" customWidth="1"/>
    <col min="14439" max="14439" width="8" style="4" customWidth="1"/>
    <col min="14440" max="14440" width="42.5703125" style="4" bestFit="1" customWidth="1"/>
    <col min="14441" max="14441" width="3.28515625" style="4" customWidth="1"/>
    <col min="14442" max="14442" width="8" style="4" customWidth="1"/>
    <col min="14443" max="14443" width="42.5703125" style="4" bestFit="1" customWidth="1"/>
    <col min="14444" max="14444" width="3.28515625" style="4" customWidth="1"/>
    <col min="14445" max="14445" width="8" style="4" customWidth="1"/>
    <col min="14446" max="14446" width="42.5703125" style="4" bestFit="1" customWidth="1"/>
    <col min="14447" max="14447" width="3.28515625" style="4" customWidth="1"/>
    <col min="14448" max="14448" width="8" style="4" customWidth="1"/>
    <col min="14449" max="14449" width="42.5703125" style="4" bestFit="1" customWidth="1"/>
    <col min="14450" max="14450" width="3.28515625" style="4" customWidth="1"/>
    <col min="14451" max="14451" width="8" style="4" customWidth="1"/>
    <col min="14452" max="14452" width="42.5703125" style="4" bestFit="1" customWidth="1"/>
    <col min="14453" max="14453" width="3.28515625" style="4" customWidth="1"/>
    <col min="14454" max="14454" width="8" style="4" customWidth="1"/>
    <col min="14455" max="14455" width="42.5703125" style="4" bestFit="1" customWidth="1"/>
    <col min="14456" max="14456" width="3.28515625" style="4" customWidth="1"/>
    <col min="14457" max="14457" width="8" style="4" customWidth="1"/>
    <col min="14458" max="14458" width="42.5703125" style="4" bestFit="1" customWidth="1"/>
    <col min="14459" max="14459" width="3.28515625" style="4" customWidth="1"/>
    <col min="14460" max="14460" width="8" style="4" customWidth="1"/>
    <col min="14461" max="14461" width="42.5703125" style="4" bestFit="1" customWidth="1"/>
    <col min="14462" max="14462" width="3.28515625" style="4" customWidth="1"/>
    <col min="14463" max="14463" width="8" style="4" customWidth="1"/>
    <col min="14464" max="14464" width="42.5703125" style="4" bestFit="1" customWidth="1"/>
    <col min="14465" max="14465" width="3.28515625" style="4" customWidth="1"/>
    <col min="14466" max="14466" width="8" style="4" customWidth="1"/>
    <col min="14467" max="14467" width="42.5703125" style="4" bestFit="1" customWidth="1"/>
    <col min="14468" max="14468" width="3.28515625" style="4" customWidth="1"/>
    <col min="14469" max="14469" width="8" style="4" customWidth="1"/>
    <col min="14470" max="14470" width="42.5703125" style="4" bestFit="1" customWidth="1"/>
    <col min="14471" max="14471" width="3.28515625" style="4" customWidth="1"/>
    <col min="14472" max="14472" width="8" style="4" customWidth="1"/>
    <col min="14473" max="14473" width="42.5703125" style="4" bestFit="1" customWidth="1"/>
    <col min="14474" max="14474" width="3.28515625" style="4" customWidth="1"/>
    <col min="14475" max="14475" width="8" style="4" customWidth="1"/>
    <col min="14476" max="14476" width="42.5703125" style="4" bestFit="1" customWidth="1"/>
    <col min="14477" max="14477" width="3.28515625" style="4" customWidth="1"/>
    <col min="14478" max="14478" width="8" style="4" customWidth="1"/>
    <col min="14479" max="14479" width="42.5703125" style="4" bestFit="1" customWidth="1"/>
    <col min="14480" max="14480" width="3.28515625" style="4" customWidth="1"/>
    <col min="14481" max="14481" width="8" style="4" customWidth="1"/>
    <col min="14482" max="14482" width="42.5703125" style="4" bestFit="1" customWidth="1"/>
    <col min="14483" max="14483" width="3.28515625" style="4" customWidth="1"/>
    <col min="14484" max="14484" width="8" style="4" customWidth="1"/>
    <col min="14485" max="14485" width="42.5703125" style="4" bestFit="1" customWidth="1"/>
    <col min="14486" max="14486" width="3.28515625" style="4" customWidth="1"/>
    <col min="14487" max="14487" width="8" style="4" customWidth="1"/>
    <col min="14488" max="14488" width="42.5703125" style="4" bestFit="1" customWidth="1"/>
    <col min="14489" max="14489" width="3.28515625" style="4" customWidth="1"/>
    <col min="14490" max="14490" width="8" style="4" customWidth="1"/>
    <col min="14491" max="14491" width="42.5703125" style="4" bestFit="1" customWidth="1"/>
    <col min="14492" max="14492" width="3.28515625" style="4" customWidth="1"/>
    <col min="14493" max="14493" width="8" style="4" customWidth="1"/>
    <col min="14494" max="14494" width="42.5703125" style="4" bestFit="1" customWidth="1"/>
    <col min="14495" max="14495" width="3.28515625" style="4" customWidth="1"/>
    <col min="14496" max="14496" width="8" style="4" customWidth="1"/>
    <col min="14497" max="14497" width="42.5703125" style="4" bestFit="1" customWidth="1"/>
    <col min="14498" max="14498" width="3.28515625" style="4" customWidth="1"/>
    <col min="14499" max="14499" width="8" style="4" customWidth="1"/>
    <col min="14500" max="14500" width="42.5703125" style="4" bestFit="1" customWidth="1"/>
    <col min="14501" max="14501" width="3.28515625" style="4" customWidth="1"/>
    <col min="14502" max="14502" width="8" style="4" customWidth="1"/>
    <col min="14503" max="14503" width="42.5703125" style="4" bestFit="1" customWidth="1"/>
    <col min="14504" max="14504" width="3.28515625" style="4" customWidth="1"/>
    <col min="14505" max="14505" width="8" style="4" customWidth="1"/>
    <col min="14506" max="14506" width="42.5703125" style="4" bestFit="1" customWidth="1"/>
    <col min="14507" max="14507" width="3.28515625" style="4" customWidth="1"/>
    <col min="14508" max="14508" width="8" style="4" customWidth="1"/>
    <col min="14509" max="14509" width="42.5703125" style="4" bestFit="1" customWidth="1"/>
    <col min="14510" max="14510" width="3.28515625" style="4" customWidth="1"/>
    <col min="14511" max="14511" width="8" style="4" customWidth="1"/>
    <col min="14512" max="14512" width="42.5703125" style="4" bestFit="1" customWidth="1"/>
    <col min="14513" max="14513" width="3.28515625" style="4" customWidth="1"/>
    <col min="14514" max="14514" width="8" style="4" customWidth="1"/>
    <col min="14515" max="14515" width="42.5703125" style="4" bestFit="1" customWidth="1"/>
    <col min="14516" max="14516" width="3.28515625" style="4" customWidth="1"/>
    <col min="14517" max="14517" width="8" style="4" customWidth="1"/>
    <col min="14518" max="14518" width="42.5703125" style="4" bestFit="1" customWidth="1"/>
    <col min="14519" max="14519" width="3.28515625" style="4" customWidth="1"/>
    <col min="14520" max="14520" width="8" style="4" customWidth="1"/>
    <col min="14521" max="14521" width="42.5703125" style="4" bestFit="1" customWidth="1"/>
    <col min="14522" max="14522" width="3.28515625" style="4" customWidth="1"/>
    <col min="14523" max="14523" width="8" style="4" customWidth="1"/>
    <col min="14524" max="14524" width="42.5703125" style="4" bestFit="1" customWidth="1"/>
    <col min="14525" max="14525" width="3.28515625" style="4" customWidth="1"/>
    <col min="14526" max="14526" width="8" style="4" customWidth="1"/>
    <col min="14527" max="14527" width="42.5703125" style="4" bestFit="1" customWidth="1"/>
    <col min="14528" max="14528" width="3.28515625" style="4" customWidth="1"/>
    <col min="14529" max="14529" width="8" style="4" customWidth="1"/>
    <col min="14530" max="14530" width="42.5703125" style="4" bestFit="1" customWidth="1"/>
    <col min="14531" max="14531" width="3.28515625" style="4" customWidth="1"/>
    <col min="14532" max="14532" width="8" style="4" customWidth="1"/>
    <col min="14533" max="14533" width="42.5703125" style="4" bestFit="1" customWidth="1"/>
    <col min="14534" max="14534" width="3.28515625" style="4" customWidth="1"/>
    <col min="14535" max="14535" width="8" style="4" customWidth="1"/>
    <col min="14536" max="14536" width="42.5703125" style="4" bestFit="1" customWidth="1"/>
    <col min="14537" max="14537" width="3.28515625" style="4" customWidth="1"/>
    <col min="14538" max="14538" width="8" style="4" customWidth="1"/>
    <col min="14539" max="14539" width="42.5703125" style="4" bestFit="1" customWidth="1"/>
    <col min="14540" max="14540" width="3.28515625" style="4" customWidth="1"/>
    <col min="14541" max="14541" width="8" style="4" customWidth="1"/>
    <col min="14542" max="14542" width="42.5703125" style="4" bestFit="1" customWidth="1"/>
    <col min="14543" max="14543" width="3.28515625" style="4" customWidth="1"/>
    <col min="14544" max="14544" width="8" style="4" customWidth="1"/>
    <col min="14545" max="14545" width="42.5703125" style="4" bestFit="1" customWidth="1"/>
    <col min="14546" max="14546" width="3.28515625" style="4" customWidth="1"/>
    <col min="14547" max="14547" width="8" style="4" customWidth="1"/>
    <col min="14548" max="14548" width="42.5703125" style="4" bestFit="1" customWidth="1"/>
    <col min="14549" max="14549" width="3.28515625" style="4" customWidth="1"/>
    <col min="14550" max="14550" width="8" style="4" customWidth="1"/>
    <col min="14551" max="14551" width="42.5703125" style="4" bestFit="1" customWidth="1"/>
    <col min="14552" max="14552" width="3.28515625" style="4" customWidth="1"/>
    <col min="14553" max="14553" width="8" style="4" customWidth="1"/>
    <col min="14554" max="14554" width="42.5703125" style="4" bestFit="1" customWidth="1"/>
    <col min="14555" max="14555" width="3.28515625" style="4" customWidth="1"/>
    <col min="14556" max="14556" width="8" style="4" customWidth="1"/>
    <col min="14557" max="14557" width="42.5703125" style="4" bestFit="1" customWidth="1"/>
    <col min="14558" max="14558" width="3.28515625" style="4" customWidth="1"/>
    <col min="14559" max="14559" width="8" style="4" customWidth="1"/>
    <col min="14560" max="14560" width="42.5703125" style="4" bestFit="1" customWidth="1"/>
    <col min="14561" max="14561" width="3.28515625" style="4" customWidth="1"/>
    <col min="14562" max="14562" width="8" style="4" customWidth="1"/>
    <col min="14563" max="14563" width="42.5703125" style="4" bestFit="1" customWidth="1"/>
    <col min="14564" max="14564" width="3.28515625" style="4" customWidth="1"/>
    <col min="14565" max="14565" width="8" style="4" customWidth="1"/>
    <col min="14566" max="14566" width="42.5703125" style="4" bestFit="1" customWidth="1"/>
    <col min="14567" max="14567" width="3.28515625" style="4" customWidth="1"/>
    <col min="14568" max="14568" width="8" style="4" customWidth="1"/>
    <col min="14569" max="14569" width="42.5703125" style="4" bestFit="1" customWidth="1"/>
    <col min="14570" max="14570" width="3.28515625" style="4" customWidth="1"/>
    <col min="14571" max="14571" width="8" style="4" customWidth="1"/>
    <col min="14572" max="14572" width="42.5703125" style="4" bestFit="1" customWidth="1"/>
    <col min="14573" max="14573" width="3.28515625" style="4" customWidth="1"/>
    <col min="14574" max="14574" width="8" style="4" customWidth="1"/>
    <col min="14575" max="14575" width="42.5703125" style="4" bestFit="1" customWidth="1"/>
    <col min="14576" max="14576" width="3.28515625" style="4" customWidth="1"/>
    <col min="14577" max="14577" width="8" style="4" customWidth="1"/>
    <col min="14578" max="14578" width="42.5703125" style="4" bestFit="1" customWidth="1"/>
    <col min="14579" max="14579" width="3.28515625" style="4" customWidth="1"/>
    <col min="14580" max="14580" width="8" style="4" customWidth="1"/>
    <col min="14581" max="14581" width="42.5703125" style="4" bestFit="1" customWidth="1"/>
    <col min="14582" max="14582" width="3.28515625" style="4" customWidth="1"/>
    <col min="14583" max="14583" width="8" style="4" customWidth="1"/>
    <col min="14584" max="14584" width="42.5703125" style="4" bestFit="1" customWidth="1"/>
    <col min="14585" max="14585" width="3.28515625" style="4" customWidth="1"/>
    <col min="14586" max="14586" width="8" style="4" customWidth="1"/>
    <col min="14587" max="14587" width="42.5703125" style="4" bestFit="1" customWidth="1"/>
    <col min="14588" max="14588" width="3.28515625" style="4" customWidth="1"/>
    <col min="14589" max="14589" width="8" style="4" customWidth="1"/>
    <col min="14590" max="14590" width="42.5703125" style="4" bestFit="1" customWidth="1"/>
    <col min="14591" max="14591" width="3.28515625" style="4" customWidth="1"/>
    <col min="14592" max="14592" width="8" style="4" customWidth="1"/>
    <col min="14593" max="14593" width="42.5703125" style="4" bestFit="1" customWidth="1"/>
    <col min="14594" max="14594" width="3.28515625" style="4" customWidth="1"/>
    <col min="14595" max="14595" width="8" style="4" customWidth="1"/>
    <col min="14596" max="14596" width="42.5703125" style="4" bestFit="1" customWidth="1"/>
    <col min="14597" max="14597" width="3.28515625" style="4" customWidth="1"/>
    <col min="14598" max="14598" width="8" style="4" customWidth="1"/>
    <col min="14599" max="14599" width="42.5703125" style="4" bestFit="1" customWidth="1"/>
    <col min="14600" max="14600" width="3.28515625" style="4" customWidth="1"/>
    <col min="14601" max="14601" width="8" style="4" customWidth="1"/>
    <col min="14602" max="14602" width="42.5703125" style="4" bestFit="1" customWidth="1"/>
    <col min="14603" max="14603" width="3.28515625" style="4" customWidth="1"/>
    <col min="14604" max="14604" width="8" style="4" customWidth="1"/>
    <col min="14605" max="14605" width="42.5703125" style="4" bestFit="1" customWidth="1"/>
    <col min="14606" max="14606" width="3.28515625" style="4" customWidth="1"/>
    <col min="14607" max="14607" width="8" style="4" customWidth="1"/>
    <col min="14608" max="14608" width="42.5703125" style="4" bestFit="1" customWidth="1"/>
    <col min="14609" max="14609" width="3.28515625" style="4" customWidth="1"/>
    <col min="14610" max="14610" width="8" style="4" customWidth="1"/>
    <col min="14611" max="14611" width="42.5703125" style="4" bestFit="1" customWidth="1"/>
    <col min="14612" max="14612" width="3.28515625" style="4" customWidth="1"/>
    <col min="14613" max="14613" width="8" style="4" customWidth="1"/>
    <col min="14614" max="14614" width="42.5703125" style="4" bestFit="1" customWidth="1"/>
    <col min="14615" max="14615" width="3.28515625" style="4" customWidth="1"/>
    <col min="14616" max="14616" width="8" style="4" customWidth="1"/>
    <col min="14617" max="14617" width="42.5703125" style="4" bestFit="1" customWidth="1"/>
    <col min="14618" max="14618" width="3.28515625" style="4" customWidth="1"/>
    <col min="14619" max="14619" width="8" style="4" customWidth="1"/>
    <col min="14620" max="14620" width="42.5703125" style="4" bestFit="1" customWidth="1"/>
    <col min="14621" max="14621" width="3.28515625" style="4" customWidth="1"/>
    <col min="14622" max="14622" width="8" style="4" customWidth="1"/>
    <col min="14623" max="14623" width="42.5703125" style="4" bestFit="1" customWidth="1"/>
    <col min="14624" max="14624" width="3.28515625" style="4" customWidth="1"/>
    <col min="14625" max="14625" width="8" style="4" customWidth="1"/>
    <col min="14626" max="14626" width="42.5703125" style="4" bestFit="1" customWidth="1"/>
    <col min="14627" max="14627" width="3.28515625" style="4" customWidth="1"/>
    <col min="14628" max="14628" width="8" style="4" customWidth="1"/>
    <col min="14629" max="14629" width="42.5703125" style="4" bestFit="1" customWidth="1"/>
    <col min="14630" max="14630" width="3.28515625" style="4" customWidth="1"/>
    <col min="14631" max="14631" width="8" style="4" customWidth="1"/>
    <col min="14632" max="14632" width="42.5703125" style="4" bestFit="1" customWidth="1"/>
    <col min="14633" max="14633" width="3.28515625" style="4" customWidth="1"/>
    <col min="14634" max="14634" width="8" style="4" customWidth="1"/>
    <col min="14635" max="14635" width="42.5703125" style="4" bestFit="1" customWidth="1"/>
    <col min="14636" max="14636" width="3.28515625" style="4" customWidth="1"/>
    <col min="14637" max="14637" width="8" style="4" customWidth="1"/>
    <col min="14638" max="14638" width="42.5703125" style="4" bestFit="1" customWidth="1"/>
    <col min="14639" max="14639" width="3.28515625" style="4" customWidth="1"/>
    <col min="14640" max="14640" width="8" style="4" customWidth="1"/>
    <col min="14641" max="14641" width="42.5703125" style="4" bestFit="1" customWidth="1"/>
    <col min="14642" max="14642" width="3.28515625" style="4" customWidth="1"/>
    <col min="14643" max="14643" width="8" style="4" customWidth="1"/>
    <col min="14644" max="14644" width="42.5703125" style="4" bestFit="1" customWidth="1"/>
    <col min="14645" max="14645" width="3.28515625" style="4" customWidth="1"/>
    <col min="14646" max="14646" width="8" style="4" customWidth="1"/>
    <col min="14647" max="14647" width="42.5703125" style="4" bestFit="1" customWidth="1"/>
    <col min="14648" max="14648" width="3.28515625" style="4" customWidth="1"/>
    <col min="14649" max="14649" width="8" style="4" customWidth="1"/>
    <col min="14650" max="14650" width="42.5703125" style="4" bestFit="1" customWidth="1"/>
    <col min="14651" max="14651" width="3.28515625" style="4" customWidth="1"/>
    <col min="14652" max="14652" width="8" style="4" customWidth="1"/>
    <col min="14653" max="14653" width="42.5703125" style="4" bestFit="1" customWidth="1"/>
    <col min="14654" max="14654" width="3.28515625" style="4" customWidth="1"/>
    <col min="14655" max="14655" width="8" style="4" customWidth="1"/>
    <col min="14656" max="14656" width="42.5703125" style="4" bestFit="1" customWidth="1"/>
    <col min="14657" max="14657" width="3.28515625" style="4" customWidth="1"/>
    <col min="14658" max="14658" width="8" style="4" customWidth="1"/>
    <col min="14659" max="14659" width="42.5703125" style="4" bestFit="1" customWidth="1"/>
    <col min="14660" max="14660" width="3.28515625" style="4" customWidth="1"/>
    <col min="14661" max="14661" width="8" style="4" customWidth="1"/>
    <col min="14662" max="14662" width="42.5703125" style="4" bestFit="1" customWidth="1"/>
    <col min="14663" max="14663" width="3.28515625" style="4" customWidth="1"/>
    <col min="14664" max="14664" width="8" style="4" customWidth="1"/>
    <col min="14665" max="14665" width="42.5703125" style="4" bestFit="1" customWidth="1"/>
    <col min="14666" max="14666" width="3.28515625" style="4" customWidth="1"/>
    <col min="14667" max="14667" width="8" style="4" customWidth="1"/>
    <col min="14668" max="14668" width="42.5703125" style="4" bestFit="1" customWidth="1"/>
    <col min="14669" max="14669" width="3.28515625" style="4" customWidth="1"/>
    <col min="14670" max="14670" width="8" style="4" customWidth="1"/>
    <col min="14671" max="14671" width="42.5703125" style="4" bestFit="1" customWidth="1"/>
    <col min="14672" max="14672" width="3.28515625" style="4" customWidth="1"/>
    <col min="14673" max="14673" width="8" style="4" customWidth="1"/>
    <col min="14674" max="14674" width="42.5703125" style="4" bestFit="1" customWidth="1"/>
    <col min="14675" max="14675" width="3.28515625" style="4" customWidth="1"/>
    <col min="14676" max="14676" width="8" style="4" customWidth="1"/>
    <col min="14677" max="14677" width="42.5703125" style="4" bestFit="1" customWidth="1"/>
    <col min="14678" max="14678" width="3.28515625" style="4" customWidth="1"/>
    <col min="14679" max="14679" width="8" style="4" customWidth="1"/>
    <col min="14680" max="14680" width="42.5703125" style="4" bestFit="1" customWidth="1"/>
    <col min="14681" max="14681" width="3.28515625" style="4" customWidth="1"/>
    <col min="14682" max="14682" width="8" style="4" customWidth="1"/>
    <col min="14683" max="14683" width="42.5703125" style="4" bestFit="1" customWidth="1"/>
    <col min="14684" max="14684" width="3.28515625" style="4" customWidth="1"/>
    <col min="14685" max="14685" width="8" style="4" customWidth="1"/>
    <col min="14686" max="14686" width="42.5703125" style="4" bestFit="1" customWidth="1"/>
    <col min="14687" max="14687" width="3.28515625" style="4" customWidth="1"/>
    <col min="14688" max="14688" width="8" style="4" customWidth="1"/>
    <col min="14689" max="14689" width="42.5703125" style="4" bestFit="1" customWidth="1"/>
    <col min="14690" max="14690" width="3.28515625" style="4" customWidth="1"/>
    <col min="14691" max="14691" width="8" style="4" customWidth="1"/>
    <col min="14692" max="14692" width="42.5703125" style="4" bestFit="1" customWidth="1"/>
    <col min="14693" max="14693" width="3.28515625" style="4" customWidth="1"/>
    <col min="14694" max="14694" width="8" style="4" customWidth="1"/>
    <col min="14695" max="14695" width="42.5703125" style="4" bestFit="1" customWidth="1"/>
    <col min="14696" max="14696" width="3.28515625" style="4" customWidth="1"/>
    <col min="14697" max="14697" width="8" style="4" customWidth="1"/>
    <col min="14698" max="14698" width="42.5703125" style="4" bestFit="1" customWidth="1"/>
    <col min="14699" max="14699" width="3.28515625" style="4" customWidth="1"/>
    <col min="14700" max="14700" width="8" style="4" customWidth="1"/>
    <col min="14701" max="14701" width="42.5703125" style="4" bestFit="1" customWidth="1"/>
    <col min="14702" max="14702" width="3.28515625" style="4" customWidth="1"/>
    <col min="14703" max="14703" width="8" style="4" customWidth="1"/>
    <col min="14704" max="14704" width="42.5703125" style="4" bestFit="1" customWidth="1"/>
    <col min="14705" max="14705" width="3.28515625" style="4" customWidth="1"/>
    <col min="14706" max="14706" width="8" style="4" customWidth="1"/>
    <col min="14707" max="14707" width="42.5703125" style="4" bestFit="1" customWidth="1"/>
    <col min="14708" max="14708" width="3.28515625" style="4" customWidth="1"/>
    <col min="14709" max="14709" width="8" style="4" customWidth="1"/>
    <col min="14710" max="14710" width="42.5703125" style="4" bestFit="1" customWidth="1"/>
    <col min="14711" max="14711" width="3.28515625" style="4" customWidth="1"/>
    <col min="14712" max="14712" width="8" style="4" customWidth="1"/>
    <col min="14713" max="14713" width="42.5703125" style="4" bestFit="1" customWidth="1"/>
    <col min="14714" max="14714" width="3.28515625" style="4" customWidth="1"/>
    <col min="14715" max="14715" width="8" style="4" customWidth="1"/>
    <col min="14716" max="14716" width="42.5703125" style="4" bestFit="1" customWidth="1"/>
    <col min="14717" max="14717" width="3.28515625" style="4" customWidth="1"/>
    <col min="14718" max="14718" width="8" style="4" customWidth="1"/>
    <col min="14719" max="14719" width="42.5703125" style="4" bestFit="1" customWidth="1"/>
    <col min="14720" max="14720" width="3.28515625" style="4" customWidth="1"/>
    <col min="14721" max="14721" width="8" style="4" customWidth="1"/>
    <col min="14722" max="14722" width="42.5703125" style="4" bestFit="1" customWidth="1"/>
    <col min="14723" max="14723" width="3.28515625" style="4" customWidth="1"/>
    <col min="14724" max="14724" width="8" style="4" customWidth="1"/>
    <col min="14725" max="14725" width="42.5703125" style="4" bestFit="1" customWidth="1"/>
    <col min="14726" max="14726" width="3.28515625" style="4" customWidth="1"/>
    <col min="14727" max="14727" width="8" style="4" customWidth="1"/>
    <col min="14728" max="14728" width="42.5703125" style="4" bestFit="1" customWidth="1"/>
    <col min="14729" max="14729" width="3.28515625" style="4" customWidth="1"/>
    <col min="14730" max="14730" width="8" style="4" customWidth="1"/>
    <col min="14731" max="14731" width="42.5703125" style="4" bestFit="1" customWidth="1"/>
    <col min="14732" max="14732" width="3.28515625" style="4" customWidth="1"/>
    <col min="14733" max="14733" width="8" style="4" customWidth="1"/>
    <col min="14734" max="14734" width="42.5703125" style="4" bestFit="1" customWidth="1"/>
    <col min="14735" max="14735" width="3.28515625" style="4" customWidth="1"/>
    <col min="14736" max="14736" width="8" style="4" customWidth="1"/>
    <col min="14737" max="14737" width="42.5703125" style="4" bestFit="1" customWidth="1"/>
    <col min="14738" max="14738" width="3.28515625" style="4" customWidth="1"/>
    <col min="14739" max="14739" width="8" style="4" customWidth="1"/>
    <col min="14740" max="14740" width="42.5703125" style="4" bestFit="1" customWidth="1"/>
    <col min="14741" max="14741" width="3.28515625" style="4" customWidth="1"/>
    <col min="14742" max="14742" width="8" style="4" customWidth="1"/>
    <col min="14743" max="14743" width="42.5703125" style="4" bestFit="1" customWidth="1"/>
    <col min="14744" max="14744" width="3.28515625" style="4" customWidth="1"/>
    <col min="14745" max="14745" width="8" style="4" customWidth="1"/>
    <col min="14746" max="14746" width="42.5703125" style="4" bestFit="1" customWidth="1"/>
    <col min="14747" max="14747" width="3.28515625" style="4" customWidth="1"/>
    <col min="14748" max="14748" width="8" style="4" customWidth="1"/>
    <col min="14749" max="14749" width="42.5703125" style="4" bestFit="1" customWidth="1"/>
    <col min="14750" max="14750" width="3.28515625" style="4" customWidth="1"/>
    <col min="14751" max="14751" width="8" style="4" customWidth="1"/>
    <col min="14752" max="14752" width="42.5703125" style="4" bestFit="1" customWidth="1"/>
    <col min="14753" max="14753" width="3.28515625" style="4" customWidth="1"/>
    <col min="14754" max="14754" width="8" style="4" customWidth="1"/>
    <col min="14755" max="14755" width="42.5703125" style="4" bestFit="1" customWidth="1"/>
    <col min="14756" max="14756" width="3.28515625" style="4" customWidth="1"/>
    <col min="14757" max="14757" width="8" style="4" customWidth="1"/>
    <col min="14758" max="14758" width="42.5703125" style="4" bestFit="1" customWidth="1"/>
    <col min="14759" max="14759" width="3.28515625" style="4" customWidth="1"/>
    <col min="14760" max="14760" width="8" style="4" customWidth="1"/>
    <col min="14761" max="14761" width="42.5703125" style="4" bestFit="1" customWidth="1"/>
    <col min="14762" max="14762" width="3.28515625" style="4" customWidth="1"/>
    <col min="14763" max="14763" width="8" style="4" customWidth="1"/>
    <col min="14764" max="14764" width="42.5703125" style="4" bestFit="1" customWidth="1"/>
    <col min="14765" max="14765" width="3.28515625" style="4" customWidth="1"/>
    <col min="14766" max="14766" width="8" style="4" customWidth="1"/>
    <col min="14767" max="14767" width="42.5703125" style="4" bestFit="1" customWidth="1"/>
    <col min="14768" max="14768" width="3.28515625" style="4" customWidth="1"/>
    <col min="14769" max="14769" width="8" style="4" customWidth="1"/>
    <col min="14770" max="14770" width="42.5703125" style="4" bestFit="1" customWidth="1"/>
    <col min="14771" max="14771" width="3.28515625" style="4" customWidth="1"/>
    <col min="14772" max="14772" width="8" style="4" customWidth="1"/>
    <col min="14773" max="14773" width="42.5703125" style="4" bestFit="1" customWidth="1"/>
    <col min="14774" max="14774" width="3.28515625" style="4" customWidth="1"/>
    <col min="14775" max="14775" width="8" style="4" customWidth="1"/>
    <col min="14776" max="14776" width="42.5703125" style="4" bestFit="1" customWidth="1"/>
    <col min="14777" max="14777" width="3.28515625" style="4" customWidth="1"/>
    <col min="14778" max="14778" width="8" style="4" customWidth="1"/>
    <col min="14779" max="14779" width="42.5703125" style="4" bestFit="1" customWidth="1"/>
    <col min="14780" max="14780" width="3.28515625" style="4" customWidth="1"/>
    <col min="14781" max="14781" width="8" style="4" customWidth="1"/>
    <col min="14782" max="14782" width="42.5703125" style="4" bestFit="1" customWidth="1"/>
    <col min="14783" max="14783" width="3.28515625" style="4" customWidth="1"/>
    <col min="14784" max="14784" width="8" style="4" customWidth="1"/>
    <col min="14785" max="14785" width="42.5703125" style="4" bestFit="1" customWidth="1"/>
    <col min="14786" max="14786" width="3.28515625" style="4" customWidth="1"/>
    <col min="14787" max="14787" width="8" style="4" customWidth="1"/>
    <col min="14788" max="14788" width="42.5703125" style="4" bestFit="1" customWidth="1"/>
    <col min="14789" max="14789" width="3.28515625" style="4" customWidth="1"/>
    <col min="14790" max="14790" width="8" style="4" customWidth="1"/>
    <col min="14791" max="14791" width="42.5703125" style="4" bestFit="1" customWidth="1"/>
    <col min="14792" max="14792" width="3.28515625" style="4" customWidth="1"/>
    <col min="14793" max="14793" width="8" style="4" customWidth="1"/>
    <col min="14794" max="14794" width="42.5703125" style="4" bestFit="1" customWidth="1"/>
    <col min="14795" max="14795" width="3.28515625" style="4" customWidth="1"/>
    <col min="14796" max="14796" width="8" style="4" customWidth="1"/>
    <col min="14797" max="14797" width="42.5703125" style="4" bestFit="1" customWidth="1"/>
    <col min="14798" max="14798" width="3.28515625" style="4" customWidth="1"/>
    <col min="14799" max="14799" width="8" style="4" customWidth="1"/>
    <col min="14800" max="14800" width="42.5703125" style="4" bestFit="1" customWidth="1"/>
    <col min="14801" max="14801" width="3.28515625" style="4" customWidth="1"/>
    <col min="14802" max="14802" width="8" style="4" customWidth="1"/>
    <col min="14803" max="14803" width="42.5703125" style="4" bestFit="1" customWidth="1"/>
    <col min="14804" max="14804" width="3.28515625" style="4" customWidth="1"/>
    <col min="14805" max="14805" width="8" style="4" customWidth="1"/>
    <col min="14806" max="14806" width="42.5703125" style="4" bestFit="1" customWidth="1"/>
    <col min="14807" max="14807" width="3.28515625" style="4" customWidth="1"/>
    <col min="14808" max="14808" width="8" style="4" customWidth="1"/>
    <col min="14809" max="14809" width="42.5703125" style="4" bestFit="1" customWidth="1"/>
    <col min="14810" max="14810" width="3.28515625" style="4" customWidth="1"/>
    <col min="14811" max="14811" width="8" style="4" customWidth="1"/>
    <col min="14812" max="14812" width="42.5703125" style="4" bestFit="1" customWidth="1"/>
    <col min="14813" max="14813" width="3.28515625" style="4" customWidth="1"/>
    <col min="14814" max="14814" width="8" style="4" customWidth="1"/>
    <col min="14815" max="14815" width="42.5703125" style="4" bestFit="1" customWidth="1"/>
    <col min="14816" max="14816" width="3.28515625" style="4" customWidth="1"/>
    <col min="14817" max="14817" width="8" style="4" customWidth="1"/>
    <col min="14818" max="14818" width="42.5703125" style="4" bestFit="1" customWidth="1"/>
    <col min="14819" max="14819" width="3.28515625" style="4" customWidth="1"/>
    <col min="14820" max="14820" width="8" style="4" customWidth="1"/>
    <col min="14821" max="14821" width="42.5703125" style="4" bestFit="1" customWidth="1"/>
    <col min="14822" max="14822" width="3.28515625" style="4" customWidth="1"/>
    <col min="14823" max="14823" width="8" style="4" customWidth="1"/>
    <col min="14824" max="14824" width="42.5703125" style="4" bestFit="1" customWidth="1"/>
    <col min="14825" max="14825" width="3.28515625" style="4" customWidth="1"/>
    <col min="14826" max="14826" width="8" style="4" customWidth="1"/>
    <col min="14827" max="14827" width="42.5703125" style="4" bestFit="1" customWidth="1"/>
    <col min="14828" max="14828" width="3.28515625" style="4" customWidth="1"/>
    <col min="14829" max="14829" width="8" style="4" customWidth="1"/>
    <col min="14830" max="14830" width="42.5703125" style="4" bestFit="1" customWidth="1"/>
    <col min="14831" max="14831" width="3.28515625" style="4" customWidth="1"/>
    <col min="14832" max="14832" width="8" style="4" customWidth="1"/>
    <col min="14833" max="14833" width="42.5703125" style="4" bestFit="1" customWidth="1"/>
    <col min="14834" max="14834" width="3.28515625" style="4" customWidth="1"/>
    <col min="14835" max="14835" width="8" style="4" customWidth="1"/>
    <col min="14836" max="14836" width="42.5703125" style="4" bestFit="1" customWidth="1"/>
    <col min="14837" max="14837" width="3.28515625" style="4" customWidth="1"/>
    <col min="14838" max="14838" width="8" style="4" customWidth="1"/>
    <col min="14839" max="14839" width="42.5703125" style="4" bestFit="1" customWidth="1"/>
    <col min="14840" max="14840" width="3.28515625" style="4" customWidth="1"/>
    <col min="14841" max="14841" width="8" style="4" customWidth="1"/>
    <col min="14842" max="14842" width="42.5703125" style="4" bestFit="1" customWidth="1"/>
    <col min="14843" max="14843" width="3.28515625" style="4" customWidth="1"/>
    <col min="14844" max="14844" width="8" style="4" customWidth="1"/>
    <col min="14845" max="14845" width="42.5703125" style="4" bestFit="1" customWidth="1"/>
    <col min="14846" max="14846" width="3.28515625" style="4" customWidth="1"/>
    <col min="14847" max="14847" width="8" style="4" customWidth="1"/>
    <col min="14848" max="14848" width="42.5703125" style="4" bestFit="1" customWidth="1"/>
    <col min="14849" max="14849" width="3.28515625" style="4" customWidth="1"/>
    <col min="14850" max="14850" width="8" style="4" customWidth="1"/>
    <col min="14851" max="14851" width="42.5703125" style="4" bestFit="1" customWidth="1"/>
    <col min="14852" max="14852" width="3.28515625" style="4" customWidth="1"/>
    <col min="14853" max="14853" width="8" style="4" customWidth="1"/>
    <col min="14854" max="14854" width="42.5703125" style="4" bestFit="1" customWidth="1"/>
    <col min="14855" max="14855" width="3.28515625" style="4" customWidth="1"/>
    <col min="14856" max="14856" width="8" style="4" customWidth="1"/>
    <col min="14857" max="14857" width="42.5703125" style="4" bestFit="1" customWidth="1"/>
    <col min="14858" max="14858" width="3.28515625" style="4" customWidth="1"/>
    <col min="14859" max="14859" width="8" style="4" customWidth="1"/>
    <col min="14860" max="14860" width="42.5703125" style="4" bestFit="1" customWidth="1"/>
    <col min="14861" max="14861" width="3.28515625" style="4" customWidth="1"/>
    <col min="14862" max="14862" width="8" style="4" customWidth="1"/>
    <col min="14863" max="14863" width="42.5703125" style="4" bestFit="1" customWidth="1"/>
    <col min="14864" max="14864" width="3.28515625" style="4" customWidth="1"/>
    <col min="14865" max="14865" width="8" style="4" customWidth="1"/>
    <col min="14866" max="14866" width="42.5703125" style="4" bestFit="1" customWidth="1"/>
    <col min="14867" max="14867" width="3.28515625" style="4" customWidth="1"/>
    <col min="14868" max="14868" width="8" style="4" customWidth="1"/>
    <col min="14869" max="14869" width="42.5703125" style="4" bestFit="1" customWidth="1"/>
    <col min="14870" max="14870" width="3.28515625" style="4" customWidth="1"/>
    <col min="14871" max="14871" width="8" style="4" customWidth="1"/>
    <col min="14872" max="14872" width="42.5703125" style="4" bestFit="1" customWidth="1"/>
    <col min="14873" max="14873" width="3.28515625" style="4" customWidth="1"/>
    <col min="14874" max="14874" width="8" style="4" customWidth="1"/>
    <col min="14875" max="14875" width="42.5703125" style="4" bestFit="1" customWidth="1"/>
    <col min="14876" max="14876" width="3.28515625" style="4" customWidth="1"/>
    <col min="14877" max="14877" width="8" style="4" customWidth="1"/>
    <col min="14878" max="14878" width="42.5703125" style="4" bestFit="1" customWidth="1"/>
    <col min="14879" max="14879" width="3.28515625" style="4" customWidth="1"/>
    <col min="14880" max="14880" width="8" style="4" customWidth="1"/>
    <col min="14881" max="14881" width="42.5703125" style="4" bestFit="1" customWidth="1"/>
    <col min="14882" max="14882" width="3.28515625" style="4" customWidth="1"/>
    <col min="14883" max="14883" width="8" style="4" customWidth="1"/>
    <col min="14884" max="14884" width="42.5703125" style="4" bestFit="1" customWidth="1"/>
    <col min="14885" max="14885" width="3.28515625" style="4" customWidth="1"/>
    <col min="14886" max="14886" width="8" style="4" customWidth="1"/>
    <col min="14887" max="14887" width="42.5703125" style="4" bestFit="1" customWidth="1"/>
    <col min="14888" max="14888" width="3.28515625" style="4" customWidth="1"/>
    <col min="14889" max="14889" width="8" style="4" customWidth="1"/>
    <col min="14890" max="14890" width="42.5703125" style="4" bestFit="1" customWidth="1"/>
    <col min="14891" max="14891" width="3.28515625" style="4" customWidth="1"/>
    <col min="14892" max="14892" width="8" style="4" customWidth="1"/>
    <col min="14893" max="14893" width="42.5703125" style="4" bestFit="1" customWidth="1"/>
    <col min="14894" max="14894" width="3.28515625" style="4" customWidth="1"/>
    <col min="14895" max="14895" width="8" style="4" customWidth="1"/>
    <col min="14896" max="14896" width="42.5703125" style="4" bestFit="1" customWidth="1"/>
    <col min="14897" max="14897" width="3.28515625" style="4" customWidth="1"/>
    <col min="14898" max="14898" width="8" style="4" customWidth="1"/>
    <col min="14899" max="14899" width="42.5703125" style="4" bestFit="1" customWidth="1"/>
    <col min="14900" max="14900" width="3.28515625" style="4" customWidth="1"/>
    <col min="14901" max="14901" width="8" style="4" customWidth="1"/>
    <col min="14902" max="14902" width="42.5703125" style="4" bestFit="1" customWidth="1"/>
    <col min="14903" max="14903" width="3.28515625" style="4" customWidth="1"/>
    <col min="14904" max="14904" width="8" style="4" customWidth="1"/>
    <col min="14905" max="14905" width="42.5703125" style="4" bestFit="1" customWidth="1"/>
    <col min="14906" max="14906" width="3.28515625" style="4" customWidth="1"/>
    <col min="14907" max="14907" width="8" style="4" customWidth="1"/>
    <col min="14908" max="14908" width="42.5703125" style="4" bestFit="1" customWidth="1"/>
    <col min="14909" max="14909" width="3.28515625" style="4" customWidth="1"/>
    <col min="14910" max="14910" width="8" style="4" customWidth="1"/>
    <col min="14911" max="14911" width="42.5703125" style="4" bestFit="1" customWidth="1"/>
    <col min="14912" max="14912" width="3.28515625" style="4" customWidth="1"/>
    <col min="14913" max="14913" width="8" style="4" customWidth="1"/>
    <col min="14914" max="14914" width="42.5703125" style="4" bestFit="1" customWidth="1"/>
    <col min="14915" max="14915" width="3.28515625" style="4" customWidth="1"/>
    <col min="14916" max="14916" width="8" style="4" customWidth="1"/>
    <col min="14917" max="14917" width="42.5703125" style="4" bestFit="1" customWidth="1"/>
    <col min="14918" max="14918" width="3.28515625" style="4" customWidth="1"/>
    <col min="14919" max="14919" width="8" style="4" customWidth="1"/>
    <col min="14920" max="14920" width="42.5703125" style="4" bestFit="1" customWidth="1"/>
    <col min="14921" max="14921" width="3.28515625" style="4" customWidth="1"/>
    <col min="14922" max="14922" width="8" style="4" customWidth="1"/>
    <col min="14923" max="14923" width="42.5703125" style="4" bestFit="1" customWidth="1"/>
    <col min="14924" max="14924" width="3.28515625" style="4" customWidth="1"/>
    <col min="14925" max="14925" width="8" style="4" customWidth="1"/>
    <col min="14926" max="14926" width="42.5703125" style="4" bestFit="1" customWidth="1"/>
    <col min="14927" max="14927" width="3.28515625" style="4" customWidth="1"/>
    <col min="14928" max="14928" width="8" style="4" customWidth="1"/>
    <col min="14929" max="14929" width="42.5703125" style="4" bestFit="1" customWidth="1"/>
    <col min="14930" max="14930" width="3.28515625" style="4" customWidth="1"/>
    <col min="14931" max="14931" width="8" style="4" customWidth="1"/>
    <col min="14932" max="14932" width="42.5703125" style="4" bestFit="1" customWidth="1"/>
    <col min="14933" max="14933" width="3.28515625" style="4" customWidth="1"/>
    <col min="14934" max="14934" width="8" style="4" customWidth="1"/>
    <col min="14935" max="14935" width="42.5703125" style="4" bestFit="1" customWidth="1"/>
    <col min="14936" max="14936" width="3.28515625" style="4" customWidth="1"/>
    <col min="14937" max="14937" width="8" style="4" customWidth="1"/>
    <col min="14938" max="14938" width="42.5703125" style="4" bestFit="1" customWidth="1"/>
    <col min="14939" max="14939" width="3.28515625" style="4" customWidth="1"/>
    <col min="14940" max="14940" width="8" style="4" customWidth="1"/>
    <col min="14941" max="14941" width="42.5703125" style="4" bestFit="1" customWidth="1"/>
    <col min="14942" max="14942" width="3.28515625" style="4" customWidth="1"/>
    <col min="14943" max="14943" width="8" style="4" customWidth="1"/>
    <col min="14944" max="14944" width="42.5703125" style="4" bestFit="1" customWidth="1"/>
    <col min="14945" max="14945" width="3.28515625" style="4" customWidth="1"/>
    <col min="14946" max="14946" width="8" style="4" customWidth="1"/>
    <col min="14947" max="14947" width="42.5703125" style="4" bestFit="1" customWidth="1"/>
    <col min="14948" max="14948" width="3.28515625" style="4" customWidth="1"/>
    <col min="14949" max="14949" width="8" style="4" customWidth="1"/>
    <col min="14950" max="14950" width="42.5703125" style="4" bestFit="1" customWidth="1"/>
    <col min="14951" max="14951" width="3.28515625" style="4" customWidth="1"/>
    <col min="14952" max="14952" width="8" style="4" customWidth="1"/>
    <col min="14953" max="14953" width="42.5703125" style="4" bestFit="1" customWidth="1"/>
    <col min="14954" max="14954" width="3.28515625" style="4" customWidth="1"/>
    <col min="14955" max="14955" width="8" style="4" customWidth="1"/>
    <col min="14956" max="14956" width="42.5703125" style="4" bestFit="1" customWidth="1"/>
    <col min="14957" max="14957" width="3.28515625" style="4" customWidth="1"/>
    <col min="14958" max="14958" width="8" style="4" customWidth="1"/>
    <col min="14959" max="14959" width="42.5703125" style="4" bestFit="1" customWidth="1"/>
    <col min="14960" max="14960" width="3.28515625" style="4" customWidth="1"/>
    <col min="14961" max="14961" width="8" style="4" customWidth="1"/>
    <col min="14962" max="14962" width="42.5703125" style="4" bestFit="1" customWidth="1"/>
    <col min="14963" max="14963" width="3.28515625" style="4" customWidth="1"/>
    <col min="14964" max="14964" width="8" style="4" customWidth="1"/>
    <col min="14965" max="14965" width="42.5703125" style="4" bestFit="1" customWidth="1"/>
    <col min="14966" max="14966" width="3.28515625" style="4" customWidth="1"/>
    <col min="14967" max="14967" width="8" style="4" customWidth="1"/>
    <col min="14968" max="14968" width="42.5703125" style="4" bestFit="1" customWidth="1"/>
    <col min="14969" max="14969" width="3.28515625" style="4" customWidth="1"/>
    <col min="14970" max="14970" width="8" style="4" customWidth="1"/>
    <col min="14971" max="14971" width="42.5703125" style="4" bestFit="1" customWidth="1"/>
    <col min="14972" max="14972" width="3.28515625" style="4" customWidth="1"/>
    <col min="14973" max="14973" width="8" style="4" customWidth="1"/>
    <col min="14974" max="14974" width="42.5703125" style="4" bestFit="1" customWidth="1"/>
    <col min="14975" max="14975" width="3.28515625" style="4" customWidth="1"/>
    <col min="14976" max="14976" width="8" style="4" customWidth="1"/>
    <col min="14977" max="14977" width="42.5703125" style="4" bestFit="1" customWidth="1"/>
    <col min="14978" max="14978" width="3.28515625" style="4" customWidth="1"/>
    <col min="14979" max="14979" width="8" style="4" customWidth="1"/>
    <col min="14980" max="14980" width="42.5703125" style="4" bestFit="1" customWidth="1"/>
    <col min="14981" max="14981" width="3.28515625" style="4" customWidth="1"/>
    <col min="14982" max="14982" width="8" style="4" customWidth="1"/>
    <col min="14983" max="14983" width="42.5703125" style="4" bestFit="1" customWidth="1"/>
    <col min="14984" max="14984" width="3.28515625" style="4" customWidth="1"/>
    <col min="14985" max="14985" width="8" style="4" customWidth="1"/>
    <col min="14986" max="14986" width="42.5703125" style="4" bestFit="1" customWidth="1"/>
    <col min="14987" max="14987" width="3.28515625" style="4" customWidth="1"/>
    <col min="14988" max="14988" width="8" style="4" customWidth="1"/>
    <col min="14989" max="14989" width="42.5703125" style="4" bestFit="1" customWidth="1"/>
    <col min="14990" max="14990" width="3.28515625" style="4" customWidth="1"/>
    <col min="14991" max="14991" width="8" style="4" customWidth="1"/>
    <col min="14992" max="14992" width="42.5703125" style="4" bestFit="1" customWidth="1"/>
    <col min="14993" max="14993" width="3.28515625" style="4" customWidth="1"/>
    <col min="14994" max="14994" width="8" style="4" customWidth="1"/>
    <col min="14995" max="14995" width="42.5703125" style="4" bestFit="1" customWidth="1"/>
    <col min="14996" max="14996" width="3.28515625" style="4" customWidth="1"/>
    <col min="14997" max="14997" width="8" style="4" customWidth="1"/>
    <col min="14998" max="14998" width="42.5703125" style="4" bestFit="1" customWidth="1"/>
    <col min="14999" max="14999" width="3.28515625" style="4" customWidth="1"/>
    <col min="15000" max="15000" width="8" style="4" customWidth="1"/>
    <col min="15001" max="15001" width="42.5703125" style="4" bestFit="1" customWidth="1"/>
    <col min="15002" max="15002" width="3.28515625" style="4" customWidth="1"/>
    <col min="15003" max="15003" width="8" style="4" customWidth="1"/>
    <col min="15004" max="15004" width="42.5703125" style="4" bestFit="1" customWidth="1"/>
    <col min="15005" max="15005" width="3.28515625" style="4" customWidth="1"/>
    <col min="15006" max="15006" width="8" style="4" customWidth="1"/>
    <col min="15007" max="15007" width="42.5703125" style="4" bestFit="1" customWidth="1"/>
    <col min="15008" max="15008" width="3.28515625" style="4" customWidth="1"/>
    <col min="15009" max="15009" width="8" style="4" customWidth="1"/>
    <col min="15010" max="15010" width="42.5703125" style="4" bestFit="1" customWidth="1"/>
    <col min="15011" max="15011" width="3.28515625" style="4" customWidth="1"/>
    <col min="15012" max="15012" width="8" style="4" customWidth="1"/>
    <col min="15013" max="15013" width="42.5703125" style="4" bestFit="1" customWidth="1"/>
    <col min="15014" max="15014" width="3.28515625" style="4" customWidth="1"/>
    <col min="15015" max="15015" width="8" style="4" customWidth="1"/>
    <col min="15016" max="15016" width="42.5703125" style="4" bestFit="1" customWidth="1"/>
    <col min="15017" max="15017" width="3.28515625" style="4" customWidth="1"/>
    <col min="15018" max="15018" width="8" style="4" customWidth="1"/>
    <col min="15019" max="15019" width="42.5703125" style="4" bestFit="1" customWidth="1"/>
    <col min="15020" max="15020" width="3.28515625" style="4" customWidth="1"/>
    <col min="15021" max="15021" width="8" style="4" customWidth="1"/>
    <col min="15022" max="15022" width="42.5703125" style="4" bestFit="1" customWidth="1"/>
    <col min="15023" max="15023" width="3.28515625" style="4" customWidth="1"/>
    <col min="15024" max="15024" width="8" style="4" customWidth="1"/>
    <col min="15025" max="15025" width="42.5703125" style="4" bestFit="1" customWidth="1"/>
    <col min="15026" max="15026" width="3.28515625" style="4" customWidth="1"/>
    <col min="15027" max="15027" width="8" style="4" customWidth="1"/>
    <col min="15028" max="15028" width="42.5703125" style="4" bestFit="1" customWidth="1"/>
    <col min="15029" max="15029" width="3.28515625" style="4" customWidth="1"/>
    <col min="15030" max="15030" width="8" style="4" customWidth="1"/>
    <col min="15031" max="15031" width="42.5703125" style="4" bestFit="1" customWidth="1"/>
    <col min="15032" max="15032" width="3.28515625" style="4" customWidth="1"/>
    <col min="15033" max="15033" width="8" style="4" customWidth="1"/>
    <col min="15034" max="15034" width="42.5703125" style="4" bestFit="1" customWidth="1"/>
    <col min="15035" max="15035" width="3.28515625" style="4" customWidth="1"/>
    <col min="15036" max="15036" width="8" style="4" customWidth="1"/>
    <col min="15037" max="15037" width="42.5703125" style="4" bestFit="1" customWidth="1"/>
    <col min="15038" max="15038" width="3.28515625" style="4" customWidth="1"/>
    <col min="15039" max="15039" width="8" style="4" customWidth="1"/>
    <col min="15040" max="15040" width="42.5703125" style="4" bestFit="1" customWidth="1"/>
    <col min="15041" max="15041" width="3.28515625" style="4" customWidth="1"/>
    <col min="15042" max="15042" width="8" style="4" customWidth="1"/>
    <col min="15043" max="15043" width="42.5703125" style="4" bestFit="1" customWidth="1"/>
    <col min="15044" max="15044" width="3.28515625" style="4" customWidth="1"/>
    <col min="15045" max="15045" width="8" style="4" customWidth="1"/>
    <col min="15046" max="15046" width="42.5703125" style="4" bestFit="1" customWidth="1"/>
    <col min="15047" max="15047" width="3.28515625" style="4" customWidth="1"/>
    <col min="15048" max="15048" width="8" style="4" customWidth="1"/>
    <col min="15049" max="15049" width="42.5703125" style="4" bestFit="1" customWidth="1"/>
    <col min="15050" max="15050" width="3.28515625" style="4" customWidth="1"/>
    <col min="15051" max="15051" width="8" style="4" customWidth="1"/>
    <col min="15052" max="15052" width="42.5703125" style="4" bestFit="1" customWidth="1"/>
    <col min="15053" max="15053" width="3.28515625" style="4" customWidth="1"/>
    <col min="15054" max="15054" width="8" style="4" customWidth="1"/>
    <col min="15055" max="15055" width="42.5703125" style="4" bestFit="1" customWidth="1"/>
    <col min="15056" max="15056" width="3.28515625" style="4" customWidth="1"/>
    <col min="15057" max="15057" width="8" style="4" customWidth="1"/>
    <col min="15058" max="15058" width="42.5703125" style="4" bestFit="1" customWidth="1"/>
    <col min="15059" max="15059" width="3.28515625" style="4" customWidth="1"/>
    <col min="15060" max="15060" width="8" style="4" customWidth="1"/>
    <col min="15061" max="15061" width="42.5703125" style="4" bestFit="1" customWidth="1"/>
    <col min="15062" max="15062" width="3.28515625" style="4" customWidth="1"/>
    <col min="15063" max="15063" width="8" style="4" customWidth="1"/>
    <col min="15064" max="15064" width="42.5703125" style="4" bestFit="1" customWidth="1"/>
    <col min="15065" max="15065" width="3.28515625" style="4" customWidth="1"/>
    <col min="15066" max="15066" width="8" style="4" customWidth="1"/>
    <col min="15067" max="15067" width="42.5703125" style="4" bestFit="1" customWidth="1"/>
    <col min="15068" max="15068" width="3.28515625" style="4" customWidth="1"/>
    <col min="15069" max="15069" width="8" style="4" customWidth="1"/>
    <col min="15070" max="15070" width="42.5703125" style="4" bestFit="1" customWidth="1"/>
    <col min="15071" max="15071" width="3.28515625" style="4" customWidth="1"/>
    <col min="15072" max="15072" width="8" style="4" customWidth="1"/>
    <col min="15073" max="15073" width="42.5703125" style="4" bestFit="1" customWidth="1"/>
    <col min="15074" max="15074" width="3.28515625" style="4" customWidth="1"/>
    <col min="15075" max="15075" width="8" style="4" customWidth="1"/>
    <col min="15076" max="15076" width="42.5703125" style="4" bestFit="1" customWidth="1"/>
    <col min="15077" max="15077" width="3.28515625" style="4" customWidth="1"/>
    <col min="15078" max="15078" width="8" style="4" customWidth="1"/>
    <col min="15079" max="15079" width="42.5703125" style="4" bestFit="1" customWidth="1"/>
    <col min="15080" max="15080" width="3.28515625" style="4" customWidth="1"/>
    <col min="15081" max="15081" width="8" style="4" customWidth="1"/>
    <col min="15082" max="15082" width="42.5703125" style="4" bestFit="1" customWidth="1"/>
    <col min="15083" max="15083" width="3.28515625" style="4" customWidth="1"/>
    <col min="15084" max="15084" width="8" style="4" customWidth="1"/>
    <col min="15085" max="15085" width="42.5703125" style="4" bestFit="1" customWidth="1"/>
    <col min="15086" max="15086" width="3.28515625" style="4" customWidth="1"/>
    <col min="15087" max="15087" width="8" style="4" customWidth="1"/>
    <col min="15088" max="15088" width="42.5703125" style="4" bestFit="1" customWidth="1"/>
    <col min="15089" max="15089" width="3.28515625" style="4" customWidth="1"/>
    <col min="15090" max="15090" width="8" style="4" customWidth="1"/>
    <col min="15091" max="15091" width="42.5703125" style="4" bestFit="1" customWidth="1"/>
    <col min="15092" max="15092" width="3.28515625" style="4" customWidth="1"/>
    <col min="15093" max="15093" width="8" style="4" customWidth="1"/>
    <col min="15094" max="15094" width="42.5703125" style="4" bestFit="1" customWidth="1"/>
    <col min="15095" max="15095" width="3.28515625" style="4" customWidth="1"/>
    <col min="15096" max="15096" width="8" style="4" customWidth="1"/>
    <col min="15097" max="15097" width="42.5703125" style="4" bestFit="1" customWidth="1"/>
    <col min="15098" max="15098" width="3.28515625" style="4" customWidth="1"/>
    <col min="15099" max="15099" width="8" style="4" customWidth="1"/>
    <col min="15100" max="15100" width="42.5703125" style="4" bestFit="1" customWidth="1"/>
    <col min="15101" max="15101" width="3.28515625" style="4" customWidth="1"/>
    <col min="15102" max="15102" width="8" style="4" customWidth="1"/>
    <col min="15103" max="15103" width="42.5703125" style="4" bestFit="1" customWidth="1"/>
    <col min="15104" max="15104" width="3.28515625" style="4" customWidth="1"/>
    <col min="15105" max="15105" width="8" style="4" customWidth="1"/>
    <col min="15106" max="15106" width="42.5703125" style="4" bestFit="1" customWidth="1"/>
    <col min="15107" max="15107" width="3.28515625" style="4" customWidth="1"/>
    <col min="15108" max="15108" width="8" style="4" customWidth="1"/>
    <col min="15109" max="15109" width="42.5703125" style="4" bestFit="1" customWidth="1"/>
    <col min="15110" max="15110" width="3.28515625" style="4" customWidth="1"/>
    <col min="15111" max="15111" width="8" style="4" customWidth="1"/>
    <col min="15112" max="15112" width="42.5703125" style="4" bestFit="1" customWidth="1"/>
    <col min="15113" max="15113" width="3.28515625" style="4" customWidth="1"/>
    <col min="15114" max="15114" width="8" style="4" customWidth="1"/>
    <col min="15115" max="15115" width="42.5703125" style="4" bestFit="1" customWidth="1"/>
    <col min="15116" max="15116" width="3.28515625" style="4" customWidth="1"/>
    <col min="15117" max="15117" width="8" style="4" customWidth="1"/>
    <col min="15118" max="15118" width="42.5703125" style="4" bestFit="1" customWidth="1"/>
    <col min="15119" max="15119" width="3.28515625" style="4" customWidth="1"/>
    <col min="15120" max="15120" width="8" style="4" customWidth="1"/>
    <col min="15121" max="15121" width="42.5703125" style="4" bestFit="1" customWidth="1"/>
    <col min="15122" max="15122" width="3.28515625" style="4" customWidth="1"/>
    <col min="15123" max="15123" width="8" style="4" customWidth="1"/>
    <col min="15124" max="15124" width="42.5703125" style="4" bestFit="1" customWidth="1"/>
    <col min="15125" max="15125" width="3.28515625" style="4" customWidth="1"/>
    <col min="15126" max="15126" width="8" style="4" customWidth="1"/>
    <col min="15127" max="15127" width="42.5703125" style="4" bestFit="1" customWidth="1"/>
    <col min="15128" max="15128" width="3.28515625" style="4" customWidth="1"/>
    <col min="15129" max="15129" width="8" style="4" customWidth="1"/>
    <col min="15130" max="15130" width="42.5703125" style="4" bestFit="1" customWidth="1"/>
    <col min="15131" max="15131" width="3.28515625" style="4" customWidth="1"/>
    <col min="15132" max="15132" width="8" style="4" customWidth="1"/>
    <col min="15133" max="15133" width="42.5703125" style="4" bestFit="1" customWidth="1"/>
    <col min="15134" max="15134" width="3.28515625" style="4" customWidth="1"/>
    <col min="15135" max="15135" width="8" style="4" customWidth="1"/>
    <col min="15136" max="15136" width="42.5703125" style="4" bestFit="1" customWidth="1"/>
    <col min="15137" max="15137" width="3.28515625" style="4" customWidth="1"/>
    <col min="15138" max="15138" width="8" style="4" customWidth="1"/>
    <col min="15139" max="15139" width="42.5703125" style="4" bestFit="1" customWidth="1"/>
    <col min="15140" max="15140" width="3.28515625" style="4" customWidth="1"/>
    <col min="15141" max="15141" width="8" style="4" customWidth="1"/>
    <col min="15142" max="15142" width="42.5703125" style="4" bestFit="1" customWidth="1"/>
    <col min="15143" max="15143" width="3.28515625" style="4" customWidth="1"/>
    <col min="15144" max="15144" width="8" style="4" customWidth="1"/>
    <col min="15145" max="15145" width="42.5703125" style="4" bestFit="1" customWidth="1"/>
    <col min="15146" max="15146" width="3.28515625" style="4" customWidth="1"/>
    <col min="15147" max="15147" width="8" style="4" customWidth="1"/>
    <col min="15148" max="15148" width="42.5703125" style="4" bestFit="1" customWidth="1"/>
    <col min="15149" max="15149" width="3.28515625" style="4" customWidth="1"/>
    <col min="15150" max="15150" width="8" style="4" customWidth="1"/>
    <col min="15151" max="15151" width="42.5703125" style="4" bestFit="1" customWidth="1"/>
    <col min="15152" max="15152" width="3.28515625" style="4" customWidth="1"/>
    <col min="15153" max="15153" width="8" style="4" customWidth="1"/>
    <col min="15154" max="15154" width="42.5703125" style="4" bestFit="1" customWidth="1"/>
    <col min="15155" max="15155" width="3.28515625" style="4" customWidth="1"/>
    <col min="15156" max="15156" width="8" style="4" customWidth="1"/>
    <col min="15157" max="15157" width="42.5703125" style="4" bestFit="1" customWidth="1"/>
    <col min="15158" max="15158" width="3.28515625" style="4" customWidth="1"/>
    <col min="15159" max="15159" width="8" style="4" customWidth="1"/>
    <col min="15160" max="15160" width="42.5703125" style="4" bestFit="1" customWidth="1"/>
    <col min="15161" max="15161" width="3.28515625" style="4" customWidth="1"/>
    <col min="15162" max="15162" width="8" style="4" customWidth="1"/>
    <col min="15163" max="15163" width="42.5703125" style="4" bestFit="1" customWidth="1"/>
    <col min="15164" max="15164" width="3.28515625" style="4" customWidth="1"/>
    <col min="15165" max="15165" width="8" style="4" customWidth="1"/>
    <col min="15166" max="15166" width="42.5703125" style="4" bestFit="1" customWidth="1"/>
    <col min="15167" max="15167" width="3.28515625" style="4" customWidth="1"/>
    <col min="15168" max="15168" width="8" style="4" customWidth="1"/>
    <col min="15169" max="15169" width="42.5703125" style="4" bestFit="1" customWidth="1"/>
    <col min="15170" max="15170" width="3.28515625" style="4" customWidth="1"/>
    <col min="15171" max="15171" width="8" style="4" customWidth="1"/>
    <col min="15172" max="15172" width="42.5703125" style="4" bestFit="1" customWidth="1"/>
    <col min="15173" max="15173" width="3.28515625" style="4" customWidth="1"/>
    <col min="15174" max="15174" width="8" style="4" customWidth="1"/>
    <col min="15175" max="15175" width="42.5703125" style="4" bestFit="1" customWidth="1"/>
    <col min="15176" max="15176" width="3.28515625" style="4" customWidth="1"/>
    <col min="15177" max="15177" width="8" style="4" customWidth="1"/>
    <col min="15178" max="15178" width="42.5703125" style="4" bestFit="1" customWidth="1"/>
    <col min="15179" max="15179" width="3.28515625" style="4" customWidth="1"/>
    <col min="15180" max="15180" width="8" style="4" customWidth="1"/>
    <col min="15181" max="15181" width="42.5703125" style="4" bestFit="1" customWidth="1"/>
    <col min="15182" max="15182" width="3.28515625" style="4" customWidth="1"/>
    <col min="15183" max="15183" width="8" style="4" customWidth="1"/>
    <col min="15184" max="15184" width="42.5703125" style="4" bestFit="1" customWidth="1"/>
    <col min="15185" max="15185" width="3.28515625" style="4" customWidth="1"/>
    <col min="15186" max="15186" width="8" style="4" customWidth="1"/>
    <col min="15187" max="15187" width="42.5703125" style="4" bestFit="1" customWidth="1"/>
    <col min="15188" max="15188" width="3.28515625" style="4" customWidth="1"/>
    <col min="15189" max="15189" width="8" style="4" customWidth="1"/>
    <col min="15190" max="15190" width="42.5703125" style="4" bestFit="1" customWidth="1"/>
    <col min="15191" max="15191" width="3.28515625" style="4" customWidth="1"/>
    <col min="15192" max="15192" width="8" style="4" customWidth="1"/>
    <col min="15193" max="15193" width="42.5703125" style="4" bestFit="1" customWidth="1"/>
    <col min="15194" max="15194" width="3.28515625" style="4" customWidth="1"/>
    <col min="15195" max="15195" width="8" style="4" customWidth="1"/>
    <col min="15196" max="15196" width="42.5703125" style="4" bestFit="1" customWidth="1"/>
    <col min="15197" max="15197" width="3.28515625" style="4" customWidth="1"/>
    <col min="15198" max="15198" width="8" style="4" customWidth="1"/>
    <col min="15199" max="15199" width="42.5703125" style="4" bestFit="1" customWidth="1"/>
    <col min="15200" max="15200" width="3.28515625" style="4" customWidth="1"/>
    <col min="15201" max="15201" width="8" style="4" customWidth="1"/>
    <col min="15202" max="15202" width="42.5703125" style="4" bestFit="1" customWidth="1"/>
    <col min="15203" max="15203" width="3.28515625" style="4" customWidth="1"/>
    <col min="15204" max="15204" width="8" style="4" customWidth="1"/>
    <col min="15205" max="15205" width="42.5703125" style="4" bestFit="1" customWidth="1"/>
    <col min="15206" max="15206" width="3.28515625" style="4" customWidth="1"/>
    <col min="15207" max="15207" width="8" style="4" customWidth="1"/>
    <col min="15208" max="15208" width="42.5703125" style="4" bestFit="1" customWidth="1"/>
    <col min="15209" max="15209" width="3.28515625" style="4" customWidth="1"/>
    <col min="15210" max="15210" width="8" style="4" customWidth="1"/>
    <col min="15211" max="15211" width="42.5703125" style="4" bestFit="1" customWidth="1"/>
    <col min="15212" max="15212" width="3.28515625" style="4" customWidth="1"/>
    <col min="15213" max="15213" width="8" style="4" customWidth="1"/>
    <col min="15214" max="15214" width="42.5703125" style="4" bestFit="1" customWidth="1"/>
    <col min="15215" max="15215" width="3.28515625" style="4" customWidth="1"/>
    <col min="15216" max="15216" width="8" style="4" customWidth="1"/>
    <col min="15217" max="15217" width="42.5703125" style="4" bestFit="1" customWidth="1"/>
    <col min="15218" max="15218" width="3.28515625" style="4" customWidth="1"/>
    <col min="15219" max="15219" width="8" style="4" customWidth="1"/>
    <col min="15220" max="15220" width="42.5703125" style="4" bestFit="1" customWidth="1"/>
    <col min="15221" max="15221" width="3.28515625" style="4" customWidth="1"/>
    <col min="15222" max="15222" width="8" style="4" customWidth="1"/>
    <col min="15223" max="15223" width="42.5703125" style="4" bestFit="1" customWidth="1"/>
    <col min="15224" max="15224" width="3.28515625" style="4" customWidth="1"/>
    <col min="15225" max="15225" width="8" style="4" customWidth="1"/>
    <col min="15226" max="15226" width="42.5703125" style="4" bestFit="1" customWidth="1"/>
    <col min="15227" max="15227" width="3.28515625" style="4" customWidth="1"/>
    <col min="15228" max="15228" width="8" style="4" customWidth="1"/>
    <col min="15229" max="15229" width="42.5703125" style="4" bestFit="1" customWidth="1"/>
    <col min="15230" max="15230" width="3.28515625" style="4" customWidth="1"/>
    <col min="15231" max="15231" width="8" style="4" customWidth="1"/>
    <col min="15232" max="15232" width="42.5703125" style="4" bestFit="1" customWidth="1"/>
    <col min="15233" max="15233" width="3.28515625" style="4" customWidth="1"/>
    <col min="15234" max="15234" width="8" style="4" customWidth="1"/>
    <col min="15235" max="15235" width="42.5703125" style="4" bestFit="1" customWidth="1"/>
    <col min="15236" max="15236" width="3.28515625" style="4" customWidth="1"/>
    <col min="15237" max="15237" width="8" style="4" customWidth="1"/>
    <col min="15238" max="15238" width="42.5703125" style="4" bestFit="1" customWidth="1"/>
    <col min="15239" max="15239" width="3.28515625" style="4" customWidth="1"/>
    <col min="15240" max="15240" width="8" style="4" customWidth="1"/>
    <col min="15241" max="15241" width="42.5703125" style="4" bestFit="1" customWidth="1"/>
    <col min="15242" max="15242" width="3.28515625" style="4" customWidth="1"/>
    <col min="15243" max="15243" width="8" style="4" customWidth="1"/>
    <col min="15244" max="15244" width="42.5703125" style="4" bestFit="1" customWidth="1"/>
    <col min="15245" max="15245" width="3.28515625" style="4" customWidth="1"/>
    <col min="15246" max="15246" width="8" style="4" customWidth="1"/>
    <col min="15247" max="15247" width="42.5703125" style="4" bestFit="1" customWidth="1"/>
    <col min="15248" max="15248" width="3.28515625" style="4" customWidth="1"/>
    <col min="15249" max="15249" width="8" style="4" customWidth="1"/>
    <col min="15250" max="15250" width="42.5703125" style="4" bestFit="1" customWidth="1"/>
    <col min="15251" max="15251" width="3.28515625" style="4" customWidth="1"/>
    <col min="15252" max="15252" width="8" style="4" customWidth="1"/>
    <col min="15253" max="15253" width="42.5703125" style="4" bestFit="1" customWidth="1"/>
    <col min="15254" max="15254" width="3.28515625" style="4" customWidth="1"/>
    <col min="15255" max="15255" width="8" style="4" customWidth="1"/>
    <col min="15256" max="15256" width="42.5703125" style="4" bestFit="1" customWidth="1"/>
    <col min="15257" max="15257" width="3.28515625" style="4" customWidth="1"/>
    <col min="15258" max="15258" width="8" style="4" customWidth="1"/>
    <col min="15259" max="15259" width="42.5703125" style="4" bestFit="1" customWidth="1"/>
    <col min="15260" max="15260" width="3.28515625" style="4" customWidth="1"/>
    <col min="15261" max="15261" width="8" style="4" customWidth="1"/>
    <col min="15262" max="15262" width="42.5703125" style="4" bestFit="1" customWidth="1"/>
    <col min="15263" max="15263" width="3.28515625" style="4" customWidth="1"/>
    <col min="15264" max="15264" width="8" style="4" customWidth="1"/>
    <col min="15265" max="15265" width="42.5703125" style="4" bestFit="1" customWidth="1"/>
    <col min="15266" max="15266" width="3.28515625" style="4" customWidth="1"/>
    <col min="15267" max="15267" width="8" style="4" customWidth="1"/>
    <col min="15268" max="15268" width="42.5703125" style="4" bestFit="1" customWidth="1"/>
    <col min="15269" max="15269" width="3.28515625" style="4" customWidth="1"/>
    <col min="15270" max="15270" width="8" style="4" customWidth="1"/>
    <col min="15271" max="15271" width="42.5703125" style="4" bestFit="1" customWidth="1"/>
    <col min="15272" max="15272" width="3.28515625" style="4" customWidth="1"/>
    <col min="15273" max="15273" width="8" style="4" customWidth="1"/>
    <col min="15274" max="15274" width="42.5703125" style="4" bestFit="1" customWidth="1"/>
    <col min="15275" max="15275" width="3.28515625" style="4" customWidth="1"/>
    <col min="15276" max="15276" width="8" style="4" customWidth="1"/>
    <col min="15277" max="15277" width="42.5703125" style="4" bestFit="1" customWidth="1"/>
    <col min="15278" max="15278" width="3.28515625" style="4" customWidth="1"/>
    <col min="15279" max="15279" width="8" style="4" customWidth="1"/>
    <col min="15280" max="15280" width="42.5703125" style="4" bestFit="1" customWidth="1"/>
    <col min="15281" max="15281" width="3.28515625" style="4" customWidth="1"/>
    <col min="15282" max="15282" width="8" style="4" customWidth="1"/>
    <col min="15283" max="15283" width="42.5703125" style="4" bestFit="1" customWidth="1"/>
    <col min="15284" max="15284" width="3.28515625" style="4" customWidth="1"/>
    <col min="15285" max="15285" width="8" style="4" customWidth="1"/>
    <col min="15286" max="15286" width="42.5703125" style="4" bestFit="1" customWidth="1"/>
    <col min="15287" max="15287" width="3.28515625" style="4" customWidth="1"/>
    <col min="15288" max="15288" width="8" style="4" customWidth="1"/>
    <col min="15289" max="15289" width="42.5703125" style="4" bestFit="1" customWidth="1"/>
    <col min="15290" max="15290" width="3.28515625" style="4" customWidth="1"/>
    <col min="15291" max="15291" width="8" style="4" customWidth="1"/>
    <col min="15292" max="15292" width="42.5703125" style="4" bestFit="1" customWidth="1"/>
    <col min="15293" max="15293" width="3.28515625" style="4" customWidth="1"/>
    <col min="15294" max="15294" width="8" style="4" customWidth="1"/>
    <col min="15295" max="15295" width="42.5703125" style="4" bestFit="1" customWidth="1"/>
    <col min="15296" max="15296" width="3.28515625" style="4" customWidth="1"/>
    <col min="15297" max="15297" width="8" style="4" customWidth="1"/>
    <col min="15298" max="15298" width="42.5703125" style="4" bestFit="1" customWidth="1"/>
    <col min="15299" max="15299" width="3.28515625" style="4" customWidth="1"/>
    <col min="15300" max="15300" width="8" style="4" customWidth="1"/>
    <col min="15301" max="15301" width="42.5703125" style="4" bestFit="1" customWidth="1"/>
    <col min="15302" max="15302" width="3.28515625" style="4" customWidth="1"/>
    <col min="15303" max="15303" width="8" style="4" customWidth="1"/>
    <col min="15304" max="15304" width="42.5703125" style="4" bestFit="1" customWidth="1"/>
    <col min="15305" max="15305" width="3.28515625" style="4" customWidth="1"/>
    <col min="15306" max="15306" width="8" style="4" customWidth="1"/>
    <col min="15307" max="15307" width="42.5703125" style="4" bestFit="1" customWidth="1"/>
    <col min="15308" max="15308" width="3.28515625" style="4" customWidth="1"/>
    <col min="15309" max="15309" width="8" style="4" customWidth="1"/>
    <col min="15310" max="15310" width="42.5703125" style="4" bestFit="1" customWidth="1"/>
    <col min="15311" max="15311" width="3.28515625" style="4" customWidth="1"/>
    <col min="15312" max="15312" width="8" style="4" customWidth="1"/>
    <col min="15313" max="15313" width="42.5703125" style="4" bestFit="1" customWidth="1"/>
    <col min="15314" max="15314" width="3.28515625" style="4" customWidth="1"/>
    <col min="15315" max="15315" width="8" style="4" customWidth="1"/>
    <col min="15316" max="15316" width="42.5703125" style="4" bestFit="1" customWidth="1"/>
    <col min="15317" max="15317" width="3.28515625" style="4" customWidth="1"/>
    <col min="15318" max="15318" width="8" style="4" customWidth="1"/>
    <col min="15319" max="15319" width="42.5703125" style="4" bestFit="1" customWidth="1"/>
    <col min="15320" max="15320" width="3.28515625" style="4" customWidth="1"/>
    <col min="15321" max="15321" width="8" style="4" customWidth="1"/>
    <col min="15322" max="15322" width="42.5703125" style="4" bestFit="1" customWidth="1"/>
    <col min="15323" max="15323" width="3.28515625" style="4" customWidth="1"/>
    <col min="15324" max="15324" width="8" style="4" customWidth="1"/>
    <col min="15325" max="15325" width="42.5703125" style="4" bestFit="1" customWidth="1"/>
    <col min="15326" max="15326" width="3.28515625" style="4" customWidth="1"/>
    <col min="15327" max="15327" width="8" style="4" customWidth="1"/>
    <col min="15328" max="15328" width="42.5703125" style="4" bestFit="1" customWidth="1"/>
    <col min="15329" max="15329" width="3.28515625" style="4" customWidth="1"/>
    <col min="15330" max="15330" width="8" style="4" customWidth="1"/>
    <col min="15331" max="15331" width="42.5703125" style="4" bestFit="1" customWidth="1"/>
    <col min="15332" max="15332" width="3.28515625" style="4" customWidth="1"/>
    <col min="15333" max="15333" width="8" style="4" customWidth="1"/>
    <col min="15334" max="15334" width="42.5703125" style="4" bestFit="1" customWidth="1"/>
    <col min="15335" max="15335" width="3.28515625" style="4" customWidth="1"/>
    <col min="15336" max="15336" width="8" style="4" customWidth="1"/>
    <col min="15337" max="15337" width="42.5703125" style="4" bestFit="1" customWidth="1"/>
    <col min="15338" max="15338" width="3.28515625" style="4" customWidth="1"/>
    <col min="15339" max="15339" width="8" style="4" customWidth="1"/>
    <col min="15340" max="15340" width="42.5703125" style="4" bestFit="1" customWidth="1"/>
    <col min="15341" max="15341" width="3.28515625" style="4" customWidth="1"/>
    <col min="15342" max="15342" width="8" style="4" customWidth="1"/>
    <col min="15343" max="15343" width="42.5703125" style="4" bestFit="1" customWidth="1"/>
    <col min="15344" max="15344" width="3.28515625" style="4" customWidth="1"/>
    <col min="15345" max="15345" width="8" style="4" customWidth="1"/>
    <col min="15346" max="15346" width="42.5703125" style="4" bestFit="1" customWidth="1"/>
    <col min="15347" max="15347" width="3.28515625" style="4" customWidth="1"/>
    <col min="15348" max="15348" width="8" style="4" customWidth="1"/>
    <col min="15349" max="15349" width="42.5703125" style="4" bestFit="1" customWidth="1"/>
    <col min="15350" max="15350" width="3.28515625" style="4" customWidth="1"/>
    <col min="15351" max="15351" width="8" style="4" customWidth="1"/>
    <col min="15352" max="15352" width="42.5703125" style="4" bestFit="1" customWidth="1"/>
    <col min="15353" max="15353" width="3.28515625" style="4" customWidth="1"/>
    <col min="15354" max="15354" width="8" style="4" customWidth="1"/>
    <col min="15355" max="15355" width="42.5703125" style="4" bestFit="1" customWidth="1"/>
    <col min="15356" max="15356" width="3.28515625" style="4" customWidth="1"/>
    <col min="15357" max="15357" width="8" style="4" customWidth="1"/>
    <col min="15358" max="15358" width="42.5703125" style="4" bestFit="1" customWidth="1"/>
    <col min="15359" max="15359" width="3.28515625" style="4" customWidth="1"/>
    <col min="15360" max="15360" width="8" style="4" customWidth="1"/>
    <col min="15361" max="15361" width="42.5703125" style="4" bestFit="1" customWidth="1"/>
    <col min="15362" max="15362" width="3.28515625" style="4" customWidth="1"/>
    <col min="15363" max="15363" width="8" style="4" customWidth="1"/>
    <col min="15364" max="15364" width="42.5703125" style="4" bestFit="1" customWidth="1"/>
    <col min="15365" max="15365" width="3.28515625" style="4" customWidth="1"/>
    <col min="15366" max="15366" width="8" style="4" customWidth="1"/>
    <col min="15367" max="15367" width="42.5703125" style="4" bestFit="1" customWidth="1"/>
    <col min="15368" max="15368" width="3.28515625" style="4" customWidth="1"/>
    <col min="15369" max="15369" width="8" style="4" customWidth="1"/>
    <col min="15370" max="15370" width="42.5703125" style="4" bestFit="1" customWidth="1"/>
    <col min="15371" max="15371" width="3.28515625" style="4" customWidth="1"/>
    <col min="15372" max="15372" width="8" style="4" customWidth="1"/>
    <col min="15373" max="15373" width="42.5703125" style="4" bestFit="1" customWidth="1"/>
    <col min="15374" max="15374" width="3.28515625" style="4" customWidth="1"/>
    <col min="15375" max="15375" width="8" style="4" customWidth="1"/>
    <col min="15376" max="15376" width="42.5703125" style="4" bestFit="1" customWidth="1"/>
    <col min="15377" max="15377" width="3.28515625" style="4" customWidth="1"/>
    <col min="15378" max="15378" width="8" style="4" customWidth="1"/>
    <col min="15379" max="15379" width="42.5703125" style="4" bestFit="1" customWidth="1"/>
    <col min="15380" max="15380" width="3.28515625" style="4" customWidth="1"/>
    <col min="15381" max="15381" width="8" style="4" customWidth="1"/>
    <col min="15382" max="15382" width="42.5703125" style="4" bestFit="1" customWidth="1"/>
    <col min="15383" max="15383" width="3.28515625" style="4" customWidth="1"/>
    <col min="15384" max="15384" width="8" style="4" customWidth="1"/>
    <col min="15385" max="15385" width="42.5703125" style="4" bestFit="1" customWidth="1"/>
    <col min="15386" max="15386" width="3.28515625" style="4" customWidth="1"/>
    <col min="15387" max="15387" width="8" style="4" customWidth="1"/>
    <col min="15388" max="15388" width="42.5703125" style="4" bestFit="1" customWidth="1"/>
    <col min="15389" max="15389" width="3.28515625" style="4" customWidth="1"/>
    <col min="15390" max="15390" width="8" style="4" customWidth="1"/>
    <col min="15391" max="15391" width="42.5703125" style="4" bestFit="1" customWidth="1"/>
    <col min="15392" max="15392" width="3.28515625" style="4" customWidth="1"/>
    <col min="15393" max="15393" width="8" style="4" customWidth="1"/>
    <col min="15394" max="15394" width="42.5703125" style="4" bestFit="1" customWidth="1"/>
    <col min="15395" max="15395" width="3.28515625" style="4" customWidth="1"/>
    <col min="15396" max="15396" width="8" style="4" customWidth="1"/>
    <col min="15397" max="15397" width="42.5703125" style="4" bestFit="1" customWidth="1"/>
    <col min="15398" max="15398" width="3.28515625" style="4" customWidth="1"/>
    <col min="15399" max="15399" width="8" style="4" customWidth="1"/>
    <col min="15400" max="15400" width="42.5703125" style="4" bestFit="1" customWidth="1"/>
    <col min="15401" max="15401" width="3.28515625" style="4" customWidth="1"/>
    <col min="15402" max="15402" width="8" style="4" customWidth="1"/>
    <col min="15403" max="15403" width="42.5703125" style="4" bestFit="1" customWidth="1"/>
    <col min="15404" max="15404" width="3.28515625" style="4" customWidth="1"/>
    <col min="15405" max="15405" width="8" style="4" customWidth="1"/>
    <col min="15406" max="15406" width="42.5703125" style="4" bestFit="1" customWidth="1"/>
    <col min="15407" max="15407" width="3.28515625" style="4" customWidth="1"/>
    <col min="15408" max="15408" width="8" style="4" customWidth="1"/>
    <col min="15409" max="15409" width="42.5703125" style="4" bestFit="1" customWidth="1"/>
    <col min="15410" max="15410" width="3.28515625" style="4" customWidth="1"/>
    <col min="15411" max="15411" width="8" style="4" customWidth="1"/>
    <col min="15412" max="15412" width="42.5703125" style="4" bestFit="1" customWidth="1"/>
    <col min="15413" max="15413" width="3.28515625" style="4" customWidth="1"/>
    <col min="15414" max="15414" width="8" style="4" customWidth="1"/>
    <col min="15415" max="15415" width="42.5703125" style="4" bestFit="1" customWidth="1"/>
    <col min="15416" max="15416" width="3.28515625" style="4" customWidth="1"/>
    <col min="15417" max="15417" width="8" style="4" customWidth="1"/>
    <col min="15418" max="15418" width="42.5703125" style="4" bestFit="1" customWidth="1"/>
    <col min="15419" max="15419" width="3.28515625" style="4" customWidth="1"/>
    <col min="15420" max="15420" width="8" style="4" customWidth="1"/>
    <col min="15421" max="15421" width="42.5703125" style="4" bestFit="1" customWidth="1"/>
    <col min="15422" max="15422" width="3.28515625" style="4" customWidth="1"/>
    <col min="15423" max="15423" width="8" style="4" customWidth="1"/>
    <col min="15424" max="15424" width="42.5703125" style="4" bestFit="1" customWidth="1"/>
    <col min="15425" max="15425" width="3.28515625" style="4" customWidth="1"/>
    <col min="15426" max="15426" width="8" style="4" customWidth="1"/>
    <col min="15427" max="15427" width="42.5703125" style="4" bestFit="1" customWidth="1"/>
    <col min="15428" max="15428" width="3.28515625" style="4" customWidth="1"/>
    <col min="15429" max="15429" width="8" style="4" customWidth="1"/>
    <col min="15430" max="15430" width="42.5703125" style="4" bestFit="1" customWidth="1"/>
    <col min="15431" max="15431" width="3.28515625" style="4" customWidth="1"/>
    <col min="15432" max="15432" width="8" style="4" customWidth="1"/>
    <col min="15433" max="15433" width="42.5703125" style="4" bestFit="1" customWidth="1"/>
    <col min="15434" max="15434" width="3.28515625" style="4" customWidth="1"/>
    <col min="15435" max="15435" width="8" style="4" customWidth="1"/>
    <col min="15436" max="15436" width="42.5703125" style="4" bestFit="1" customWidth="1"/>
    <col min="15437" max="15437" width="3.28515625" style="4" customWidth="1"/>
    <col min="15438" max="15438" width="8" style="4" customWidth="1"/>
    <col min="15439" max="15439" width="42.5703125" style="4" bestFit="1" customWidth="1"/>
    <col min="15440" max="15440" width="3.28515625" style="4" customWidth="1"/>
    <col min="15441" max="15441" width="8" style="4" customWidth="1"/>
    <col min="15442" max="15442" width="42.5703125" style="4" bestFit="1" customWidth="1"/>
    <col min="15443" max="15443" width="3.28515625" style="4" customWidth="1"/>
    <col min="15444" max="15444" width="8" style="4" customWidth="1"/>
    <col min="15445" max="15445" width="42.5703125" style="4" bestFit="1" customWidth="1"/>
    <col min="15446" max="15446" width="3.28515625" style="4" customWidth="1"/>
    <col min="15447" max="15447" width="8" style="4" customWidth="1"/>
    <col min="15448" max="15448" width="42.5703125" style="4" bestFit="1" customWidth="1"/>
    <col min="15449" max="15449" width="3.28515625" style="4" customWidth="1"/>
    <col min="15450" max="15450" width="8" style="4" customWidth="1"/>
    <col min="15451" max="15451" width="42.5703125" style="4" bestFit="1" customWidth="1"/>
    <col min="15452" max="15452" width="3.28515625" style="4" customWidth="1"/>
    <col min="15453" max="15453" width="8" style="4" customWidth="1"/>
    <col min="15454" max="15454" width="42.5703125" style="4" bestFit="1" customWidth="1"/>
    <col min="15455" max="15455" width="3.28515625" style="4" customWidth="1"/>
    <col min="15456" max="15456" width="8" style="4" customWidth="1"/>
    <col min="15457" max="15457" width="42.5703125" style="4" bestFit="1" customWidth="1"/>
    <col min="15458" max="15458" width="3.28515625" style="4" customWidth="1"/>
    <col min="15459" max="15459" width="8" style="4" customWidth="1"/>
    <col min="15460" max="15460" width="42.5703125" style="4" bestFit="1" customWidth="1"/>
    <col min="15461" max="15461" width="3.28515625" style="4" customWidth="1"/>
    <col min="15462" max="15462" width="8" style="4" customWidth="1"/>
    <col min="15463" max="15463" width="42.5703125" style="4" bestFit="1" customWidth="1"/>
    <col min="15464" max="15464" width="3.28515625" style="4" customWidth="1"/>
    <col min="15465" max="15465" width="8" style="4" customWidth="1"/>
    <col min="15466" max="15466" width="42.5703125" style="4" bestFit="1" customWidth="1"/>
    <col min="15467" max="15467" width="3.28515625" style="4" customWidth="1"/>
    <col min="15468" max="15468" width="8" style="4" customWidth="1"/>
    <col min="15469" max="15469" width="42.5703125" style="4" bestFit="1" customWidth="1"/>
    <col min="15470" max="15470" width="3.28515625" style="4" customWidth="1"/>
    <col min="15471" max="15471" width="8" style="4" customWidth="1"/>
    <col min="15472" max="15472" width="42.5703125" style="4" bestFit="1" customWidth="1"/>
    <col min="15473" max="15473" width="3.28515625" style="4" customWidth="1"/>
    <col min="15474" max="15474" width="8" style="4" customWidth="1"/>
    <col min="15475" max="15475" width="42.5703125" style="4" bestFit="1" customWidth="1"/>
    <col min="15476" max="15476" width="3.28515625" style="4" customWidth="1"/>
    <col min="15477" max="15477" width="8" style="4" customWidth="1"/>
    <col min="15478" max="15478" width="42.5703125" style="4" bestFit="1" customWidth="1"/>
    <col min="15479" max="15479" width="3.28515625" style="4" customWidth="1"/>
    <col min="15480" max="15480" width="8" style="4" customWidth="1"/>
    <col min="15481" max="15481" width="42.5703125" style="4" bestFit="1" customWidth="1"/>
    <col min="15482" max="15482" width="3.28515625" style="4" customWidth="1"/>
    <col min="15483" max="15483" width="8" style="4" customWidth="1"/>
    <col min="15484" max="15484" width="42.5703125" style="4" bestFit="1" customWidth="1"/>
    <col min="15485" max="15485" width="3.28515625" style="4" customWidth="1"/>
    <col min="15486" max="15486" width="8" style="4" customWidth="1"/>
    <col min="15487" max="15487" width="42.5703125" style="4" bestFit="1" customWidth="1"/>
    <col min="15488" max="15488" width="3.28515625" style="4" customWidth="1"/>
    <col min="15489" max="15489" width="8" style="4" customWidth="1"/>
    <col min="15490" max="15490" width="42.5703125" style="4" bestFit="1" customWidth="1"/>
    <col min="15491" max="15491" width="3.28515625" style="4" customWidth="1"/>
    <col min="15492" max="15492" width="8" style="4" customWidth="1"/>
    <col min="15493" max="15493" width="42.5703125" style="4" bestFit="1" customWidth="1"/>
    <col min="15494" max="15494" width="3.28515625" style="4" customWidth="1"/>
    <col min="15495" max="15495" width="8" style="4" customWidth="1"/>
    <col min="15496" max="15496" width="42.5703125" style="4" bestFit="1" customWidth="1"/>
    <col min="15497" max="15497" width="3.28515625" style="4" customWidth="1"/>
    <col min="15498" max="15498" width="8" style="4" customWidth="1"/>
    <col min="15499" max="15499" width="42.5703125" style="4" bestFit="1" customWidth="1"/>
    <col min="15500" max="15500" width="3.28515625" style="4" customWidth="1"/>
    <col min="15501" max="15501" width="8" style="4" customWidth="1"/>
    <col min="15502" max="15502" width="42.5703125" style="4" bestFit="1" customWidth="1"/>
    <col min="15503" max="15503" width="3.28515625" style="4" customWidth="1"/>
    <col min="15504" max="15504" width="8" style="4" customWidth="1"/>
    <col min="15505" max="15505" width="42.5703125" style="4" bestFit="1" customWidth="1"/>
    <col min="15506" max="15506" width="3.28515625" style="4" customWidth="1"/>
    <col min="15507" max="15507" width="8" style="4" customWidth="1"/>
    <col min="15508" max="15508" width="42.5703125" style="4" bestFit="1" customWidth="1"/>
    <col min="15509" max="15509" width="3.28515625" style="4" customWidth="1"/>
    <col min="15510" max="15510" width="8" style="4" customWidth="1"/>
    <col min="15511" max="15511" width="42.5703125" style="4" bestFit="1" customWidth="1"/>
    <col min="15512" max="15512" width="3.28515625" style="4" customWidth="1"/>
    <col min="15513" max="15513" width="8" style="4" customWidth="1"/>
    <col min="15514" max="15514" width="42.5703125" style="4" bestFit="1" customWidth="1"/>
    <col min="15515" max="15515" width="3.28515625" style="4" customWidth="1"/>
    <col min="15516" max="15516" width="8" style="4" customWidth="1"/>
    <col min="15517" max="15517" width="42.5703125" style="4" bestFit="1" customWidth="1"/>
    <col min="15518" max="15518" width="3.28515625" style="4" customWidth="1"/>
    <col min="15519" max="15519" width="8" style="4" customWidth="1"/>
    <col min="15520" max="15520" width="42.5703125" style="4" bestFit="1" customWidth="1"/>
    <col min="15521" max="15521" width="3.28515625" style="4" customWidth="1"/>
    <col min="15522" max="15522" width="8" style="4" customWidth="1"/>
    <col min="15523" max="15523" width="42.5703125" style="4" bestFit="1" customWidth="1"/>
    <col min="15524" max="15524" width="3.28515625" style="4" customWidth="1"/>
    <col min="15525" max="15525" width="8" style="4" customWidth="1"/>
    <col min="15526" max="15526" width="42.5703125" style="4" bestFit="1" customWidth="1"/>
    <col min="15527" max="15527" width="3.28515625" style="4" customWidth="1"/>
    <col min="15528" max="15528" width="8" style="4" customWidth="1"/>
    <col min="15529" max="15529" width="42.5703125" style="4" bestFit="1" customWidth="1"/>
    <col min="15530" max="15530" width="3.28515625" style="4" customWidth="1"/>
    <col min="15531" max="15531" width="8" style="4" customWidth="1"/>
    <col min="15532" max="15532" width="42.5703125" style="4" bestFit="1" customWidth="1"/>
    <col min="15533" max="15533" width="3.28515625" style="4" customWidth="1"/>
    <col min="15534" max="15534" width="8" style="4" customWidth="1"/>
    <col min="15535" max="15535" width="42.5703125" style="4" bestFit="1" customWidth="1"/>
    <col min="15536" max="15536" width="3.28515625" style="4" customWidth="1"/>
    <col min="15537" max="15537" width="8" style="4" customWidth="1"/>
    <col min="15538" max="15538" width="42.5703125" style="4" bestFit="1" customWidth="1"/>
    <col min="15539" max="15539" width="3.28515625" style="4" customWidth="1"/>
    <col min="15540" max="15540" width="8" style="4" customWidth="1"/>
    <col min="15541" max="15541" width="42.5703125" style="4" bestFit="1" customWidth="1"/>
    <col min="15542" max="15542" width="3.28515625" style="4" customWidth="1"/>
    <col min="15543" max="15543" width="8" style="4" customWidth="1"/>
    <col min="15544" max="15544" width="42.5703125" style="4" bestFit="1" customWidth="1"/>
    <col min="15545" max="15545" width="3.28515625" style="4" customWidth="1"/>
    <col min="15546" max="15546" width="8" style="4" customWidth="1"/>
    <col min="15547" max="15547" width="42.5703125" style="4" bestFit="1" customWidth="1"/>
    <col min="15548" max="15548" width="3.28515625" style="4" customWidth="1"/>
    <col min="15549" max="15549" width="8" style="4" customWidth="1"/>
    <col min="15550" max="15550" width="42.5703125" style="4" bestFit="1" customWidth="1"/>
    <col min="15551" max="15551" width="3.28515625" style="4" customWidth="1"/>
    <col min="15552" max="15552" width="8" style="4" customWidth="1"/>
    <col min="15553" max="15553" width="42.5703125" style="4" bestFit="1" customWidth="1"/>
    <col min="15554" max="15554" width="3.28515625" style="4" customWidth="1"/>
    <col min="15555" max="15555" width="8" style="4" customWidth="1"/>
    <col min="15556" max="15556" width="42.5703125" style="4" bestFit="1" customWidth="1"/>
    <col min="15557" max="15557" width="3.28515625" style="4" customWidth="1"/>
    <col min="15558" max="15558" width="8" style="4" customWidth="1"/>
    <col min="15559" max="15559" width="42.5703125" style="4" bestFit="1" customWidth="1"/>
    <col min="15560" max="15560" width="3.28515625" style="4" customWidth="1"/>
    <col min="15561" max="15561" width="8" style="4" customWidth="1"/>
    <col min="15562" max="15562" width="42.5703125" style="4" bestFit="1" customWidth="1"/>
    <col min="15563" max="15563" width="3.28515625" style="4" customWidth="1"/>
    <col min="15564" max="15564" width="8" style="4" customWidth="1"/>
    <col min="15565" max="15565" width="42.5703125" style="4" bestFit="1" customWidth="1"/>
    <col min="15566" max="15566" width="3.28515625" style="4" customWidth="1"/>
    <col min="15567" max="15567" width="8" style="4" customWidth="1"/>
    <col min="15568" max="15568" width="42.5703125" style="4" bestFit="1" customWidth="1"/>
    <col min="15569" max="15569" width="3.28515625" style="4" customWidth="1"/>
    <col min="15570" max="15570" width="8" style="4" customWidth="1"/>
    <col min="15571" max="15571" width="42.5703125" style="4" bestFit="1" customWidth="1"/>
    <col min="15572" max="15572" width="3.28515625" style="4" customWidth="1"/>
    <col min="15573" max="15573" width="8" style="4" customWidth="1"/>
    <col min="15574" max="15574" width="42.5703125" style="4" bestFit="1" customWidth="1"/>
    <col min="15575" max="15575" width="3.28515625" style="4" customWidth="1"/>
    <col min="15576" max="15576" width="8" style="4" customWidth="1"/>
    <col min="15577" max="15577" width="42.5703125" style="4" bestFit="1" customWidth="1"/>
    <col min="15578" max="15578" width="3.28515625" style="4" customWidth="1"/>
    <col min="15579" max="15579" width="8" style="4" customWidth="1"/>
    <col min="15580" max="15580" width="42.5703125" style="4" bestFit="1" customWidth="1"/>
    <col min="15581" max="15581" width="3.28515625" style="4" customWidth="1"/>
    <col min="15582" max="15582" width="8" style="4" customWidth="1"/>
    <col min="15583" max="15583" width="42.5703125" style="4" bestFit="1" customWidth="1"/>
    <col min="15584" max="15584" width="3.28515625" style="4" customWidth="1"/>
    <col min="15585" max="15585" width="8" style="4" customWidth="1"/>
    <col min="15586" max="15586" width="42.5703125" style="4" bestFit="1" customWidth="1"/>
    <col min="15587" max="15587" width="3.28515625" style="4" customWidth="1"/>
    <col min="15588" max="15588" width="8" style="4" customWidth="1"/>
    <col min="15589" max="15589" width="42.5703125" style="4" bestFit="1" customWidth="1"/>
    <col min="15590" max="15590" width="3.28515625" style="4" customWidth="1"/>
    <col min="15591" max="15591" width="8" style="4" customWidth="1"/>
    <col min="15592" max="15592" width="42.5703125" style="4" bestFit="1" customWidth="1"/>
    <col min="15593" max="15593" width="3.28515625" style="4" customWidth="1"/>
    <col min="15594" max="15594" width="8" style="4" customWidth="1"/>
    <col min="15595" max="15595" width="42.5703125" style="4" bestFit="1" customWidth="1"/>
    <col min="15596" max="15596" width="3.28515625" style="4" customWidth="1"/>
    <col min="15597" max="15597" width="8" style="4" customWidth="1"/>
    <col min="15598" max="15598" width="42.5703125" style="4" bestFit="1" customWidth="1"/>
    <col min="15599" max="15599" width="3.28515625" style="4" customWidth="1"/>
    <col min="15600" max="15600" width="8" style="4" customWidth="1"/>
    <col min="15601" max="15601" width="42.5703125" style="4" bestFit="1" customWidth="1"/>
    <col min="15602" max="15602" width="3.28515625" style="4" customWidth="1"/>
    <col min="15603" max="15603" width="8" style="4" customWidth="1"/>
    <col min="15604" max="15604" width="42.5703125" style="4" bestFit="1" customWidth="1"/>
    <col min="15605" max="15605" width="3.28515625" style="4" customWidth="1"/>
    <col min="15606" max="15606" width="8" style="4" customWidth="1"/>
    <col min="15607" max="15607" width="42.5703125" style="4" bestFit="1" customWidth="1"/>
    <col min="15608" max="15608" width="3.28515625" style="4" customWidth="1"/>
    <col min="15609" max="15609" width="8" style="4" customWidth="1"/>
    <col min="15610" max="15610" width="42.5703125" style="4" bestFit="1" customWidth="1"/>
    <col min="15611" max="15611" width="3.28515625" style="4" customWidth="1"/>
    <col min="15612" max="15612" width="8" style="4" customWidth="1"/>
    <col min="15613" max="15613" width="42.5703125" style="4" bestFit="1" customWidth="1"/>
    <col min="15614" max="15614" width="3.28515625" style="4" customWidth="1"/>
    <col min="15615" max="15615" width="8" style="4" customWidth="1"/>
    <col min="15616" max="15616" width="42.5703125" style="4" bestFit="1" customWidth="1"/>
    <col min="15617" max="15617" width="3.28515625" style="4" customWidth="1"/>
    <col min="15618" max="15618" width="8" style="4" customWidth="1"/>
    <col min="15619" max="15619" width="42.5703125" style="4" bestFit="1" customWidth="1"/>
    <col min="15620" max="15620" width="3.28515625" style="4" customWidth="1"/>
    <col min="15621" max="15621" width="8" style="4" customWidth="1"/>
    <col min="15622" max="15622" width="42.5703125" style="4" bestFit="1" customWidth="1"/>
    <col min="15623" max="15623" width="3.28515625" style="4" customWidth="1"/>
    <col min="15624" max="15624" width="8" style="4" customWidth="1"/>
    <col min="15625" max="15625" width="42.5703125" style="4" bestFit="1" customWidth="1"/>
    <col min="15626" max="15626" width="3.28515625" style="4" customWidth="1"/>
    <col min="15627" max="15627" width="8" style="4" customWidth="1"/>
    <col min="15628" max="15628" width="42.5703125" style="4" bestFit="1" customWidth="1"/>
    <col min="15629" max="15629" width="3.28515625" style="4" customWidth="1"/>
    <col min="15630" max="15630" width="8" style="4" customWidth="1"/>
    <col min="15631" max="15631" width="42.5703125" style="4" bestFit="1" customWidth="1"/>
    <col min="15632" max="15632" width="3.28515625" style="4" customWidth="1"/>
    <col min="15633" max="15633" width="8" style="4" customWidth="1"/>
    <col min="15634" max="15634" width="42.5703125" style="4" bestFit="1" customWidth="1"/>
    <col min="15635" max="15635" width="3.28515625" style="4" customWidth="1"/>
    <col min="15636" max="15636" width="8" style="4" customWidth="1"/>
    <col min="15637" max="15637" width="42.5703125" style="4" bestFit="1" customWidth="1"/>
    <col min="15638" max="15638" width="3.28515625" style="4" customWidth="1"/>
    <col min="15639" max="15639" width="8" style="4" customWidth="1"/>
    <col min="15640" max="15640" width="42.5703125" style="4" bestFit="1" customWidth="1"/>
    <col min="15641" max="15641" width="3.28515625" style="4" customWidth="1"/>
    <col min="15642" max="15642" width="8" style="4" customWidth="1"/>
    <col min="15643" max="15643" width="42.5703125" style="4" bestFit="1" customWidth="1"/>
    <col min="15644" max="15644" width="3.28515625" style="4" customWidth="1"/>
    <col min="15645" max="15645" width="8" style="4" customWidth="1"/>
    <col min="15646" max="15646" width="42.5703125" style="4" bestFit="1" customWidth="1"/>
    <col min="15647" max="15647" width="3.28515625" style="4" customWidth="1"/>
    <col min="15648" max="15648" width="8" style="4" customWidth="1"/>
    <col min="15649" max="15649" width="42.5703125" style="4" bestFit="1" customWidth="1"/>
    <col min="15650" max="15650" width="3.28515625" style="4" customWidth="1"/>
    <col min="15651" max="15651" width="8" style="4" customWidth="1"/>
    <col min="15652" max="15652" width="42.5703125" style="4" bestFit="1" customWidth="1"/>
    <col min="15653" max="15653" width="3.28515625" style="4" customWidth="1"/>
    <col min="15654" max="15654" width="8" style="4" customWidth="1"/>
    <col min="15655" max="15655" width="42.5703125" style="4" bestFit="1" customWidth="1"/>
    <col min="15656" max="15656" width="3.28515625" style="4" customWidth="1"/>
    <col min="15657" max="15657" width="8" style="4" customWidth="1"/>
    <col min="15658" max="15658" width="42.5703125" style="4" bestFit="1" customWidth="1"/>
    <col min="15659" max="15659" width="3.28515625" style="4" customWidth="1"/>
    <col min="15660" max="15660" width="8" style="4" customWidth="1"/>
    <col min="15661" max="15661" width="42.5703125" style="4" bestFit="1" customWidth="1"/>
    <col min="15662" max="15662" width="3.28515625" style="4" customWidth="1"/>
    <col min="15663" max="15663" width="8" style="4" customWidth="1"/>
    <col min="15664" max="15664" width="42.5703125" style="4" bestFit="1" customWidth="1"/>
    <col min="15665" max="15665" width="3.28515625" style="4" customWidth="1"/>
    <col min="15666" max="15666" width="8" style="4" customWidth="1"/>
    <col min="15667" max="15667" width="42.5703125" style="4" bestFit="1" customWidth="1"/>
    <col min="15668" max="15668" width="3.28515625" style="4" customWidth="1"/>
    <col min="15669" max="15669" width="8" style="4" customWidth="1"/>
    <col min="15670" max="15670" width="42.5703125" style="4" bestFit="1" customWidth="1"/>
    <col min="15671" max="15671" width="3.28515625" style="4" customWidth="1"/>
    <col min="15672" max="15672" width="8" style="4" customWidth="1"/>
    <col min="15673" max="15673" width="42.5703125" style="4" bestFit="1" customWidth="1"/>
    <col min="15674" max="15674" width="3.28515625" style="4" customWidth="1"/>
    <col min="15675" max="15675" width="8" style="4" customWidth="1"/>
    <col min="15676" max="15676" width="42.5703125" style="4" bestFit="1" customWidth="1"/>
    <col min="15677" max="15677" width="3.28515625" style="4" customWidth="1"/>
    <col min="15678" max="15678" width="8" style="4" customWidth="1"/>
    <col min="15679" max="15679" width="42.5703125" style="4" bestFit="1" customWidth="1"/>
    <col min="15680" max="15680" width="3.28515625" style="4" customWidth="1"/>
    <col min="15681" max="15681" width="8" style="4" customWidth="1"/>
    <col min="15682" max="15682" width="42.5703125" style="4" bestFit="1" customWidth="1"/>
    <col min="15683" max="15683" width="3.28515625" style="4" customWidth="1"/>
    <col min="15684" max="15684" width="8" style="4" customWidth="1"/>
    <col min="15685" max="15685" width="42.5703125" style="4" bestFit="1" customWidth="1"/>
    <col min="15686" max="15686" width="3.28515625" style="4" customWidth="1"/>
    <col min="15687" max="15687" width="8" style="4" customWidth="1"/>
    <col min="15688" max="15688" width="42.5703125" style="4" bestFit="1" customWidth="1"/>
    <col min="15689" max="15689" width="3.28515625" style="4" customWidth="1"/>
    <col min="15690" max="15690" width="8" style="4" customWidth="1"/>
    <col min="15691" max="15691" width="42.5703125" style="4" bestFit="1" customWidth="1"/>
    <col min="15692" max="15692" width="3.28515625" style="4" customWidth="1"/>
    <col min="15693" max="15693" width="8" style="4" customWidth="1"/>
    <col min="15694" max="15694" width="42.5703125" style="4" bestFit="1" customWidth="1"/>
    <col min="15695" max="15695" width="3.28515625" style="4" customWidth="1"/>
    <col min="15696" max="15696" width="8" style="4" customWidth="1"/>
    <col min="15697" max="15697" width="42.5703125" style="4" bestFit="1" customWidth="1"/>
    <col min="15698" max="15698" width="3.28515625" style="4" customWidth="1"/>
    <col min="15699" max="15699" width="8" style="4" customWidth="1"/>
    <col min="15700" max="15700" width="42.5703125" style="4" bestFit="1" customWidth="1"/>
    <col min="15701" max="15701" width="3.28515625" style="4" customWidth="1"/>
    <col min="15702" max="15702" width="8" style="4" customWidth="1"/>
    <col min="15703" max="15703" width="42.5703125" style="4" bestFit="1" customWidth="1"/>
    <col min="15704" max="15704" width="3.28515625" style="4" customWidth="1"/>
    <col min="15705" max="15705" width="8" style="4" customWidth="1"/>
    <col min="15706" max="15706" width="42.5703125" style="4" bestFit="1" customWidth="1"/>
    <col min="15707" max="15707" width="3.28515625" style="4" customWidth="1"/>
    <col min="15708" max="15708" width="8" style="4" customWidth="1"/>
    <col min="15709" max="15709" width="42.5703125" style="4" bestFit="1" customWidth="1"/>
    <col min="15710" max="15710" width="3.28515625" style="4" customWidth="1"/>
    <col min="15711" max="15711" width="8" style="4" customWidth="1"/>
    <col min="15712" max="15712" width="42.5703125" style="4" bestFit="1" customWidth="1"/>
    <col min="15713" max="15713" width="3.28515625" style="4" customWidth="1"/>
    <col min="15714" max="15714" width="8" style="4" customWidth="1"/>
    <col min="15715" max="15715" width="42.5703125" style="4" bestFit="1" customWidth="1"/>
    <col min="15716" max="15716" width="3.28515625" style="4" customWidth="1"/>
    <col min="15717" max="15717" width="8" style="4" customWidth="1"/>
    <col min="15718" max="15718" width="42.5703125" style="4" bestFit="1" customWidth="1"/>
    <col min="15719" max="15719" width="3.28515625" style="4" customWidth="1"/>
    <col min="15720" max="15720" width="8" style="4" customWidth="1"/>
    <col min="15721" max="15721" width="42.5703125" style="4" bestFit="1" customWidth="1"/>
    <col min="15722" max="15722" width="3.28515625" style="4" customWidth="1"/>
    <col min="15723" max="15723" width="8" style="4" customWidth="1"/>
    <col min="15724" max="15724" width="42.5703125" style="4" bestFit="1" customWidth="1"/>
    <col min="15725" max="15725" width="3.28515625" style="4" customWidth="1"/>
    <col min="15726" max="15726" width="8" style="4" customWidth="1"/>
    <col min="15727" max="15727" width="42.5703125" style="4" bestFit="1" customWidth="1"/>
    <col min="15728" max="15728" width="3.28515625" style="4" customWidth="1"/>
    <col min="15729" max="15729" width="8" style="4" customWidth="1"/>
    <col min="15730" max="15730" width="42.5703125" style="4" bestFit="1" customWidth="1"/>
    <col min="15731" max="15731" width="3.28515625" style="4" customWidth="1"/>
    <col min="15732" max="15732" width="8" style="4" customWidth="1"/>
    <col min="15733" max="15733" width="42.5703125" style="4" bestFit="1" customWidth="1"/>
    <col min="15734" max="15734" width="3.28515625" style="4" customWidth="1"/>
    <col min="15735" max="15735" width="8" style="4" customWidth="1"/>
    <col min="15736" max="15736" width="42.5703125" style="4" bestFit="1" customWidth="1"/>
    <col min="15737" max="15737" width="3.28515625" style="4" customWidth="1"/>
    <col min="15738" max="15738" width="8" style="4" customWidth="1"/>
    <col min="15739" max="15739" width="42.5703125" style="4" bestFit="1" customWidth="1"/>
    <col min="15740" max="15740" width="3.28515625" style="4" customWidth="1"/>
    <col min="15741" max="15741" width="8" style="4" customWidth="1"/>
    <col min="15742" max="15742" width="42.5703125" style="4" bestFit="1" customWidth="1"/>
    <col min="15743" max="15743" width="3.28515625" style="4" customWidth="1"/>
    <col min="15744" max="15744" width="8" style="4" customWidth="1"/>
    <col min="15745" max="15745" width="42.5703125" style="4" bestFit="1" customWidth="1"/>
    <col min="15746" max="15746" width="3.28515625" style="4" customWidth="1"/>
    <col min="15747" max="15747" width="8" style="4" customWidth="1"/>
    <col min="15748" max="15748" width="42.5703125" style="4" bestFit="1" customWidth="1"/>
    <col min="15749" max="15749" width="3.28515625" style="4" customWidth="1"/>
    <col min="15750" max="15750" width="8" style="4" customWidth="1"/>
    <col min="15751" max="15751" width="42.5703125" style="4" bestFit="1" customWidth="1"/>
    <col min="15752" max="15752" width="3.28515625" style="4" customWidth="1"/>
    <col min="15753" max="15753" width="8" style="4" customWidth="1"/>
    <col min="15754" max="15754" width="42.5703125" style="4" bestFit="1" customWidth="1"/>
    <col min="15755" max="15755" width="3.28515625" style="4" customWidth="1"/>
    <col min="15756" max="15756" width="8" style="4" customWidth="1"/>
    <col min="15757" max="15757" width="42.5703125" style="4" bestFit="1" customWidth="1"/>
    <col min="15758" max="15758" width="3.28515625" style="4" customWidth="1"/>
    <col min="15759" max="15759" width="8" style="4" customWidth="1"/>
    <col min="15760" max="15760" width="42.5703125" style="4" bestFit="1" customWidth="1"/>
    <col min="15761" max="15761" width="3.28515625" style="4" customWidth="1"/>
    <col min="15762" max="15762" width="8" style="4" customWidth="1"/>
    <col min="15763" max="15763" width="42.5703125" style="4" bestFit="1" customWidth="1"/>
    <col min="15764" max="15764" width="3.28515625" style="4" customWidth="1"/>
    <col min="15765" max="15765" width="8" style="4" customWidth="1"/>
    <col min="15766" max="15766" width="42.5703125" style="4" bestFit="1" customWidth="1"/>
    <col min="15767" max="15767" width="3.28515625" style="4" customWidth="1"/>
    <col min="15768" max="15768" width="8" style="4" customWidth="1"/>
    <col min="15769" max="15769" width="42.5703125" style="4" bestFit="1" customWidth="1"/>
    <col min="15770" max="15770" width="3.28515625" style="4" customWidth="1"/>
    <col min="15771" max="15771" width="8" style="4" customWidth="1"/>
    <col min="15772" max="15772" width="42.5703125" style="4" bestFit="1" customWidth="1"/>
    <col min="15773" max="15773" width="3.28515625" style="4" customWidth="1"/>
    <col min="15774" max="15774" width="8" style="4" customWidth="1"/>
    <col min="15775" max="15775" width="42.5703125" style="4" bestFit="1" customWidth="1"/>
    <col min="15776" max="15776" width="3.28515625" style="4" customWidth="1"/>
    <col min="15777" max="15777" width="8" style="4" customWidth="1"/>
    <col min="15778" max="15778" width="42.5703125" style="4" bestFit="1" customWidth="1"/>
    <col min="15779" max="15779" width="3.28515625" style="4" customWidth="1"/>
    <col min="15780" max="15780" width="8" style="4" customWidth="1"/>
    <col min="15781" max="15781" width="42.5703125" style="4" bestFit="1" customWidth="1"/>
    <col min="15782" max="15782" width="3.28515625" style="4" customWidth="1"/>
    <col min="15783" max="15783" width="8" style="4" customWidth="1"/>
    <col min="15784" max="15784" width="42.5703125" style="4" bestFit="1" customWidth="1"/>
    <col min="15785" max="15785" width="3.28515625" style="4" customWidth="1"/>
    <col min="15786" max="15786" width="8" style="4" customWidth="1"/>
    <col min="15787" max="15787" width="42.5703125" style="4" bestFit="1" customWidth="1"/>
    <col min="15788" max="15788" width="3.28515625" style="4" customWidth="1"/>
    <col min="15789" max="15789" width="8" style="4" customWidth="1"/>
    <col min="15790" max="15790" width="42.5703125" style="4" bestFit="1" customWidth="1"/>
    <col min="15791" max="15791" width="3.28515625" style="4" customWidth="1"/>
    <col min="15792" max="15792" width="8" style="4" customWidth="1"/>
    <col min="15793" max="15793" width="42.5703125" style="4" bestFit="1" customWidth="1"/>
    <col min="15794" max="15794" width="3.28515625" style="4" customWidth="1"/>
    <col min="15795" max="15795" width="8" style="4" customWidth="1"/>
    <col min="15796" max="15796" width="42.5703125" style="4" bestFit="1" customWidth="1"/>
    <col min="15797" max="15797" width="3.28515625" style="4" customWidth="1"/>
    <col min="15798" max="15798" width="8" style="4" customWidth="1"/>
    <col min="15799" max="15799" width="42.5703125" style="4" bestFit="1" customWidth="1"/>
    <col min="15800" max="15800" width="3.28515625" style="4" customWidth="1"/>
    <col min="15801" max="15801" width="8" style="4" customWidth="1"/>
    <col min="15802" max="15802" width="42.5703125" style="4" bestFit="1" customWidth="1"/>
    <col min="15803" max="15803" width="3.28515625" style="4" customWidth="1"/>
    <col min="15804" max="15804" width="8" style="4" customWidth="1"/>
    <col min="15805" max="15805" width="42.5703125" style="4" bestFit="1" customWidth="1"/>
    <col min="15806" max="15806" width="3.28515625" style="4" customWidth="1"/>
    <col min="15807" max="15807" width="8" style="4" customWidth="1"/>
    <col min="15808" max="15808" width="42.5703125" style="4" bestFit="1" customWidth="1"/>
    <col min="15809" max="15809" width="3.28515625" style="4" customWidth="1"/>
    <col min="15810" max="15810" width="8" style="4" customWidth="1"/>
    <col min="15811" max="15811" width="42.5703125" style="4" bestFit="1" customWidth="1"/>
    <col min="15812" max="15812" width="3.28515625" style="4" customWidth="1"/>
    <col min="15813" max="15813" width="8" style="4" customWidth="1"/>
    <col min="15814" max="15814" width="42.5703125" style="4" bestFit="1" customWidth="1"/>
    <col min="15815" max="15815" width="3.28515625" style="4" customWidth="1"/>
    <col min="15816" max="15816" width="8" style="4" customWidth="1"/>
    <col min="15817" max="15817" width="42.5703125" style="4" bestFit="1" customWidth="1"/>
    <col min="15818" max="15818" width="3.28515625" style="4" customWidth="1"/>
    <col min="15819" max="15819" width="8" style="4" customWidth="1"/>
    <col min="15820" max="15820" width="42.5703125" style="4" bestFit="1" customWidth="1"/>
    <col min="15821" max="15821" width="3.28515625" style="4" customWidth="1"/>
    <col min="15822" max="15822" width="8" style="4" customWidth="1"/>
    <col min="15823" max="15823" width="42.5703125" style="4" bestFit="1" customWidth="1"/>
    <col min="15824" max="15824" width="3.28515625" style="4" customWidth="1"/>
    <col min="15825" max="15825" width="8" style="4" customWidth="1"/>
    <col min="15826" max="15826" width="42.5703125" style="4" bestFit="1" customWidth="1"/>
    <col min="15827" max="15827" width="3.28515625" style="4" customWidth="1"/>
    <col min="15828" max="15828" width="8" style="4" customWidth="1"/>
    <col min="15829" max="15829" width="42.5703125" style="4" bestFit="1" customWidth="1"/>
    <col min="15830" max="15830" width="3.28515625" style="4" customWidth="1"/>
    <col min="15831" max="15831" width="8" style="4" customWidth="1"/>
    <col min="15832" max="15832" width="42.5703125" style="4" bestFit="1" customWidth="1"/>
    <col min="15833" max="15833" width="3.28515625" style="4" customWidth="1"/>
    <col min="15834" max="15834" width="8" style="4" customWidth="1"/>
    <col min="15835" max="15835" width="42.5703125" style="4" bestFit="1" customWidth="1"/>
    <col min="15836" max="15836" width="3.28515625" style="4" customWidth="1"/>
    <col min="15837" max="15837" width="8" style="4" customWidth="1"/>
    <col min="15838" max="15838" width="42.5703125" style="4" bestFit="1" customWidth="1"/>
    <col min="15839" max="15839" width="3.28515625" style="4" customWidth="1"/>
    <col min="15840" max="15840" width="8" style="4" customWidth="1"/>
    <col min="15841" max="15841" width="42.5703125" style="4" bestFit="1" customWidth="1"/>
    <col min="15842" max="15842" width="3.28515625" style="4" customWidth="1"/>
    <col min="15843" max="15843" width="8" style="4" customWidth="1"/>
    <col min="15844" max="15844" width="42.5703125" style="4" bestFit="1" customWidth="1"/>
    <col min="15845" max="15845" width="3.28515625" style="4" customWidth="1"/>
    <col min="15846" max="15846" width="8" style="4" customWidth="1"/>
    <col min="15847" max="15847" width="42.5703125" style="4" bestFit="1" customWidth="1"/>
    <col min="15848" max="15848" width="3.28515625" style="4" customWidth="1"/>
    <col min="15849" max="15849" width="8" style="4" customWidth="1"/>
    <col min="15850" max="15850" width="42.5703125" style="4" bestFit="1" customWidth="1"/>
    <col min="15851" max="15851" width="3.28515625" style="4" customWidth="1"/>
    <col min="15852" max="15852" width="8" style="4" customWidth="1"/>
    <col min="15853" max="15853" width="42.5703125" style="4" bestFit="1" customWidth="1"/>
    <col min="15854" max="15854" width="3.28515625" style="4" customWidth="1"/>
    <col min="15855" max="15855" width="8" style="4" customWidth="1"/>
    <col min="15856" max="15856" width="42.5703125" style="4" bestFit="1" customWidth="1"/>
    <col min="15857" max="15857" width="3.28515625" style="4" customWidth="1"/>
    <col min="15858" max="15858" width="8" style="4" customWidth="1"/>
    <col min="15859" max="15859" width="42.5703125" style="4" bestFit="1" customWidth="1"/>
    <col min="15860" max="15860" width="3.28515625" style="4" customWidth="1"/>
    <col min="15861" max="15861" width="8" style="4" customWidth="1"/>
    <col min="15862" max="15862" width="42.5703125" style="4" bestFit="1" customWidth="1"/>
    <col min="15863" max="15863" width="3.28515625" style="4" customWidth="1"/>
    <col min="15864" max="15864" width="8" style="4" customWidth="1"/>
    <col min="15865" max="15865" width="42.5703125" style="4" bestFit="1" customWidth="1"/>
    <col min="15866" max="15866" width="3.28515625" style="4" customWidth="1"/>
    <col min="15867" max="15867" width="8" style="4" customWidth="1"/>
    <col min="15868" max="15868" width="42.5703125" style="4" bestFit="1" customWidth="1"/>
    <col min="15869" max="15869" width="3.28515625" style="4" customWidth="1"/>
    <col min="15870" max="15870" width="8" style="4" customWidth="1"/>
    <col min="15871" max="15871" width="42.5703125" style="4" bestFit="1" customWidth="1"/>
    <col min="15872" max="15872" width="3.28515625" style="4" customWidth="1"/>
    <col min="15873" max="15873" width="8" style="4" customWidth="1"/>
    <col min="15874" max="15874" width="42.5703125" style="4" bestFit="1" customWidth="1"/>
    <col min="15875" max="15875" width="3.28515625" style="4" customWidth="1"/>
    <col min="15876" max="15876" width="8" style="4" customWidth="1"/>
    <col min="15877" max="15877" width="42.5703125" style="4" bestFit="1" customWidth="1"/>
    <col min="15878" max="15878" width="3.28515625" style="4" customWidth="1"/>
    <col min="15879" max="15879" width="8" style="4" customWidth="1"/>
    <col min="15880" max="15880" width="42.5703125" style="4" bestFit="1" customWidth="1"/>
    <col min="15881" max="15881" width="3.28515625" style="4" customWidth="1"/>
    <col min="15882" max="15882" width="8" style="4" customWidth="1"/>
    <col min="15883" max="15883" width="42.5703125" style="4" bestFit="1" customWidth="1"/>
    <col min="15884" max="15884" width="3.28515625" style="4" customWidth="1"/>
    <col min="15885" max="15885" width="8" style="4" customWidth="1"/>
    <col min="15886" max="15886" width="42.5703125" style="4" bestFit="1" customWidth="1"/>
    <col min="15887" max="15887" width="3.28515625" style="4" customWidth="1"/>
    <col min="15888" max="15888" width="8" style="4" customWidth="1"/>
    <col min="15889" max="15889" width="42.5703125" style="4" bestFit="1" customWidth="1"/>
    <col min="15890" max="15890" width="3.28515625" style="4" customWidth="1"/>
    <col min="15891" max="15891" width="8" style="4" customWidth="1"/>
    <col min="15892" max="15892" width="42.5703125" style="4" bestFit="1" customWidth="1"/>
    <col min="15893" max="15893" width="3.28515625" style="4" customWidth="1"/>
    <col min="15894" max="15894" width="8" style="4" customWidth="1"/>
    <col min="15895" max="15895" width="42.5703125" style="4" bestFit="1" customWidth="1"/>
    <col min="15896" max="15896" width="3.28515625" style="4" customWidth="1"/>
    <col min="15897" max="15897" width="8" style="4" customWidth="1"/>
    <col min="15898" max="15898" width="42.5703125" style="4" bestFit="1" customWidth="1"/>
    <col min="15899" max="15899" width="3.28515625" style="4" customWidth="1"/>
    <col min="15900" max="15900" width="8" style="4" customWidth="1"/>
    <col min="15901" max="15901" width="42.5703125" style="4" bestFit="1" customWidth="1"/>
    <col min="15902" max="15902" width="3.28515625" style="4" customWidth="1"/>
    <col min="15903" max="15903" width="8" style="4" customWidth="1"/>
    <col min="15904" max="15904" width="42.5703125" style="4" bestFit="1" customWidth="1"/>
    <col min="15905" max="15905" width="3.28515625" style="4" customWidth="1"/>
    <col min="15906" max="15906" width="8" style="4" customWidth="1"/>
    <col min="15907" max="15907" width="42.5703125" style="4" bestFit="1" customWidth="1"/>
    <col min="15908" max="15908" width="3.28515625" style="4" customWidth="1"/>
    <col min="15909" max="15909" width="8" style="4" customWidth="1"/>
    <col min="15910" max="15910" width="42.5703125" style="4" bestFit="1" customWidth="1"/>
    <col min="15911" max="15911" width="3.28515625" style="4" customWidth="1"/>
    <col min="15912" max="15912" width="8" style="4" customWidth="1"/>
    <col min="15913" max="15913" width="42.5703125" style="4" bestFit="1" customWidth="1"/>
    <col min="15914" max="15914" width="3.28515625" style="4" customWidth="1"/>
    <col min="15915" max="15915" width="8" style="4" customWidth="1"/>
    <col min="15916" max="15916" width="42.5703125" style="4" bestFit="1" customWidth="1"/>
    <col min="15917" max="15917" width="3.28515625" style="4" customWidth="1"/>
    <col min="15918" max="15918" width="8" style="4" customWidth="1"/>
    <col min="15919" max="15919" width="42.5703125" style="4" bestFit="1" customWidth="1"/>
    <col min="15920" max="15920" width="3.28515625" style="4" customWidth="1"/>
    <col min="15921" max="15921" width="8" style="4" customWidth="1"/>
    <col min="15922" max="15922" width="42.5703125" style="4" bestFit="1" customWidth="1"/>
    <col min="15923" max="15923" width="3.28515625" style="4" customWidth="1"/>
    <col min="15924" max="15924" width="8" style="4" customWidth="1"/>
    <col min="15925" max="15925" width="42.5703125" style="4" bestFit="1" customWidth="1"/>
    <col min="15926" max="15926" width="3.28515625" style="4" customWidth="1"/>
    <col min="15927" max="15927" width="8" style="4" customWidth="1"/>
    <col min="15928" max="15928" width="42.5703125" style="4" bestFit="1" customWidth="1"/>
    <col min="15929" max="15929" width="3.28515625" style="4" customWidth="1"/>
    <col min="15930" max="15930" width="8" style="4" customWidth="1"/>
    <col min="15931" max="15931" width="42.5703125" style="4" bestFit="1" customWidth="1"/>
    <col min="15932" max="15932" width="3.28515625" style="4" customWidth="1"/>
    <col min="15933" max="15933" width="8" style="4" customWidth="1"/>
    <col min="15934" max="15934" width="42.5703125" style="4" bestFit="1" customWidth="1"/>
    <col min="15935" max="15935" width="3.28515625" style="4" customWidth="1"/>
    <col min="15936" max="15936" width="8" style="4" customWidth="1"/>
    <col min="15937" max="15937" width="42.5703125" style="4" bestFit="1" customWidth="1"/>
    <col min="15938" max="15938" width="3.28515625" style="4" customWidth="1"/>
    <col min="15939" max="15939" width="8" style="4" customWidth="1"/>
    <col min="15940" max="15940" width="42.5703125" style="4" bestFit="1" customWidth="1"/>
    <col min="15941" max="15941" width="3.28515625" style="4" customWidth="1"/>
    <col min="15942" max="15942" width="8" style="4" customWidth="1"/>
    <col min="15943" max="15943" width="42.5703125" style="4" bestFit="1" customWidth="1"/>
    <col min="15944" max="15944" width="3.28515625" style="4" customWidth="1"/>
    <col min="15945" max="15945" width="8" style="4" customWidth="1"/>
    <col min="15946" max="15946" width="42.5703125" style="4" bestFit="1" customWidth="1"/>
    <col min="15947" max="15947" width="3.28515625" style="4" customWidth="1"/>
    <col min="15948" max="15948" width="8" style="4" customWidth="1"/>
    <col min="15949" max="15949" width="42.5703125" style="4" bestFit="1" customWidth="1"/>
    <col min="15950" max="15950" width="3.28515625" style="4" customWidth="1"/>
    <col min="15951" max="15951" width="8" style="4" customWidth="1"/>
    <col min="15952" max="15952" width="42.5703125" style="4" bestFit="1" customWidth="1"/>
    <col min="15953" max="15953" width="3.28515625" style="4" customWidth="1"/>
    <col min="15954" max="15954" width="8" style="4" customWidth="1"/>
    <col min="15955" max="15955" width="42.5703125" style="4" bestFit="1" customWidth="1"/>
    <col min="15956" max="15956" width="3.28515625" style="4" customWidth="1"/>
    <col min="15957" max="15957" width="8" style="4" customWidth="1"/>
    <col min="15958" max="15958" width="42.5703125" style="4" bestFit="1" customWidth="1"/>
    <col min="15959" max="15959" width="3.28515625" style="4" customWidth="1"/>
    <col min="15960" max="15960" width="8" style="4" customWidth="1"/>
    <col min="15961" max="15961" width="42.5703125" style="4" bestFit="1" customWidth="1"/>
    <col min="15962" max="15962" width="3.28515625" style="4" customWidth="1"/>
    <col min="15963" max="15963" width="8" style="4" customWidth="1"/>
    <col min="15964" max="15964" width="42.5703125" style="4" bestFit="1" customWidth="1"/>
    <col min="15965" max="15965" width="3.28515625" style="4" customWidth="1"/>
    <col min="15966" max="15966" width="8" style="4" customWidth="1"/>
    <col min="15967" max="15967" width="42.5703125" style="4" bestFit="1" customWidth="1"/>
    <col min="15968" max="15968" width="3.28515625" style="4" customWidth="1"/>
    <col min="15969" max="15969" width="8" style="4" customWidth="1"/>
    <col min="15970" max="15970" width="42.5703125" style="4" bestFit="1" customWidth="1"/>
    <col min="15971" max="15971" width="3.28515625" style="4" customWidth="1"/>
    <col min="15972" max="15972" width="8" style="4" customWidth="1"/>
    <col min="15973" max="15973" width="42.5703125" style="4" bestFit="1" customWidth="1"/>
    <col min="15974" max="15974" width="3.28515625" style="4" customWidth="1"/>
    <col min="15975" max="15975" width="8" style="4" customWidth="1"/>
    <col min="15976" max="15976" width="42.5703125" style="4" bestFit="1" customWidth="1"/>
    <col min="15977" max="15977" width="3.28515625" style="4" customWidth="1"/>
    <col min="15978" max="15978" width="8" style="4" customWidth="1"/>
    <col min="15979" max="15979" width="42.5703125" style="4" bestFit="1" customWidth="1"/>
    <col min="15980" max="15980" width="3.28515625" style="4" customWidth="1"/>
    <col min="15981" max="15981" width="8" style="4" customWidth="1"/>
    <col min="15982" max="15982" width="42.5703125" style="4" bestFit="1" customWidth="1"/>
    <col min="15983" max="15983" width="3.28515625" style="4" customWidth="1"/>
    <col min="15984" max="15984" width="8" style="4" customWidth="1"/>
    <col min="15985" max="15985" width="42.5703125" style="4" bestFit="1" customWidth="1"/>
    <col min="15986" max="15986" width="3.28515625" style="4" customWidth="1"/>
    <col min="15987" max="15987" width="8" style="4" customWidth="1"/>
    <col min="15988" max="15988" width="42.5703125" style="4" bestFit="1" customWidth="1"/>
    <col min="15989" max="15989" width="3.28515625" style="4" customWidth="1"/>
    <col min="15990" max="15990" width="8" style="4" customWidth="1"/>
    <col min="15991" max="15991" width="42.5703125" style="4" bestFit="1" customWidth="1"/>
    <col min="15992" max="15992" width="3.28515625" style="4" customWidth="1"/>
    <col min="15993" max="15993" width="8" style="4" customWidth="1"/>
    <col min="15994" max="15994" width="42.5703125" style="4" bestFit="1" customWidth="1"/>
    <col min="15995" max="15995" width="3.28515625" style="4" customWidth="1"/>
    <col min="15996" max="15996" width="8" style="4" customWidth="1"/>
    <col min="15997" max="15997" width="42.5703125" style="4" bestFit="1" customWidth="1"/>
    <col min="15998" max="15998" width="3.28515625" style="4" customWidth="1"/>
    <col min="15999" max="15999" width="8" style="4" customWidth="1"/>
    <col min="16000" max="16000" width="42.5703125" style="4" bestFit="1" customWidth="1"/>
    <col min="16001" max="16001" width="3.28515625" style="4" customWidth="1"/>
    <col min="16002" max="16002" width="8" style="4" customWidth="1"/>
    <col min="16003" max="16003" width="42.5703125" style="4" bestFit="1" customWidth="1"/>
    <col min="16004" max="16004" width="3.28515625" style="4" customWidth="1"/>
    <col min="16005" max="16005" width="8" style="4" customWidth="1"/>
    <col min="16006" max="16006" width="42.5703125" style="4" bestFit="1" customWidth="1"/>
    <col min="16007" max="16007" width="3.28515625" style="4" customWidth="1"/>
    <col min="16008" max="16008" width="8" style="4" customWidth="1"/>
    <col min="16009" max="16009" width="42.5703125" style="4" bestFit="1" customWidth="1"/>
    <col min="16010" max="16010" width="3.28515625" style="4" customWidth="1"/>
    <col min="16011" max="16011" width="8" style="4" customWidth="1"/>
    <col min="16012" max="16012" width="42.5703125" style="4" bestFit="1" customWidth="1"/>
    <col min="16013" max="16013" width="3.28515625" style="4" customWidth="1"/>
    <col min="16014" max="16014" width="8" style="4" customWidth="1"/>
    <col min="16015" max="16015" width="42.5703125" style="4" bestFit="1" customWidth="1"/>
    <col min="16016" max="16016" width="3.28515625" style="4" customWidth="1"/>
    <col min="16017" max="16017" width="8" style="4" customWidth="1"/>
    <col min="16018" max="16018" width="42.5703125" style="4" bestFit="1" customWidth="1"/>
    <col min="16019" max="16019" width="3.28515625" style="4" customWidth="1"/>
    <col min="16020" max="16020" width="8" style="4" customWidth="1"/>
    <col min="16021" max="16021" width="42.5703125" style="4" bestFit="1" customWidth="1"/>
    <col min="16022" max="16022" width="3.28515625" style="4" customWidth="1"/>
    <col min="16023" max="16023" width="8" style="4" customWidth="1"/>
    <col min="16024" max="16024" width="42.5703125" style="4" bestFit="1" customWidth="1"/>
    <col min="16025" max="16025" width="3.28515625" style="4" customWidth="1"/>
    <col min="16026" max="16026" width="8" style="4" customWidth="1"/>
    <col min="16027" max="16027" width="42.5703125" style="4" bestFit="1" customWidth="1"/>
    <col min="16028" max="16028" width="3.28515625" style="4" customWidth="1"/>
    <col min="16029" max="16029" width="8" style="4" customWidth="1"/>
    <col min="16030" max="16030" width="42.5703125" style="4" bestFit="1" customWidth="1"/>
    <col min="16031" max="16031" width="3.28515625" style="4" customWidth="1"/>
    <col min="16032" max="16032" width="8" style="4" customWidth="1"/>
    <col min="16033" max="16033" width="42.5703125" style="4" bestFit="1" customWidth="1"/>
    <col min="16034" max="16034" width="3.28515625" style="4" customWidth="1"/>
    <col min="16035" max="16035" width="8" style="4" customWidth="1"/>
    <col min="16036" max="16036" width="42.5703125" style="4" bestFit="1" customWidth="1"/>
    <col min="16037" max="16037" width="3.28515625" style="4" customWidth="1"/>
    <col min="16038" max="16038" width="8" style="4" customWidth="1"/>
    <col min="16039" max="16039" width="42.5703125" style="4" bestFit="1" customWidth="1"/>
    <col min="16040" max="16040" width="3.28515625" style="4" customWidth="1"/>
    <col min="16041" max="16041" width="8" style="4" customWidth="1"/>
    <col min="16042" max="16042" width="42.5703125" style="4" bestFit="1" customWidth="1"/>
    <col min="16043" max="16043" width="3.28515625" style="4" customWidth="1"/>
    <col min="16044" max="16044" width="8" style="4" customWidth="1"/>
    <col min="16045" max="16045" width="42.5703125" style="4" bestFit="1" customWidth="1"/>
    <col min="16046" max="16046" width="3.28515625" style="4" customWidth="1"/>
    <col min="16047" max="16047" width="8" style="4" customWidth="1"/>
    <col min="16048" max="16048" width="42.5703125" style="4" bestFit="1" customWidth="1"/>
    <col min="16049" max="16049" width="3.28515625" style="4" customWidth="1"/>
    <col min="16050" max="16050" width="8" style="4" customWidth="1"/>
    <col min="16051" max="16051" width="42.5703125" style="4" bestFit="1" customWidth="1"/>
    <col min="16052" max="16052" width="3.28515625" style="4" customWidth="1"/>
    <col min="16053" max="16053" width="8" style="4" customWidth="1"/>
    <col min="16054" max="16054" width="42.5703125" style="4" bestFit="1" customWidth="1"/>
    <col min="16055" max="16055" width="3.28515625" style="4" customWidth="1"/>
    <col min="16056" max="16056" width="8" style="4" customWidth="1"/>
    <col min="16057" max="16057" width="42.5703125" style="4" bestFit="1" customWidth="1"/>
    <col min="16058" max="16058" width="3.28515625" style="4" customWidth="1"/>
    <col min="16059" max="16059" width="8" style="4" customWidth="1"/>
    <col min="16060" max="16060" width="42.5703125" style="4" bestFit="1" customWidth="1"/>
    <col min="16061" max="16061" width="3.28515625" style="4" customWidth="1"/>
    <col min="16062" max="16062" width="8" style="4" customWidth="1"/>
    <col min="16063" max="16063" width="42.5703125" style="4" bestFit="1" customWidth="1"/>
    <col min="16064" max="16064" width="3.28515625" style="4" customWidth="1"/>
    <col min="16065" max="16065" width="8" style="4" customWidth="1"/>
    <col min="16066" max="16066" width="42.5703125" style="4" bestFit="1" customWidth="1"/>
    <col min="16067" max="16067" width="3.28515625" style="4" customWidth="1"/>
    <col min="16068" max="16068" width="8" style="4" customWidth="1"/>
    <col min="16069" max="16069" width="42.5703125" style="4" bestFit="1" customWidth="1"/>
    <col min="16070" max="16070" width="3.28515625" style="4" customWidth="1"/>
    <col min="16071" max="16071" width="8" style="4" customWidth="1"/>
    <col min="16072" max="16072" width="42.5703125" style="4" bestFit="1" customWidth="1"/>
    <col min="16073" max="16073" width="3.28515625" style="4" customWidth="1"/>
    <col min="16074" max="16074" width="8" style="4" customWidth="1"/>
    <col min="16075" max="16075" width="42.5703125" style="4" bestFit="1" customWidth="1"/>
    <col min="16076" max="16076" width="3.28515625" style="4" customWidth="1"/>
    <col min="16077" max="16077" width="8" style="4" customWidth="1"/>
    <col min="16078" max="16078" width="42.5703125" style="4" bestFit="1" customWidth="1"/>
    <col min="16079" max="16079" width="3.28515625" style="4" customWidth="1"/>
    <col min="16080" max="16080" width="8" style="4" customWidth="1"/>
    <col min="16081" max="16081" width="42.5703125" style="4" bestFit="1" customWidth="1"/>
    <col min="16082" max="16082" width="3.28515625" style="4" customWidth="1"/>
    <col min="16083" max="16083" width="8" style="4" customWidth="1"/>
    <col min="16084" max="16084" width="42.5703125" style="4" bestFit="1" customWidth="1"/>
    <col min="16085" max="16085" width="3.28515625" style="4" customWidth="1"/>
    <col min="16086" max="16086" width="8" style="4" customWidth="1"/>
    <col min="16087" max="16087" width="42.5703125" style="4" bestFit="1" customWidth="1"/>
    <col min="16088" max="16088" width="3.28515625" style="4" customWidth="1"/>
    <col min="16089" max="16089" width="8" style="4" customWidth="1"/>
    <col min="16090" max="16090" width="42.5703125" style="4" bestFit="1" customWidth="1"/>
    <col min="16091" max="16091" width="3.28515625" style="4" customWidth="1"/>
    <col min="16092" max="16092" width="8" style="4" customWidth="1"/>
    <col min="16093" max="16093" width="42.5703125" style="4" bestFit="1" customWidth="1"/>
    <col min="16094" max="16094" width="3.28515625" style="4" customWidth="1"/>
    <col min="16095" max="16095" width="8" style="4" customWidth="1"/>
    <col min="16096" max="16096" width="42.5703125" style="4" bestFit="1" customWidth="1"/>
    <col min="16097" max="16097" width="3.28515625" style="4" customWidth="1"/>
    <col min="16098" max="16098" width="8" style="4" customWidth="1"/>
    <col min="16099" max="16099" width="42.5703125" style="4" bestFit="1" customWidth="1"/>
    <col min="16100" max="16100" width="3.28515625" style="4" customWidth="1"/>
    <col min="16101" max="16101" width="8" style="4" customWidth="1"/>
    <col min="16102" max="16102" width="42.5703125" style="4" bestFit="1" customWidth="1"/>
    <col min="16103" max="16103" width="3.28515625" style="4" customWidth="1"/>
    <col min="16104" max="16104" width="8" style="4" customWidth="1"/>
    <col min="16105" max="16105" width="42.5703125" style="4" bestFit="1" customWidth="1"/>
    <col min="16106" max="16106" width="3.28515625" style="4" customWidth="1"/>
    <col min="16107" max="16107" width="8" style="4" customWidth="1"/>
    <col min="16108" max="16108" width="42.5703125" style="4" bestFit="1" customWidth="1"/>
    <col min="16109" max="16109" width="3.28515625" style="4" customWidth="1"/>
    <col min="16110" max="16110" width="8" style="4" customWidth="1"/>
    <col min="16111" max="16111" width="42.5703125" style="4" bestFit="1" customWidth="1"/>
    <col min="16112" max="16112" width="3.28515625" style="4" customWidth="1"/>
    <col min="16113" max="16113" width="8" style="4" customWidth="1"/>
    <col min="16114" max="16114" width="42.5703125" style="4" bestFit="1" customWidth="1"/>
    <col min="16115" max="16115" width="3.28515625" style="4" customWidth="1"/>
    <col min="16116" max="16116" width="8" style="4" customWidth="1"/>
    <col min="16117" max="16117" width="42.5703125" style="4" bestFit="1" customWidth="1"/>
    <col min="16118" max="16118" width="3.28515625" style="4" customWidth="1"/>
    <col min="16119" max="16119" width="8" style="4" customWidth="1"/>
    <col min="16120" max="16120" width="42.5703125" style="4" bestFit="1" customWidth="1"/>
    <col min="16121" max="16121" width="3.28515625" style="4" customWidth="1"/>
    <col min="16122" max="16122" width="8" style="4" customWidth="1"/>
    <col min="16123" max="16123" width="42.5703125" style="4" bestFit="1" customWidth="1"/>
    <col min="16124" max="16124" width="3.28515625" style="4" customWidth="1"/>
    <col min="16125" max="16125" width="8" style="4" customWidth="1"/>
    <col min="16126" max="16126" width="42.5703125" style="4" bestFit="1" customWidth="1"/>
    <col min="16127" max="16127" width="3.28515625" style="4" customWidth="1"/>
    <col min="16128" max="16128" width="8" style="4" customWidth="1"/>
    <col min="16129" max="16129" width="42.5703125" style="4" bestFit="1" customWidth="1"/>
    <col min="16130" max="16130" width="3.28515625" style="4" customWidth="1"/>
    <col min="16131" max="16131" width="8" style="4" customWidth="1"/>
    <col min="16132" max="16132" width="42.5703125" style="4" bestFit="1" customWidth="1"/>
    <col min="16133" max="16133" width="3.28515625" style="4" customWidth="1"/>
    <col min="16134" max="16134" width="8" style="4" customWidth="1"/>
    <col min="16135" max="16135" width="42.5703125" style="4" bestFit="1" customWidth="1"/>
    <col min="16136" max="16136" width="3.28515625" style="4" customWidth="1"/>
    <col min="16137" max="16137" width="8" style="4" customWidth="1"/>
    <col min="16138" max="16138" width="42.5703125" style="4" bestFit="1" customWidth="1"/>
    <col min="16139" max="16139" width="3.28515625" style="4" customWidth="1"/>
    <col min="16140" max="16140" width="8" style="4" customWidth="1"/>
    <col min="16141" max="16141" width="42.5703125" style="4" bestFit="1" customWidth="1"/>
    <col min="16142" max="16142" width="3.28515625" style="4" customWidth="1"/>
    <col min="16143" max="16143" width="8" style="4" customWidth="1"/>
    <col min="16144" max="16144" width="42.5703125" style="4" bestFit="1" customWidth="1"/>
    <col min="16145" max="16145" width="3.28515625" style="4" customWidth="1"/>
    <col min="16146" max="16146" width="8" style="4" customWidth="1"/>
    <col min="16147" max="16147" width="42.5703125" style="4" bestFit="1" customWidth="1"/>
    <col min="16148" max="16148" width="3.28515625" style="4" customWidth="1"/>
    <col min="16149" max="16149" width="8" style="4" customWidth="1"/>
    <col min="16150" max="16150" width="42.5703125" style="4" bestFit="1" customWidth="1"/>
    <col min="16151" max="16151" width="3.28515625" style="4" customWidth="1"/>
    <col min="16152" max="16152" width="8" style="4" customWidth="1"/>
    <col min="16153" max="16153" width="42.5703125" style="4" bestFit="1" customWidth="1"/>
    <col min="16154" max="16154" width="3.28515625" style="4" customWidth="1"/>
    <col min="16155" max="16155" width="8" style="4" customWidth="1"/>
    <col min="16156" max="16156" width="42.5703125" style="4" bestFit="1" customWidth="1"/>
    <col min="16157" max="16157" width="3.28515625" style="4" customWidth="1"/>
    <col min="16158" max="16158" width="8" style="4" customWidth="1"/>
    <col min="16159" max="16159" width="42.5703125" style="4" bestFit="1" customWidth="1"/>
    <col min="16160" max="16160" width="3.28515625" style="4" customWidth="1"/>
    <col min="16161" max="16161" width="8" style="4" customWidth="1"/>
    <col min="16162" max="16162" width="42.5703125" style="4" bestFit="1" customWidth="1"/>
    <col min="16163" max="16163" width="3.28515625" style="4" customWidth="1"/>
    <col min="16164" max="16164" width="8" style="4" customWidth="1"/>
    <col min="16165" max="16165" width="42.5703125" style="4" bestFit="1" customWidth="1"/>
    <col min="16166" max="16166" width="3.28515625" style="4" customWidth="1"/>
    <col min="16167" max="16167" width="8" style="4" customWidth="1"/>
    <col min="16168" max="16168" width="42.5703125" style="4" bestFit="1" customWidth="1"/>
    <col min="16169" max="16169" width="3.28515625" style="4" customWidth="1"/>
    <col min="16170" max="16170" width="8" style="4" customWidth="1"/>
    <col min="16171" max="16171" width="42.5703125" style="4" bestFit="1" customWidth="1"/>
    <col min="16172" max="16172" width="3.28515625" style="4" customWidth="1"/>
    <col min="16173" max="16173" width="8" style="4" customWidth="1"/>
    <col min="16174" max="16174" width="42.5703125" style="4" bestFit="1" customWidth="1"/>
    <col min="16175" max="16175" width="3.28515625" style="4" customWidth="1"/>
    <col min="16176" max="16176" width="8" style="4" customWidth="1"/>
    <col min="16177" max="16177" width="42.5703125" style="4" bestFit="1" customWidth="1"/>
    <col min="16178" max="16178" width="3.28515625" style="4" customWidth="1"/>
    <col min="16179" max="16179" width="8" style="4" customWidth="1"/>
    <col min="16180" max="16180" width="42.5703125" style="4" bestFit="1" customWidth="1"/>
    <col min="16181" max="16181" width="3.28515625" style="4" customWidth="1"/>
    <col min="16182" max="16182" width="8" style="4" customWidth="1"/>
    <col min="16183" max="16183" width="42.5703125" style="4" bestFit="1" customWidth="1"/>
    <col min="16184" max="16184" width="3.28515625" style="4" customWidth="1"/>
    <col min="16185" max="16185" width="8" style="4" customWidth="1"/>
    <col min="16186" max="16186" width="42.5703125" style="4" bestFit="1" customWidth="1"/>
    <col min="16187" max="16187" width="3.28515625" style="4" customWidth="1"/>
    <col min="16188" max="16188" width="8" style="4" customWidth="1"/>
    <col min="16189" max="16189" width="42.5703125" style="4" bestFit="1" customWidth="1"/>
    <col min="16190" max="16190" width="3.28515625" style="4" customWidth="1"/>
    <col min="16191" max="16191" width="8" style="4" customWidth="1"/>
    <col min="16192" max="16192" width="42.5703125" style="4" bestFit="1" customWidth="1"/>
    <col min="16193" max="16193" width="3.28515625" style="4" customWidth="1"/>
    <col min="16194" max="16194" width="8" style="4" customWidth="1"/>
    <col min="16195" max="16195" width="42.5703125" style="4" bestFit="1" customWidth="1"/>
    <col min="16196" max="16196" width="3.28515625" style="4" customWidth="1"/>
    <col min="16197" max="16197" width="8" style="4" customWidth="1"/>
    <col min="16198" max="16198" width="42.5703125" style="4" bestFit="1" customWidth="1"/>
    <col min="16199" max="16199" width="3.28515625" style="4" customWidth="1"/>
    <col min="16200" max="16200" width="8" style="4" customWidth="1"/>
    <col min="16201" max="16201" width="42.5703125" style="4" bestFit="1" customWidth="1"/>
    <col min="16202" max="16202" width="3.28515625" style="4" customWidth="1"/>
    <col min="16203" max="16203" width="8" style="4" customWidth="1"/>
    <col min="16204" max="16204" width="42.5703125" style="4" bestFit="1" customWidth="1"/>
    <col min="16205" max="16205" width="3.28515625" style="4" customWidth="1"/>
    <col min="16206" max="16206" width="8" style="4" customWidth="1"/>
    <col min="16207" max="16207" width="42.5703125" style="4" bestFit="1" customWidth="1"/>
    <col min="16208" max="16208" width="3.28515625" style="4" customWidth="1"/>
    <col min="16209" max="16209" width="8" style="4" customWidth="1"/>
    <col min="16210" max="16210" width="42.5703125" style="4" bestFit="1" customWidth="1"/>
    <col min="16211" max="16211" width="3.28515625" style="4" customWidth="1"/>
    <col min="16212" max="16212" width="8" style="4" customWidth="1"/>
    <col min="16213" max="16213" width="42.5703125" style="4" bestFit="1" customWidth="1"/>
    <col min="16214" max="16214" width="3.28515625" style="4" customWidth="1"/>
    <col min="16215" max="16215" width="8" style="4" customWidth="1"/>
    <col min="16216" max="16216" width="42.5703125" style="4" bestFit="1" customWidth="1"/>
    <col min="16217" max="16217" width="3.28515625" style="4" customWidth="1"/>
    <col min="16218" max="16218" width="8" style="4" customWidth="1"/>
    <col min="16219" max="16219" width="42.5703125" style="4" bestFit="1" customWidth="1"/>
    <col min="16220" max="16220" width="3.28515625" style="4" customWidth="1"/>
    <col min="16221" max="16221" width="8" style="4" customWidth="1"/>
    <col min="16222" max="16222" width="42.5703125" style="4" bestFit="1" customWidth="1"/>
    <col min="16223" max="16223" width="3.28515625" style="4" customWidth="1"/>
    <col min="16224" max="16224" width="8" style="4" customWidth="1"/>
    <col min="16225" max="16225" width="42.5703125" style="4" bestFit="1" customWidth="1"/>
    <col min="16226" max="16226" width="3.28515625" style="4" customWidth="1"/>
    <col min="16227" max="16227" width="8" style="4" customWidth="1"/>
    <col min="16228" max="16228" width="42.5703125" style="4" bestFit="1" customWidth="1"/>
    <col min="16229" max="16229" width="3.28515625" style="4" customWidth="1"/>
    <col min="16230" max="16230" width="8" style="4" customWidth="1"/>
    <col min="16231" max="16231" width="42.5703125" style="4" bestFit="1" customWidth="1"/>
    <col min="16232" max="16232" width="3.28515625" style="4" customWidth="1"/>
    <col min="16233" max="16233" width="8" style="4" customWidth="1"/>
    <col min="16234" max="16234" width="42.5703125" style="4" bestFit="1" customWidth="1"/>
    <col min="16235" max="16235" width="3.28515625" style="4" customWidth="1"/>
    <col min="16236" max="16236" width="8" style="4" customWidth="1"/>
    <col min="16237" max="16237" width="42.5703125" style="4" bestFit="1" customWidth="1"/>
    <col min="16238" max="16238" width="3.28515625" style="4" customWidth="1"/>
    <col min="16239" max="16239" width="8" style="4" customWidth="1"/>
    <col min="16240" max="16240" width="42.5703125" style="4" bestFit="1" customWidth="1"/>
    <col min="16241" max="16241" width="3.28515625" style="4" customWidth="1"/>
    <col min="16242" max="16242" width="8" style="4" customWidth="1"/>
    <col min="16243" max="16243" width="42.5703125" style="4" bestFit="1" customWidth="1"/>
    <col min="16244" max="16244" width="3.28515625" style="4" customWidth="1"/>
    <col min="16245" max="16245" width="8" style="4" customWidth="1"/>
    <col min="16246" max="16246" width="42.5703125" style="4" bestFit="1" customWidth="1"/>
    <col min="16247" max="16247" width="3.28515625" style="4" customWidth="1"/>
    <col min="16248" max="16248" width="8" style="4" customWidth="1"/>
    <col min="16249" max="16249" width="42.5703125" style="4" bestFit="1" customWidth="1"/>
    <col min="16250" max="16250" width="3.28515625" style="4" customWidth="1"/>
    <col min="16251" max="16251" width="8" style="4" customWidth="1"/>
    <col min="16252" max="16252" width="42.5703125" style="4" bestFit="1" customWidth="1"/>
    <col min="16253" max="16253" width="3.28515625" style="4" customWidth="1"/>
    <col min="16254" max="16254" width="8" style="4" customWidth="1"/>
    <col min="16255" max="16255" width="42.5703125" style="4" bestFit="1" customWidth="1"/>
    <col min="16256" max="16256" width="3.28515625" style="4" customWidth="1"/>
    <col min="16257" max="16257" width="8" style="4" customWidth="1"/>
    <col min="16258" max="16258" width="42.5703125" style="4" bestFit="1" customWidth="1"/>
    <col min="16259" max="16259" width="3.28515625" style="4" customWidth="1"/>
    <col min="16260" max="16260" width="8" style="4" customWidth="1"/>
    <col min="16261" max="16261" width="42.5703125" style="4" bestFit="1" customWidth="1"/>
    <col min="16262" max="16262" width="3.28515625" style="4" customWidth="1"/>
    <col min="16263" max="16263" width="8" style="4" customWidth="1"/>
    <col min="16264" max="16264" width="42.5703125" style="4" bestFit="1" customWidth="1"/>
    <col min="16265" max="16265" width="3.28515625" style="4" customWidth="1"/>
    <col min="16266" max="16266" width="8" style="4" customWidth="1"/>
    <col min="16267" max="16267" width="42.5703125" style="4" bestFit="1" customWidth="1"/>
    <col min="16268" max="16268" width="3.28515625" style="4" customWidth="1"/>
    <col min="16269" max="16269" width="8" style="4" customWidth="1"/>
    <col min="16270" max="16270" width="42.5703125" style="4" bestFit="1" customWidth="1"/>
    <col min="16271" max="16271" width="3.28515625" style="4" customWidth="1"/>
    <col min="16272" max="16272" width="8" style="4" customWidth="1"/>
    <col min="16273" max="16273" width="42.5703125" style="4" bestFit="1" customWidth="1"/>
    <col min="16274" max="16274" width="3.28515625" style="4" customWidth="1"/>
    <col min="16275" max="16275" width="8" style="4" customWidth="1"/>
    <col min="16276" max="16276" width="42.5703125" style="4" bestFit="1" customWidth="1"/>
    <col min="16277" max="16277" width="3.28515625" style="4" customWidth="1"/>
    <col min="16278" max="16278" width="8" style="4" customWidth="1"/>
    <col min="16279" max="16279" width="42.5703125" style="4" bestFit="1" customWidth="1"/>
    <col min="16280" max="16280" width="3.28515625" style="4" customWidth="1"/>
    <col min="16281" max="16281" width="8" style="4" customWidth="1"/>
    <col min="16282" max="16282" width="42.5703125" style="4" bestFit="1" customWidth="1"/>
    <col min="16283" max="16283" width="3.28515625" style="4" customWidth="1"/>
    <col min="16284" max="16284" width="8" style="4" customWidth="1"/>
    <col min="16285" max="16285" width="42.5703125" style="4" bestFit="1" customWidth="1"/>
    <col min="16286" max="16286" width="3.28515625" style="4" customWidth="1"/>
    <col min="16287" max="16287" width="8" style="4" customWidth="1"/>
    <col min="16288" max="16288" width="42.5703125" style="4" bestFit="1" customWidth="1"/>
    <col min="16289" max="16289" width="3.28515625" style="4" customWidth="1"/>
    <col min="16290" max="16290" width="8" style="4" customWidth="1"/>
    <col min="16291" max="16291" width="42.5703125" style="4" bestFit="1" customWidth="1"/>
    <col min="16292" max="16292" width="3.28515625" style="4" customWidth="1"/>
    <col min="16293" max="16293" width="8" style="4" customWidth="1"/>
    <col min="16294" max="16294" width="42.5703125" style="4" bestFit="1" customWidth="1"/>
    <col min="16295" max="16295" width="3.28515625" style="4" customWidth="1"/>
    <col min="16296" max="16296" width="8" style="4" customWidth="1"/>
    <col min="16297" max="16297" width="42.5703125" style="4" bestFit="1" customWidth="1"/>
    <col min="16298" max="16298" width="3.28515625" style="4" customWidth="1"/>
    <col min="16299" max="16299" width="8" style="4" customWidth="1"/>
    <col min="16300" max="16300" width="42.5703125" style="4" bestFit="1" customWidth="1"/>
    <col min="16301" max="16301" width="3.28515625" style="4" customWidth="1"/>
    <col min="16302" max="16302" width="8" style="4" customWidth="1"/>
    <col min="16303" max="16303" width="42.5703125" style="4" bestFit="1" customWidth="1"/>
    <col min="16304" max="16304" width="3.28515625" style="4" customWidth="1"/>
    <col min="16305" max="16305" width="8" style="4" customWidth="1"/>
    <col min="16306" max="16306" width="42.5703125" style="4" bestFit="1" customWidth="1"/>
    <col min="16307" max="16307" width="3.28515625" style="4" customWidth="1"/>
    <col min="16308" max="16308" width="8" style="4" customWidth="1"/>
    <col min="16309" max="16309" width="42.5703125" style="4" bestFit="1" customWidth="1"/>
    <col min="16310" max="16310" width="3.28515625" style="4" customWidth="1"/>
    <col min="16311" max="16311" width="8" style="4" customWidth="1"/>
    <col min="16312" max="16312" width="42.5703125" style="4" bestFit="1" customWidth="1"/>
    <col min="16313" max="16313" width="3.28515625" style="4" customWidth="1"/>
    <col min="16314" max="16314" width="8" style="4" customWidth="1"/>
    <col min="16315" max="16315" width="42.5703125" style="4" bestFit="1" customWidth="1"/>
    <col min="16316" max="16316" width="3.28515625" style="4" customWidth="1"/>
    <col min="16317" max="16317" width="8" style="4" customWidth="1"/>
    <col min="16318" max="16318" width="42.5703125" style="4" bestFit="1" customWidth="1"/>
    <col min="16319" max="16319" width="3.28515625" style="4" customWidth="1"/>
    <col min="16320" max="16320" width="8" style="4" customWidth="1"/>
    <col min="16321" max="16321" width="42.5703125" style="4" bestFit="1" customWidth="1"/>
    <col min="16322" max="16322" width="3.28515625" style="4" customWidth="1"/>
    <col min="16323" max="16323" width="8" style="4" customWidth="1"/>
    <col min="16324" max="16324" width="42.5703125" style="4" bestFit="1" customWidth="1"/>
    <col min="16325" max="16325" width="3.28515625" style="4" customWidth="1"/>
    <col min="16326" max="16326" width="8" style="4" customWidth="1"/>
    <col min="16327" max="16327" width="42.5703125" style="4" bestFit="1" customWidth="1"/>
    <col min="16328" max="16328" width="3.28515625" style="4" customWidth="1"/>
    <col min="16329" max="16329" width="8" style="4" customWidth="1"/>
    <col min="16330" max="16330" width="42.5703125" style="4" bestFit="1" customWidth="1"/>
    <col min="16331" max="16331" width="3.28515625" style="4" customWidth="1"/>
    <col min="16332" max="16332" width="8" style="4" customWidth="1"/>
    <col min="16333" max="16333" width="42.5703125" style="4" bestFit="1" customWidth="1"/>
    <col min="16334" max="16334" width="3.28515625" style="4" customWidth="1"/>
    <col min="16335" max="16335" width="8" style="4" customWidth="1"/>
    <col min="16336" max="16336" width="42.5703125" style="4" bestFit="1" customWidth="1"/>
    <col min="16337" max="16337" width="3.28515625" style="4" customWidth="1"/>
    <col min="16338" max="16338" width="8" style="4" customWidth="1"/>
    <col min="16339" max="16339" width="42.5703125" style="4" bestFit="1" customWidth="1"/>
    <col min="16340" max="16340" width="3.28515625" style="4" customWidth="1"/>
    <col min="16341" max="16341" width="8" style="4" customWidth="1"/>
    <col min="16342" max="16342" width="42.5703125" style="4" bestFit="1" customWidth="1"/>
    <col min="16343" max="16343" width="3.28515625" style="4" customWidth="1"/>
    <col min="16344" max="16344" width="8" style="4" customWidth="1"/>
    <col min="16345" max="16345" width="42.5703125" style="4" bestFit="1" customWidth="1"/>
    <col min="16346" max="16346" width="3.28515625" style="4" customWidth="1"/>
    <col min="16347" max="16347" width="8" style="4" customWidth="1"/>
    <col min="16348" max="16348" width="42.5703125" style="4" bestFit="1" customWidth="1"/>
    <col min="16349" max="16349" width="3.28515625" style="4" customWidth="1"/>
    <col min="16350" max="16350" width="8" style="4" customWidth="1"/>
    <col min="16351" max="16351" width="42.5703125" style="4" bestFit="1" customWidth="1"/>
    <col min="16352" max="16352" width="3.28515625" style="4" customWidth="1"/>
    <col min="16353" max="16353" width="8" style="4" customWidth="1"/>
    <col min="16354" max="16354" width="42.5703125" style="4" bestFit="1" customWidth="1"/>
    <col min="16355" max="16355" width="3.28515625" style="4" customWidth="1"/>
    <col min="16356" max="16356" width="8" style="4" customWidth="1"/>
    <col min="16357" max="16357" width="42.5703125" style="4" bestFit="1" customWidth="1"/>
    <col min="16358" max="16358" width="3.28515625" style="4" customWidth="1"/>
    <col min="16359" max="16359" width="8" style="4" customWidth="1"/>
    <col min="16360" max="16360" width="42.5703125" style="4" bestFit="1" customWidth="1"/>
    <col min="16361" max="16361" width="3.28515625" style="4" customWidth="1"/>
    <col min="16362" max="16362" width="8" style="4" customWidth="1"/>
    <col min="16363" max="16363" width="42.5703125" style="4" bestFit="1" customWidth="1"/>
    <col min="16364" max="16364" width="3.28515625" style="4" customWidth="1"/>
    <col min="16365" max="16365" width="8" style="4" customWidth="1"/>
    <col min="16366" max="16366" width="42.5703125" style="4" bestFit="1" customWidth="1"/>
    <col min="16367" max="16367" width="3.28515625" style="4" customWidth="1"/>
    <col min="16368" max="16368" width="8" style="4" customWidth="1"/>
    <col min="16369" max="16369" width="42.5703125" style="4" bestFit="1" customWidth="1"/>
    <col min="16370" max="16370" width="3.28515625" style="4" customWidth="1"/>
    <col min="16371" max="16371" width="8" style="4" customWidth="1"/>
    <col min="16372" max="16372" width="42.5703125" style="4" bestFit="1" customWidth="1"/>
    <col min="16373" max="16373" width="3.28515625" style="4" customWidth="1"/>
    <col min="16374" max="16374" width="8" style="4" customWidth="1"/>
    <col min="16375" max="16375" width="42.5703125" style="4" bestFit="1" customWidth="1"/>
    <col min="16376" max="16376" width="3.28515625" style="4" customWidth="1"/>
    <col min="16377" max="16377" width="8" style="4" customWidth="1"/>
    <col min="16378" max="16378" width="42.5703125" style="4" bestFit="1" customWidth="1"/>
    <col min="16379" max="16379" width="3.28515625" style="4" customWidth="1"/>
    <col min="16380" max="16380" width="8" style="4" customWidth="1"/>
    <col min="16381" max="16381" width="42.5703125" style="4" bestFit="1" customWidth="1"/>
    <col min="16382" max="16382" width="3.28515625" style="4" customWidth="1"/>
    <col min="16383" max="16383" width="8" style="4" customWidth="1"/>
    <col min="16384" max="16384" width="42.5703125" style="4" bestFit="1" customWidth="1"/>
  </cols>
  <sheetData>
    <row r="1" spans="3:32" ht="45.75" customHeight="1" x14ac:dyDescent="0.25"/>
    <row r="4" spans="3:32" ht="51" customHeight="1" x14ac:dyDescent="0.25"/>
    <row r="5" spans="3:32" s="48" customFormat="1" ht="40.5" customHeight="1" x14ac:dyDescent="0.25">
      <c r="C5" s="47"/>
      <c r="D5" s="54" t="s">
        <v>128</v>
      </c>
      <c r="F5" s="47"/>
      <c r="G5" s="54" t="s">
        <v>129</v>
      </c>
      <c r="I5" s="47"/>
      <c r="J5" s="54" t="s">
        <v>130</v>
      </c>
      <c r="L5" s="47"/>
      <c r="M5" s="54" t="s">
        <v>106</v>
      </c>
    </row>
    <row r="6" spans="3:32" x14ac:dyDescent="0.25">
      <c r="C6" s="33" t="s">
        <v>22</v>
      </c>
      <c r="D6" s="33" t="s">
        <v>23</v>
      </c>
      <c r="F6" s="33" t="s">
        <v>22</v>
      </c>
      <c r="G6" s="33" t="s">
        <v>23</v>
      </c>
      <c r="I6" s="33" t="s">
        <v>22</v>
      </c>
      <c r="J6" s="33" t="s">
        <v>23</v>
      </c>
      <c r="L6" s="33" t="s">
        <v>22</v>
      </c>
      <c r="M6" s="33" t="s">
        <v>23</v>
      </c>
      <c r="N6" s="4"/>
      <c r="Q6" s="4"/>
      <c r="T6" s="4"/>
      <c r="W6" s="4"/>
      <c r="Z6" s="4"/>
      <c r="AC6" s="4"/>
      <c r="AF6" s="4"/>
    </row>
    <row r="7" spans="3:32" x14ac:dyDescent="0.25">
      <c r="C7" s="27">
        <v>0</v>
      </c>
      <c r="D7" s="28" t="s">
        <v>29</v>
      </c>
      <c r="F7" s="27">
        <v>0</v>
      </c>
      <c r="G7" s="28" t="s">
        <v>29</v>
      </c>
      <c r="I7" s="27">
        <v>0</v>
      </c>
      <c r="J7" s="28" t="s">
        <v>29</v>
      </c>
      <c r="L7" s="27">
        <v>0</v>
      </c>
      <c r="M7" s="28" t="s">
        <v>29</v>
      </c>
      <c r="N7" s="4"/>
      <c r="Q7" s="4"/>
      <c r="T7" s="4"/>
      <c r="W7" s="4"/>
      <c r="Z7" s="4"/>
      <c r="AC7" s="4"/>
      <c r="AF7" s="4"/>
    </row>
    <row r="8" spans="3:32" x14ac:dyDescent="0.25">
      <c r="C8" s="27">
        <v>1</v>
      </c>
      <c r="D8" s="28" t="s">
        <v>101</v>
      </c>
      <c r="F8" s="27">
        <v>1</v>
      </c>
      <c r="G8" s="28" t="s">
        <v>24</v>
      </c>
      <c r="I8" s="27">
        <v>1</v>
      </c>
      <c r="J8" s="28" t="s">
        <v>28</v>
      </c>
      <c r="L8" s="27">
        <v>1</v>
      </c>
      <c r="M8" s="28" t="s">
        <v>96</v>
      </c>
      <c r="N8" s="4"/>
      <c r="Q8" s="4"/>
      <c r="T8" s="4"/>
      <c r="W8" s="4"/>
      <c r="Z8" s="4"/>
      <c r="AC8" s="4"/>
      <c r="AF8" s="4"/>
    </row>
    <row r="9" spans="3:32" x14ac:dyDescent="0.25">
      <c r="C9" s="27">
        <v>2</v>
      </c>
      <c r="D9" s="28" t="s">
        <v>102</v>
      </c>
      <c r="F9" s="27">
        <v>2</v>
      </c>
      <c r="G9" s="28" t="s">
        <v>25</v>
      </c>
      <c r="I9" s="27">
        <v>2</v>
      </c>
      <c r="J9" s="28" t="s">
        <v>30</v>
      </c>
      <c r="L9" s="27">
        <v>2</v>
      </c>
      <c r="M9" s="28" t="s">
        <v>97</v>
      </c>
      <c r="N9" s="4"/>
      <c r="Q9" s="4"/>
      <c r="T9" s="4"/>
      <c r="W9" s="4"/>
      <c r="Z9" s="4"/>
      <c r="AC9" s="4"/>
      <c r="AF9" s="4"/>
    </row>
    <row r="10" spans="3:32" x14ac:dyDescent="0.25">
      <c r="C10" s="27">
        <v>3</v>
      </c>
      <c r="D10" s="28" t="s">
        <v>103</v>
      </c>
      <c r="F10" s="27">
        <v>3</v>
      </c>
      <c r="G10" s="28" t="s">
        <v>26</v>
      </c>
      <c r="I10" s="27">
        <v>3</v>
      </c>
      <c r="J10" s="28" t="s">
        <v>31</v>
      </c>
      <c r="L10" s="27">
        <v>3</v>
      </c>
      <c r="M10" s="28" t="s">
        <v>98</v>
      </c>
      <c r="N10" s="4"/>
      <c r="Q10" s="4"/>
      <c r="T10" s="4"/>
      <c r="W10" s="4"/>
      <c r="Z10" s="4"/>
      <c r="AC10" s="4"/>
      <c r="AF10" s="4"/>
    </row>
    <row r="11" spans="3:32" x14ac:dyDescent="0.25">
      <c r="C11" s="27">
        <v>4</v>
      </c>
      <c r="D11" s="28" t="s">
        <v>104</v>
      </c>
      <c r="F11" s="27">
        <v>4</v>
      </c>
      <c r="G11" s="28" t="s">
        <v>27</v>
      </c>
      <c r="I11" s="27">
        <v>4</v>
      </c>
      <c r="J11" s="28" t="s">
        <v>47</v>
      </c>
      <c r="L11" s="27">
        <v>4</v>
      </c>
      <c r="M11" s="28" t="s">
        <v>99</v>
      </c>
      <c r="N11" s="4"/>
      <c r="Q11" s="4"/>
      <c r="T11" s="4"/>
      <c r="W11" s="4"/>
      <c r="Z11" s="4"/>
      <c r="AC11" s="4"/>
      <c r="AF11" s="4"/>
    </row>
    <row r="12" spans="3:32" x14ac:dyDescent="0.25">
      <c r="C12" s="85"/>
      <c r="D12" s="83"/>
      <c r="E12" s="79"/>
      <c r="F12" s="79"/>
      <c r="G12" s="84"/>
      <c r="H12" s="79"/>
      <c r="I12" s="79"/>
      <c r="J12" s="84"/>
      <c r="K12" s="79"/>
      <c r="L12" s="79"/>
      <c r="M12" s="84"/>
      <c r="N12" s="4"/>
      <c r="Q12" s="4"/>
      <c r="T12" s="4"/>
      <c r="W12" s="4"/>
      <c r="Z12" s="4"/>
      <c r="AC12" s="4"/>
      <c r="AF12" s="4"/>
    </row>
    <row r="13" spans="3:32" x14ac:dyDescent="0.25">
      <c r="C13" s="27"/>
      <c r="D13" s="28"/>
      <c r="F13" s="35"/>
      <c r="I13" s="35"/>
      <c r="N13" s="4"/>
      <c r="Q13" s="4"/>
      <c r="T13" s="4"/>
      <c r="W13" s="4"/>
      <c r="Z13" s="4"/>
      <c r="AC13" s="4"/>
      <c r="AF13" s="4"/>
    </row>
    <row r="14" spans="3:32" x14ac:dyDescent="0.25">
      <c r="C14" s="27"/>
      <c r="D14" s="28"/>
      <c r="F14" s="35"/>
      <c r="I14" s="35"/>
      <c r="N14" s="4"/>
      <c r="Q14" s="4"/>
      <c r="T14" s="4"/>
      <c r="W14" s="4"/>
      <c r="Z14" s="4"/>
      <c r="AC14" s="4"/>
      <c r="AF14" s="4"/>
    </row>
    <row r="17" spans="3:13" x14ac:dyDescent="0.25">
      <c r="C17" s="56" t="s">
        <v>6</v>
      </c>
      <c r="D17" s="57" t="s">
        <v>105</v>
      </c>
      <c r="E17" s="65"/>
      <c r="F17" s="58"/>
      <c r="G17" s="59" t="s">
        <v>13</v>
      </c>
      <c r="I17" s="62" t="s">
        <v>100</v>
      </c>
      <c r="J17" s="62" t="s">
        <v>124</v>
      </c>
      <c r="K17" s="49"/>
      <c r="L17" s="50"/>
      <c r="M17" s="50" t="s">
        <v>2</v>
      </c>
    </row>
    <row r="18" spans="3:13" x14ac:dyDescent="0.25">
      <c r="C18" s="60" t="s">
        <v>14</v>
      </c>
      <c r="D18" s="52" t="s">
        <v>11</v>
      </c>
      <c r="E18" s="55"/>
      <c r="F18" s="53"/>
      <c r="G18" s="53" t="s">
        <v>48</v>
      </c>
      <c r="I18" s="63" t="s">
        <v>107</v>
      </c>
      <c r="J18" s="87" t="s">
        <v>38</v>
      </c>
      <c r="L18" s="64"/>
      <c r="M18" s="64">
        <v>1</v>
      </c>
    </row>
    <row r="19" spans="3:13" x14ac:dyDescent="0.25">
      <c r="C19" s="60" t="s">
        <v>7</v>
      </c>
      <c r="D19" s="52" t="s">
        <v>15</v>
      </c>
      <c r="E19" s="55"/>
      <c r="F19" s="53"/>
      <c r="G19" s="61" t="s">
        <v>16</v>
      </c>
      <c r="I19" s="63" t="s">
        <v>108</v>
      </c>
      <c r="J19" s="87" t="s">
        <v>39</v>
      </c>
      <c r="L19" s="64"/>
      <c r="M19" s="64">
        <v>2</v>
      </c>
    </row>
    <row r="20" spans="3:13" x14ac:dyDescent="0.25">
      <c r="C20" s="60" t="s">
        <v>17</v>
      </c>
      <c r="D20" s="52" t="s">
        <v>12</v>
      </c>
      <c r="E20" s="55"/>
      <c r="F20" s="53"/>
      <c r="G20" s="61" t="s">
        <v>18</v>
      </c>
      <c r="I20" s="63" t="s">
        <v>109</v>
      </c>
      <c r="J20" s="87" t="s">
        <v>43</v>
      </c>
      <c r="L20" s="64"/>
      <c r="M20" s="64">
        <v>3</v>
      </c>
    </row>
    <row r="21" spans="3:13" x14ac:dyDescent="0.25">
      <c r="C21" s="60" t="s">
        <v>19</v>
      </c>
      <c r="D21" s="52" t="s">
        <v>20</v>
      </c>
      <c r="E21" s="55"/>
      <c r="F21" s="53"/>
      <c r="G21" s="53" t="s">
        <v>21</v>
      </c>
      <c r="I21" s="63" t="s">
        <v>110</v>
      </c>
      <c r="J21" s="87" t="s">
        <v>43</v>
      </c>
      <c r="L21" s="64"/>
      <c r="M21" s="64">
        <v>3</v>
      </c>
    </row>
    <row r="22" spans="3:13" x14ac:dyDescent="0.25">
      <c r="C22" s="82"/>
      <c r="D22" s="78"/>
      <c r="E22" s="55"/>
      <c r="F22" s="53"/>
      <c r="G22" s="53"/>
      <c r="I22" s="63" t="s">
        <v>111</v>
      </c>
      <c r="J22" s="87" t="s">
        <v>39</v>
      </c>
      <c r="L22" s="64"/>
      <c r="M22" s="64">
        <v>2</v>
      </c>
    </row>
    <row r="23" spans="3:13" x14ac:dyDescent="0.25">
      <c r="C23" s="60"/>
      <c r="D23" s="52"/>
      <c r="E23" s="55"/>
      <c r="F23" s="53"/>
      <c r="G23" s="53"/>
      <c r="I23" s="63" t="s">
        <v>112</v>
      </c>
      <c r="J23" s="87" t="s">
        <v>43</v>
      </c>
      <c r="L23" s="64"/>
      <c r="M23" s="64">
        <v>3</v>
      </c>
    </row>
    <row r="24" spans="3:13" x14ac:dyDescent="0.25">
      <c r="C24" s="60"/>
      <c r="D24" s="52"/>
      <c r="E24" s="55"/>
      <c r="F24" s="53"/>
      <c r="G24" s="53"/>
      <c r="I24" s="63" t="s">
        <v>113</v>
      </c>
      <c r="J24" s="87" t="s">
        <v>43</v>
      </c>
      <c r="L24" s="64"/>
      <c r="M24" s="64">
        <v>3</v>
      </c>
    </row>
    <row r="25" spans="3:13" x14ac:dyDescent="0.25">
      <c r="C25" s="60"/>
      <c r="D25" s="52"/>
      <c r="E25" s="55"/>
      <c r="F25" s="53"/>
      <c r="G25" s="53"/>
      <c r="I25" s="63" t="s">
        <v>114</v>
      </c>
      <c r="J25" s="87" t="s">
        <v>40</v>
      </c>
      <c r="L25" s="64"/>
      <c r="M25" s="64">
        <v>4</v>
      </c>
    </row>
    <row r="26" spans="3:13" x14ac:dyDescent="0.25">
      <c r="C26" s="60"/>
      <c r="D26" s="52"/>
      <c r="E26" s="55"/>
      <c r="F26" s="53"/>
      <c r="G26" s="53"/>
      <c r="I26" s="63" t="s">
        <v>115</v>
      </c>
      <c r="J26" s="87" t="s">
        <v>43</v>
      </c>
      <c r="L26" s="64"/>
      <c r="M26" s="64">
        <v>3</v>
      </c>
    </row>
    <row r="27" spans="3:13" x14ac:dyDescent="0.25">
      <c r="C27" s="60"/>
      <c r="D27" s="52"/>
      <c r="E27" s="55"/>
      <c r="F27" s="53"/>
      <c r="G27" s="53"/>
      <c r="I27" s="63" t="s">
        <v>116</v>
      </c>
      <c r="J27" s="87" t="s">
        <v>43</v>
      </c>
      <c r="L27" s="64"/>
      <c r="M27" s="64">
        <v>3</v>
      </c>
    </row>
    <row r="28" spans="3:13" x14ac:dyDescent="0.25">
      <c r="I28" s="63" t="s">
        <v>117</v>
      </c>
      <c r="J28" s="87" t="s">
        <v>40</v>
      </c>
      <c r="L28" s="64"/>
      <c r="M28" s="64">
        <v>4</v>
      </c>
    </row>
    <row r="29" spans="3:13" x14ac:dyDescent="0.25">
      <c r="C29" s="56" t="s">
        <v>126</v>
      </c>
      <c r="D29" s="57" t="s">
        <v>32</v>
      </c>
      <c r="E29" s="65"/>
      <c r="F29" s="58"/>
      <c r="G29" s="59" t="s">
        <v>33</v>
      </c>
      <c r="I29" s="63" t="s">
        <v>118</v>
      </c>
      <c r="J29" s="87" t="s">
        <v>40</v>
      </c>
      <c r="L29" s="64"/>
      <c r="M29" s="64">
        <v>4</v>
      </c>
    </row>
    <row r="30" spans="3:13" x14ac:dyDescent="0.25">
      <c r="C30" s="51">
        <v>1</v>
      </c>
      <c r="D30" s="52" t="s">
        <v>34</v>
      </c>
      <c r="F30" s="53"/>
      <c r="G30" s="61" t="s">
        <v>11</v>
      </c>
      <c r="I30" s="63" t="s">
        <v>119</v>
      </c>
      <c r="J30" s="87" t="s">
        <v>43</v>
      </c>
      <c r="L30" s="64"/>
      <c r="M30" s="64">
        <v>3</v>
      </c>
    </row>
    <row r="31" spans="3:13" x14ac:dyDescent="0.25">
      <c r="C31" s="51">
        <v>2</v>
      </c>
      <c r="D31" s="52" t="s">
        <v>35</v>
      </c>
      <c r="F31" s="53"/>
      <c r="G31" s="61" t="s">
        <v>15</v>
      </c>
      <c r="I31" s="63" t="s">
        <v>120</v>
      </c>
      <c r="J31" s="87" t="s">
        <v>40</v>
      </c>
      <c r="L31" s="64"/>
      <c r="M31" s="64">
        <v>4</v>
      </c>
    </row>
    <row r="32" spans="3:13" x14ac:dyDescent="0.25">
      <c r="C32" s="51">
        <v>3</v>
      </c>
      <c r="D32" s="52" t="s">
        <v>36</v>
      </c>
      <c r="F32" s="53"/>
      <c r="G32" s="61" t="s">
        <v>12</v>
      </c>
      <c r="I32" s="63" t="s">
        <v>121</v>
      </c>
      <c r="J32" s="87" t="s">
        <v>40</v>
      </c>
      <c r="L32" s="64"/>
      <c r="M32" s="64">
        <v>4</v>
      </c>
    </row>
    <row r="33" spans="3:13" x14ac:dyDescent="0.25">
      <c r="C33" s="51">
        <v>4</v>
      </c>
      <c r="D33" s="52" t="s">
        <v>37</v>
      </c>
      <c r="F33" s="53"/>
      <c r="G33" s="61" t="s">
        <v>20</v>
      </c>
      <c r="I33" s="63" t="s">
        <v>122</v>
      </c>
      <c r="J33" s="87" t="s">
        <v>40</v>
      </c>
      <c r="L33" s="64"/>
      <c r="M33" s="64">
        <v>4</v>
      </c>
    </row>
    <row r="34" spans="3:13" x14ac:dyDescent="0.25">
      <c r="C34" s="51"/>
      <c r="D34" s="78"/>
      <c r="E34" s="79"/>
      <c r="F34" s="80"/>
      <c r="G34" s="81"/>
      <c r="I34" s="63"/>
      <c r="J34" s="52"/>
      <c r="K34" s="64"/>
      <c r="L34" s="64"/>
      <c r="M34" s="64"/>
    </row>
    <row r="35" spans="3:13" x14ac:dyDescent="0.25">
      <c r="C35" s="51"/>
      <c r="D35" s="52"/>
      <c r="F35" s="53"/>
      <c r="G35" s="61"/>
      <c r="I35" s="63"/>
      <c r="J35" s="52"/>
      <c r="K35" s="64"/>
      <c r="L35" s="64"/>
      <c r="M35" s="64"/>
    </row>
    <row r="36" spans="3:13" x14ac:dyDescent="0.25">
      <c r="C36" s="51"/>
      <c r="D36" s="52"/>
      <c r="F36" s="53"/>
      <c r="G36" s="61"/>
      <c r="I36" s="63"/>
      <c r="J36" s="52"/>
      <c r="K36" s="64"/>
      <c r="L36" s="64"/>
      <c r="M36" s="64"/>
    </row>
    <row r="37" spans="3:13" x14ac:dyDescent="0.25">
      <c r="C37" s="51"/>
      <c r="D37" s="52"/>
      <c r="F37" s="53"/>
      <c r="G37" s="61"/>
      <c r="I37" s="63"/>
      <c r="J37" s="52"/>
      <c r="K37" s="64"/>
      <c r="L37" s="64"/>
      <c r="M37" s="64"/>
    </row>
    <row r="38" spans="3:13" x14ac:dyDescent="0.25">
      <c r="C38" s="51"/>
      <c r="D38" s="52"/>
      <c r="F38" s="53"/>
      <c r="G38" s="61"/>
      <c r="I38" s="63"/>
      <c r="J38" s="52"/>
      <c r="K38" s="64"/>
      <c r="L38" s="64"/>
      <c r="M38" s="64"/>
    </row>
    <row r="39" spans="3:13" x14ac:dyDescent="0.25">
      <c r="C39" s="51"/>
      <c r="D39" s="52"/>
      <c r="F39" s="53"/>
      <c r="G39" s="61"/>
      <c r="I39" s="63"/>
      <c r="J39" s="52"/>
      <c r="K39" s="64"/>
      <c r="L39" s="64"/>
      <c r="M39" s="64"/>
    </row>
    <row r="40" spans="3:13" x14ac:dyDescent="0.25">
      <c r="I40" s="63"/>
      <c r="J40" s="52"/>
      <c r="K40" s="64"/>
      <c r="L40" s="64"/>
      <c r="M40" s="64"/>
    </row>
    <row r="41" spans="3:13" x14ac:dyDescent="0.25">
      <c r="C41" s="4"/>
      <c r="D41" s="38" t="s">
        <v>83</v>
      </c>
      <c r="I41" s="63"/>
      <c r="J41" s="52"/>
      <c r="K41" s="64"/>
      <c r="L41" s="64"/>
      <c r="M41" s="64"/>
    </row>
    <row r="42" spans="3:13" x14ac:dyDescent="0.25">
      <c r="C42" s="4"/>
      <c r="D42" s="38" t="s">
        <v>84</v>
      </c>
      <c r="I42" s="63"/>
      <c r="J42" s="78"/>
      <c r="K42" s="81"/>
      <c r="L42" s="81"/>
      <c r="M42" s="81"/>
    </row>
    <row r="43" spans="3:13" x14ac:dyDescent="0.25">
      <c r="C43" s="4"/>
      <c r="D43" s="38" t="s">
        <v>86</v>
      </c>
      <c r="I43" s="63"/>
      <c r="J43" s="52"/>
      <c r="K43" s="64"/>
      <c r="L43" s="64"/>
      <c r="M43" s="64"/>
    </row>
    <row r="44" spans="3:13" x14ac:dyDescent="0.25">
      <c r="C44" s="4"/>
      <c r="D44" s="38" t="s">
        <v>85</v>
      </c>
      <c r="I44" s="63"/>
      <c r="J44" s="52"/>
      <c r="K44" s="64"/>
      <c r="L44" s="64"/>
      <c r="M44" s="64"/>
    </row>
    <row r="45" spans="3:13" x14ac:dyDescent="0.25">
      <c r="C45" s="4"/>
      <c r="D45" s="38"/>
      <c r="I45" s="63"/>
      <c r="J45" s="52"/>
      <c r="K45" s="64"/>
      <c r="L45" s="64"/>
      <c r="M45" s="64"/>
    </row>
    <row r="46" spans="3:13" x14ac:dyDescent="0.25">
      <c r="C46" s="4"/>
      <c r="D46" s="38"/>
      <c r="I46" s="63"/>
      <c r="J46" s="52"/>
      <c r="K46" s="64"/>
      <c r="L46" s="64"/>
      <c r="M46" s="64"/>
    </row>
    <row r="47" spans="3:13" x14ac:dyDescent="0.25">
      <c r="C47" s="4"/>
      <c r="D47" s="38"/>
      <c r="I47" s="63"/>
      <c r="J47" s="52"/>
      <c r="K47" s="64"/>
      <c r="L47" s="64"/>
      <c r="M47" s="64"/>
    </row>
    <row r="48" spans="3:13" x14ac:dyDescent="0.25">
      <c r="C48" s="4"/>
      <c r="D48" s="38"/>
      <c r="I48" s="63"/>
      <c r="J48" s="52"/>
      <c r="K48" s="64"/>
      <c r="L48" s="64"/>
      <c r="M48" s="64"/>
    </row>
    <row r="49" spans="3:13" x14ac:dyDescent="0.25">
      <c r="C49" s="4"/>
      <c r="D49" s="38"/>
      <c r="I49" s="63"/>
      <c r="J49" s="52"/>
      <c r="K49" s="64"/>
      <c r="L49" s="64"/>
      <c r="M49" s="64"/>
    </row>
    <row r="50" spans="3:13" x14ac:dyDescent="0.25">
      <c r="C50" s="4"/>
      <c r="D50" s="38"/>
      <c r="I50" s="63"/>
      <c r="J50" s="52"/>
      <c r="K50" s="64"/>
      <c r="L50" s="64"/>
      <c r="M50" s="64"/>
    </row>
    <row r="51" spans="3:13" x14ac:dyDescent="0.25">
      <c r="C51" s="4"/>
      <c r="D51" s="38"/>
      <c r="I51" s="63"/>
      <c r="J51" s="52"/>
      <c r="K51" s="64"/>
      <c r="L51" s="64"/>
      <c r="M51" s="64"/>
    </row>
    <row r="52" spans="3:13" x14ac:dyDescent="0.25">
      <c r="C52" s="4"/>
      <c r="I52" s="63"/>
      <c r="J52" s="52"/>
      <c r="K52" s="64"/>
      <c r="L52" s="64"/>
      <c r="M52" s="64"/>
    </row>
    <row r="53" spans="3:13" x14ac:dyDescent="0.25">
      <c r="C53" s="4"/>
      <c r="I53" s="63"/>
      <c r="J53" s="52"/>
      <c r="K53" s="64"/>
      <c r="L53" s="64"/>
      <c r="M53" s="64"/>
    </row>
    <row r="54" spans="3:13" x14ac:dyDescent="0.25">
      <c r="C54" s="4"/>
      <c r="D54" s="77" t="s">
        <v>87</v>
      </c>
      <c r="I54" s="63"/>
      <c r="J54" s="52"/>
      <c r="K54" s="64"/>
      <c r="L54" s="64"/>
      <c r="M54" s="64"/>
    </row>
    <row r="55" spans="3:13" x14ac:dyDescent="0.25">
      <c r="C55" s="4"/>
      <c r="D55" s="77" t="s">
        <v>127</v>
      </c>
      <c r="I55" s="63"/>
      <c r="J55" s="52"/>
      <c r="K55" s="64"/>
      <c r="L55" s="64"/>
      <c r="M55" s="64"/>
    </row>
    <row r="56" spans="3:13" x14ac:dyDescent="0.25">
      <c r="C56" s="4"/>
      <c r="D56" s="77" t="s">
        <v>88</v>
      </c>
      <c r="I56" s="63"/>
      <c r="J56" s="52"/>
      <c r="K56" s="64"/>
      <c r="L56" s="64"/>
      <c r="M56" s="64"/>
    </row>
    <row r="57" spans="3:13" x14ac:dyDescent="0.25">
      <c r="C57" s="4"/>
      <c r="D57" s="77"/>
      <c r="I57" s="63"/>
      <c r="J57" s="52"/>
      <c r="K57" s="64"/>
      <c r="L57" s="64"/>
      <c r="M57" s="64"/>
    </row>
    <row r="58" spans="3:13" x14ac:dyDescent="0.25">
      <c r="C58" s="4"/>
      <c r="D58" s="38"/>
      <c r="I58" s="63"/>
      <c r="J58" s="52"/>
      <c r="K58" s="64"/>
      <c r="L58" s="64"/>
      <c r="M58" s="64"/>
    </row>
    <row r="59" spans="3:13" x14ac:dyDescent="0.25">
      <c r="C59" s="4"/>
      <c r="D59" s="38"/>
      <c r="I59" s="63"/>
      <c r="J59" s="52"/>
      <c r="K59" s="64"/>
      <c r="L59" s="64"/>
      <c r="M59" s="64"/>
    </row>
    <row r="60" spans="3:13" x14ac:dyDescent="0.25">
      <c r="C60" s="4"/>
      <c r="D60" s="38"/>
      <c r="I60" s="63"/>
      <c r="J60" s="52"/>
      <c r="K60" s="64"/>
      <c r="L60" s="64"/>
      <c r="M60" s="64"/>
    </row>
    <row r="61" spans="3:13" x14ac:dyDescent="0.25">
      <c r="C61" s="4"/>
      <c r="D61" s="38"/>
      <c r="I61" s="63"/>
      <c r="J61" s="52"/>
      <c r="K61" s="64"/>
      <c r="L61" s="64"/>
      <c r="M61" s="64"/>
    </row>
    <row r="62" spans="3:13" x14ac:dyDescent="0.25">
      <c r="C62" s="4"/>
      <c r="D62" s="38"/>
      <c r="I62" s="63"/>
      <c r="J62" s="52"/>
      <c r="K62" s="64"/>
      <c r="L62" s="64"/>
      <c r="M62" s="64"/>
    </row>
    <row r="63" spans="3:13" x14ac:dyDescent="0.25">
      <c r="C63" s="4"/>
      <c r="D63" s="38"/>
      <c r="I63" s="63"/>
      <c r="J63" s="52"/>
      <c r="K63" s="64"/>
      <c r="L63" s="64"/>
      <c r="M63" s="64"/>
    </row>
    <row r="64" spans="3:13" x14ac:dyDescent="0.25">
      <c r="C64" s="4"/>
      <c r="D64" s="38"/>
      <c r="I64" s="63"/>
      <c r="J64" s="52"/>
      <c r="K64" s="64"/>
      <c r="L64" s="64"/>
      <c r="M64" s="64"/>
    </row>
    <row r="65" spans="9:13" x14ac:dyDescent="0.25">
      <c r="I65" s="63"/>
      <c r="J65" s="52"/>
      <c r="K65" s="64"/>
      <c r="L65" s="64"/>
      <c r="M65" s="64"/>
    </row>
    <row r="66" spans="9:13" x14ac:dyDescent="0.25">
      <c r="I66" s="63"/>
      <c r="J66" s="52"/>
      <c r="K66" s="64"/>
      <c r="L66" s="64"/>
      <c r="M66" s="64"/>
    </row>
    <row r="67" spans="9:13" x14ac:dyDescent="0.25">
      <c r="I67" s="63"/>
      <c r="J67" s="52"/>
      <c r="K67" s="64"/>
      <c r="L67" s="64"/>
      <c r="M67" s="64"/>
    </row>
    <row r="68" spans="9:13" x14ac:dyDescent="0.25">
      <c r="I68" s="63"/>
      <c r="J68" s="52"/>
      <c r="K68" s="64"/>
      <c r="L68" s="64"/>
      <c r="M68" s="64"/>
    </row>
    <row r="69" spans="9:13" x14ac:dyDescent="0.25">
      <c r="I69" s="63"/>
      <c r="J69" s="52"/>
      <c r="K69" s="64"/>
      <c r="L69" s="64"/>
      <c r="M69" s="64"/>
    </row>
    <row r="70" spans="9:13" x14ac:dyDescent="0.25">
      <c r="I70" s="63"/>
      <c r="J70" s="52"/>
      <c r="K70" s="64"/>
      <c r="L70" s="64"/>
      <c r="M70" s="64"/>
    </row>
    <row r="71" spans="9:13" x14ac:dyDescent="0.25">
      <c r="I71" s="63"/>
      <c r="J71" s="52"/>
      <c r="K71" s="64"/>
      <c r="L71" s="64"/>
      <c r="M71" s="64"/>
    </row>
    <row r="72" spans="9:13" x14ac:dyDescent="0.25">
      <c r="I72" s="63"/>
      <c r="J72" s="52"/>
      <c r="K72" s="64"/>
      <c r="L72" s="64"/>
      <c r="M72" s="64"/>
    </row>
    <row r="73" spans="9:13" x14ac:dyDescent="0.25">
      <c r="I73" s="63"/>
      <c r="J73" s="52"/>
      <c r="K73" s="64"/>
      <c r="L73" s="64"/>
      <c r="M73" s="64"/>
    </row>
    <row r="74" spans="9:13" x14ac:dyDescent="0.25">
      <c r="I74" s="63"/>
      <c r="J74" s="52"/>
      <c r="K74" s="64"/>
      <c r="L74" s="64"/>
      <c r="M74" s="64"/>
    </row>
    <row r="75" spans="9:13" x14ac:dyDescent="0.25">
      <c r="I75" s="63"/>
      <c r="J75" s="52"/>
      <c r="K75" s="64"/>
      <c r="L75" s="64"/>
      <c r="M75" s="64"/>
    </row>
    <row r="76" spans="9:13" x14ac:dyDescent="0.25">
      <c r="I76" s="63"/>
      <c r="J76" s="52"/>
      <c r="K76" s="64"/>
      <c r="L76" s="64"/>
      <c r="M76" s="64"/>
    </row>
    <row r="77" spans="9:13" x14ac:dyDescent="0.25">
      <c r="I77" s="63"/>
      <c r="J77" s="52"/>
      <c r="K77" s="64"/>
      <c r="L77" s="64"/>
      <c r="M77" s="64"/>
    </row>
    <row r="78" spans="9:13" x14ac:dyDescent="0.25">
      <c r="I78" s="63"/>
      <c r="J78" s="52"/>
      <c r="K78" s="64"/>
      <c r="L78" s="64"/>
      <c r="M78" s="64"/>
    </row>
    <row r="79" spans="9:13" x14ac:dyDescent="0.25">
      <c r="I79" s="63"/>
      <c r="J79" s="52"/>
      <c r="K79" s="64"/>
      <c r="L79" s="64"/>
      <c r="M79" s="64"/>
    </row>
    <row r="80" spans="9:13" x14ac:dyDescent="0.25">
      <c r="I80" s="63"/>
      <c r="J80" s="52"/>
      <c r="K80" s="64"/>
      <c r="L80" s="64"/>
      <c r="M80" s="64"/>
    </row>
    <row r="81" spans="9:13" x14ac:dyDescent="0.25">
      <c r="I81" s="63"/>
      <c r="J81" s="52"/>
      <c r="K81" s="64"/>
      <c r="L81" s="64"/>
      <c r="M81" s="64"/>
    </row>
    <row r="82" spans="9:13" x14ac:dyDescent="0.25">
      <c r="I82" s="63"/>
      <c r="J82" s="52"/>
      <c r="K82" s="64"/>
      <c r="L82" s="64"/>
      <c r="M82" s="64"/>
    </row>
    <row r="83" spans="9:13" x14ac:dyDescent="0.25">
      <c r="I83" s="63"/>
      <c r="J83" s="52"/>
      <c r="K83" s="64"/>
      <c r="L83" s="64"/>
      <c r="M83" s="64"/>
    </row>
    <row r="84" spans="9:13" x14ac:dyDescent="0.25">
      <c r="I84" s="63"/>
      <c r="J84" s="52"/>
      <c r="K84" s="64"/>
      <c r="L84" s="64"/>
      <c r="M84" s="64"/>
    </row>
    <row r="85" spans="9:13" x14ac:dyDescent="0.25">
      <c r="I85" s="63"/>
      <c r="J85" s="52"/>
      <c r="K85" s="64"/>
      <c r="L85" s="64"/>
      <c r="M85" s="64"/>
    </row>
    <row r="86" spans="9:13" x14ac:dyDescent="0.25">
      <c r="I86" s="63"/>
      <c r="J86" s="52"/>
      <c r="K86" s="64"/>
      <c r="L86" s="64"/>
      <c r="M86" s="64"/>
    </row>
    <row r="87" spans="9:13" x14ac:dyDescent="0.25">
      <c r="I87" s="63"/>
      <c r="J87" s="52"/>
      <c r="K87" s="64"/>
      <c r="L87" s="64"/>
      <c r="M87" s="64"/>
    </row>
    <row r="88" spans="9:13" x14ac:dyDescent="0.25">
      <c r="I88" s="63"/>
      <c r="J88" s="52"/>
      <c r="K88" s="64"/>
      <c r="L88" s="64"/>
      <c r="M88" s="64"/>
    </row>
    <row r="89" spans="9:13" x14ac:dyDescent="0.25">
      <c r="I89" s="63"/>
      <c r="J89" s="52"/>
      <c r="K89" s="64"/>
      <c r="L89" s="64"/>
      <c r="M89" s="64"/>
    </row>
    <row r="90" spans="9:13" x14ac:dyDescent="0.25">
      <c r="I90" s="63"/>
      <c r="J90" s="52"/>
      <c r="K90" s="64"/>
      <c r="L90" s="64"/>
      <c r="M90" s="64"/>
    </row>
    <row r="91" spans="9:13" x14ac:dyDescent="0.25">
      <c r="I91" s="63"/>
      <c r="J91" s="52"/>
      <c r="K91" s="64"/>
      <c r="L91" s="64"/>
      <c r="M91" s="64"/>
    </row>
    <row r="92" spans="9:13" x14ac:dyDescent="0.25">
      <c r="I92" s="63"/>
      <c r="J92" s="52"/>
      <c r="K92" s="64"/>
      <c r="L92" s="64"/>
      <c r="M92" s="64"/>
    </row>
    <row r="93" spans="9:13" x14ac:dyDescent="0.25">
      <c r="I93" s="63"/>
      <c r="J93" s="52"/>
      <c r="K93" s="64"/>
      <c r="L93" s="64"/>
      <c r="M93" s="64"/>
    </row>
    <row r="94" spans="9:13" x14ac:dyDescent="0.25">
      <c r="I94" s="63"/>
      <c r="J94" s="52"/>
      <c r="K94" s="64"/>
      <c r="L94" s="64"/>
      <c r="M94" s="64"/>
    </row>
    <row r="95" spans="9:13" x14ac:dyDescent="0.25">
      <c r="I95" s="63"/>
      <c r="J95" s="52"/>
      <c r="K95" s="64"/>
      <c r="L95" s="64"/>
      <c r="M95" s="64"/>
    </row>
    <row r="96" spans="9:13" x14ac:dyDescent="0.25">
      <c r="I96" s="63"/>
      <c r="J96" s="52"/>
      <c r="K96" s="64"/>
      <c r="L96" s="64"/>
      <c r="M96" s="64"/>
    </row>
    <row r="97" spans="9:13" x14ac:dyDescent="0.25">
      <c r="I97" s="63"/>
      <c r="J97" s="52"/>
      <c r="K97" s="64"/>
      <c r="L97" s="64"/>
      <c r="M97" s="64"/>
    </row>
    <row r="98" spans="9:13" x14ac:dyDescent="0.25">
      <c r="I98" s="63"/>
      <c r="J98" s="52"/>
      <c r="K98" s="64"/>
      <c r="L98" s="64"/>
      <c r="M98" s="64"/>
    </row>
    <row r="99" spans="9:13" x14ac:dyDescent="0.25">
      <c r="I99" s="63"/>
      <c r="J99" s="52"/>
      <c r="K99" s="64"/>
      <c r="L99" s="64"/>
      <c r="M99" s="64"/>
    </row>
    <row r="100" spans="9:13" x14ac:dyDescent="0.25">
      <c r="I100" s="63"/>
      <c r="J100" s="52"/>
      <c r="K100" s="64"/>
      <c r="L100" s="64"/>
      <c r="M100" s="64"/>
    </row>
    <row r="101" spans="9:13" x14ac:dyDescent="0.25">
      <c r="I101" s="63"/>
      <c r="J101" s="52"/>
      <c r="K101" s="64"/>
      <c r="L101" s="64"/>
      <c r="M101" s="64"/>
    </row>
    <row r="102" spans="9:13" x14ac:dyDescent="0.25">
      <c r="I102" s="63"/>
      <c r="J102" s="52"/>
      <c r="K102" s="64"/>
      <c r="L102" s="64"/>
      <c r="M102" s="64"/>
    </row>
    <row r="103" spans="9:13" x14ac:dyDescent="0.25">
      <c r="I103" s="63"/>
      <c r="J103" s="52"/>
      <c r="K103" s="64"/>
      <c r="L103" s="64"/>
      <c r="M103" s="64"/>
    </row>
    <row r="104" spans="9:13" x14ac:dyDescent="0.25">
      <c r="I104" s="63"/>
      <c r="J104" s="52"/>
      <c r="K104" s="64"/>
      <c r="L104" s="64"/>
      <c r="M104" s="64"/>
    </row>
    <row r="105" spans="9:13" x14ac:dyDescent="0.25">
      <c r="I105" s="63"/>
      <c r="J105" s="52"/>
      <c r="K105" s="64"/>
      <c r="L105" s="64"/>
      <c r="M105" s="64"/>
    </row>
    <row r="106" spans="9:13" x14ac:dyDescent="0.25">
      <c r="I106" s="63"/>
      <c r="J106" s="52"/>
      <c r="K106" s="64"/>
      <c r="L106" s="64"/>
      <c r="M106" s="64"/>
    </row>
    <row r="107" spans="9:13" x14ac:dyDescent="0.25">
      <c r="I107" s="63"/>
      <c r="J107" s="52"/>
      <c r="K107" s="64"/>
      <c r="L107" s="64"/>
      <c r="M107" s="64"/>
    </row>
    <row r="108" spans="9:13" x14ac:dyDescent="0.25">
      <c r="I108" s="63"/>
      <c r="J108" s="52"/>
      <c r="K108" s="64"/>
      <c r="L108" s="64"/>
      <c r="M108" s="64"/>
    </row>
    <row r="109" spans="9:13" x14ac:dyDescent="0.25">
      <c r="I109" s="63"/>
      <c r="J109" s="52"/>
      <c r="K109" s="64"/>
      <c r="L109" s="64"/>
      <c r="M109" s="64"/>
    </row>
    <row r="110" spans="9:13" x14ac:dyDescent="0.25">
      <c r="I110" s="63"/>
      <c r="J110" s="52"/>
      <c r="K110" s="64"/>
      <c r="L110" s="64"/>
      <c r="M110" s="64"/>
    </row>
    <row r="111" spans="9:13" x14ac:dyDescent="0.25">
      <c r="I111" s="63"/>
      <c r="J111" s="52"/>
      <c r="K111" s="64"/>
      <c r="L111" s="64"/>
      <c r="M111" s="64"/>
    </row>
    <row r="112" spans="9:13" x14ac:dyDescent="0.25">
      <c r="I112" s="63"/>
      <c r="J112" s="52"/>
      <c r="K112" s="64"/>
      <c r="L112" s="64"/>
      <c r="M112" s="64"/>
    </row>
    <row r="113" spans="9:13" x14ac:dyDescent="0.25">
      <c r="I113" s="63"/>
      <c r="J113" s="52"/>
      <c r="K113" s="64"/>
      <c r="L113" s="64"/>
      <c r="M113" s="64"/>
    </row>
    <row r="114" spans="9:13" x14ac:dyDescent="0.25">
      <c r="I114" s="63"/>
      <c r="J114" s="52"/>
      <c r="K114" s="64"/>
      <c r="L114" s="64"/>
      <c r="M114" s="64"/>
    </row>
    <row r="115" spans="9:13" x14ac:dyDescent="0.25">
      <c r="I115" s="63"/>
      <c r="J115" s="52"/>
      <c r="K115" s="64"/>
      <c r="L115" s="64"/>
      <c r="M115" s="64"/>
    </row>
    <row r="116" spans="9:13" x14ac:dyDescent="0.25">
      <c r="I116" s="63"/>
      <c r="J116" s="52"/>
      <c r="K116" s="64"/>
      <c r="L116" s="64"/>
      <c r="M116" s="64"/>
    </row>
    <row r="117" spans="9:13" x14ac:dyDescent="0.25">
      <c r="I117" s="63"/>
      <c r="J117" s="52"/>
      <c r="K117" s="64"/>
      <c r="L117" s="64"/>
      <c r="M117" s="64"/>
    </row>
    <row r="118" spans="9:13" x14ac:dyDescent="0.25">
      <c r="I118" s="35"/>
      <c r="J118" s="35"/>
      <c r="M118" s="35"/>
    </row>
    <row r="119" spans="9:13" x14ac:dyDescent="0.25">
      <c r="I119" s="35"/>
      <c r="J119" s="35"/>
      <c r="M119" s="35"/>
    </row>
    <row r="120" spans="9:13" x14ac:dyDescent="0.25">
      <c r="I120" s="35"/>
      <c r="J120" s="35"/>
      <c r="M120" s="35"/>
    </row>
    <row r="121" spans="9:13" x14ac:dyDescent="0.25">
      <c r="I121" s="35"/>
      <c r="J121" s="35"/>
      <c r="M121" s="35"/>
    </row>
    <row r="122" spans="9:13" x14ac:dyDescent="0.25">
      <c r="I122" s="35"/>
      <c r="J122" s="35"/>
      <c r="M122" s="35"/>
    </row>
    <row r="123" spans="9:13" x14ac:dyDescent="0.25">
      <c r="I123" s="35"/>
      <c r="J123" s="35"/>
      <c r="M123" s="35"/>
    </row>
    <row r="124" spans="9:13" x14ac:dyDescent="0.25">
      <c r="I124" s="35"/>
      <c r="J124" s="35"/>
      <c r="M124" s="35"/>
    </row>
    <row r="125" spans="9:13" x14ac:dyDescent="0.25">
      <c r="I125" s="35"/>
      <c r="J125" s="35"/>
      <c r="M125" s="35"/>
    </row>
    <row r="126" spans="9:13" x14ac:dyDescent="0.25">
      <c r="I126" s="35"/>
      <c r="J126" s="35"/>
      <c r="M126" s="35"/>
    </row>
    <row r="127" spans="9:13" x14ac:dyDescent="0.25">
      <c r="I127" s="35"/>
      <c r="J127" s="35"/>
      <c r="M127" s="35"/>
    </row>
    <row r="128" spans="9:13" x14ac:dyDescent="0.25">
      <c r="I128" s="35"/>
      <c r="J128" s="35"/>
      <c r="M128" s="35"/>
    </row>
    <row r="129" spans="9:13" x14ac:dyDescent="0.25">
      <c r="I129" s="35"/>
      <c r="J129" s="35"/>
      <c r="M129" s="35"/>
    </row>
    <row r="130" spans="9:13" x14ac:dyDescent="0.25">
      <c r="I130" s="35"/>
      <c r="J130" s="35"/>
      <c r="M130" s="35"/>
    </row>
    <row r="131" spans="9:13" x14ac:dyDescent="0.25">
      <c r="I131" s="35"/>
      <c r="J131" s="35"/>
      <c r="M131" s="35"/>
    </row>
    <row r="132" spans="9:13" x14ac:dyDescent="0.25">
      <c r="I132" s="35"/>
      <c r="J132" s="35"/>
      <c r="M132" s="35"/>
    </row>
    <row r="133" spans="9:13" x14ac:dyDescent="0.25">
      <c r="I133" s="35"/>
      <c r="J133" s="35"/>
      <c r="M133" s="35"/>
    </row>
    <row r="134" spans="9:13" x14ac:dyDescent="0.25">
      <c r="J134" s="4">
        <v>3</v>
      </c>
    </row>
  </sheetData>
  <conditionalFormatting sqref="A5:XFD14">
    <cfRule type="expression" dxfId="13" priority="36">
      <formula>LEN(A5)&gt;0</formula>
    </cfRule>
  </conditionalFormatting>
  <conditionalFormatting sqref="D41:D50">
    <cfRule type="expression" dxfId="12" priority="35">
      <formula>$D41&lt;&gt;""</formula>
    </cfRule>
  </conditionalFormatting>
  <conditionalFormatting sqref="D54:D64">
    <cfRule type="expression" dxfId="11" priority="34">
      <formula>$D54&lt;&gt;""</formula>
    </cfRule>
  </conditionalFormatting>
  <conditionalFormatting sqref="C18:G27">
    <cfRule type="expression" dxfId="10" priority="33">
      <formula>COUNTA($C18:$E18)&gt;0</formula>
    </cfRule>
  </conditionalFormatting>
  <conditionalFormatting sqref="F18">
    <cfRule type="expression" dxfId="9" priority="20">
      <formula>COUNTA($C18:$E18)&gt;0</formula>
    </cfRule>
  </conditionalFormatting>
  <conditionalFormatting sqref="F19:F21">
    <cfRule type="expression" dxfId="8" priority="19">
      <formula>COUNTA($C19:$E19)&gt;0</formula>
    </cfRule>
  </conditionalFormatting>
  <conditionalFormatting sqref="C18:E18">
    <cfRule type="expression" dxfId="7" priority="8">
      <formula>COUNTA($C18:$E18)&gt;0</formula>
    </cfRule>
  </conditionalFormatting>
  <conditionalFormatting sqref="C19:E19">
    <cfRule type="expression" dxfId="6" priority="7">
      <formula>COUNTA($C19:$E19)&gt;0</formula>
    </cfRule>
  </conditionalFormatting>
  <conditionalFormatting sqref="C20:E21">
    <cfRule type="expression" dxfId="5" priority="6">
      <formula>COUNTA($C20:$E20)&gt;0</formula>
    </cfRule>
  </conditionalFormatting>
  <conditionalFormatting sqref="I34:M117 I18:I33 K18:L33">
    <cfRule type="expression" dxfId="4" priority="5">
      <formula>COUNTA($I18:$M18)&gt;0</formula>
    </cfRule>
  </conditionalFormatting>
  <conditionalFormatting sqref="I18:I117">
    <cfRule type="expression" dxfId="3" priority="4">
      <formula>LEN(I18)&gt;0</formula>
    </cfRule>
  </conditionalFormatting>
  <conditionalFormatting sqref="C30:G39">
    <cfRule type="expression" dxfId="2" priority="76">
      <formula>COUNTA($C30:$G30)&gt;0</formula>
    </cfRule>
  </conditionalFormatting>
  <conditionalFormatting sqref="J18:J33">
    <cfRule type="expression" dxfId="1" priority="2">
      <formula>COUNTA($I18:$M18)&gt;0</formula>
    </cfRule>
  </conditionalFormatting>
  <conditionalFormatting sqref="M18:M33">
    <cfRule type="expression" dxfId="0" priority="1">
      <formula>COUNTA($I18:$M18)&gt;0</formula>
    </cfRule>
  </conditionalFormatting>
  <pageMargins left="3.937007874015748E-2" right="3.937007874015748E-2" top="0.55118110236220474" bottom="0.55118110236220474" header="0.31496062992125984" footer="0.31496062992125984"/>
  <pageSetup paperSize="9" scale="6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dd"/>
  <dimension ref="A1:B7"/>
  <sheetViews>
    <sheetView workbookViewId="0">
      <selection activeCell="B13" sqref="B13"/>
    </sheetView>
  </sheetViews>
  <sheetFormatPr baseColWidth="10" defaultColWidth="9.140625" defaultRowHeight="15" x14ac:dyDescent="0.25"/>
  <cols>
    <col min="1" max="1" width="8" customWidth="1"/>
    <col min="2" max="2" width="42.5703125" bestFit="1" customWidth="1"/>
  </cols>
  <sheetData>
    <row r="1" spans="1:2" x14ac:dyDescent="0.25">
      <c r="A1" s="34"/>
      <c r="B1" s="5" t="s">
        <v>106</v>
      </c>
    </row>
    <row r="2" spans="1:2" x14ac:dyDescent="0.25">
      <c r="A2" s="33" t="s">
        <v>22</v>
      </c>
      <c r="B2" s="33" t="s">
        <v>23</v>
      </c>
    </row>
    <row r="3" spans="1:2" x14ac:dyDescent="0.25">
      <c r="A3" s="27">
        <v>0</v>
      </c>
      <c r="B3" s="28" t="s">
        <v>29</v>
      </c>
    </row>
    <row r="4" spans="1:2" x14ac:dyDescent="0.25">
      <c r="A4" s="27">
        <v>1</v>
      </c>
      <c r="B4" s="28" t="s">
        <v>93</v>
      </c>
    </row>
    <row r="5" spans="1:2" x14ac:dyDescent="0.25">
      <c r="A5" s="27">
        <v>2</v>
      </c>
      <c r="B5" s="28" t="s">
        <v>92</v>
      </c>
    </row>
    <row r="6" spans="1:2" x14ac:dyDescent="0.25">
      <c r="A6" s="27">
        <v>3</v>
      </c>
      <c r="B6" s="28" t="s">
        <v>94</v>
      </c>
    </row>
    <row r="7" spans="1:2" x14ac:dyDescent="0.25">
      <c r="A7" s="27">
        <v>4</v>
      </c>
      <c r="B7" s="28" t="s">
        <v>95</v>
      </c>
    </row>
  </sheetData>
  <phoneticPr fontId="7"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11</vt:i4>
      </vt:variant>
    </vt:vector>
  </HeadingPairs>
  <TitlesOfParts>
    <vt:vector size="16" baseType="lpstr">
      <vt:lpstr>Bienvenue</vt:lpstr>
      <vt:lpstr>Registre des risques</vt:lpstr>
      <vt:lpstr>Dashboard</vt:lpstr>
      <vt:lpstr>Paramètres</vt:lpstr>
      <vt:lpstr>hiddenData</vt:lpstr>
      <vt:lpstr>codeEval</vt:lpstr>
      <vt:lpstr>debRep</vt:lpstr>
      <vt:lpstr>departEffet</vt:lpstr>
      <vt:lpstr>departReponse</vt:lpstr>
      <vt:lpstr>depEtat</vt:lpstr>
      <vt:lpstr>E_8</vt:lpstr>
      <vt:lpstr>evalRisque</vt:lpstr>
      <vt:lpstr>freq</vt:lpstr>
      <vt:lpstr>moyIMPACTS</vt:lpstr>
      <vt:lpstr>plageReponse</vt:lpstr>
      <vt:lpstr>poids</vt:lpstr>
    </vt:vector>
  </TitlesOfParts>
  <Company>Blog Gestion de projet;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 Gestion de projet</dc:creator>
  <cp:lastModifiedBy>Clément</cp:lastModifiedBy>
  <cp:lastPrinted>2022-09-19T22:14:17Z</cp:lastPrinted>
  <dcterms:created xsi:type="dcterms:W3CDTF">2017-03-02T12:23:29Z</dcterms:created>
  <dcterms:modified xsi:type="dcterms:W3CDTF">2025-03-16T17:30:46Z</dcterms:modified>
</cp:coreProperties>
</file>